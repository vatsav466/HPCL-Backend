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/>
  <calcPr/>
</workbook>
</file>

<file path=xl/sharedStrings.xml><?xml version="1.0" encoding="utf-8"?>
<sst xmlns="http://schemas.openxmlformats.org/spreadsheetml/2006/main" count="5128" uniqueCount="2876">
  <si>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</si>
  <si>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</si>
  <si>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</si>
  <si>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</si>
  <si>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</si>
  <si>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</si>
  <si>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</si>
  <si>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</si>
  <si>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Tank Receipt Mode</t>
  </si>
  <si>
    <t>Sensor_Id</t>
  </si>
  <si>
    <t>Sensor_Type</t>
  </si>
  <si>
    <t>Tank Receipt Mode1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</si>
  <si>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</si>
  <si>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</si>
  <si>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</si>
  <si>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</si>
  <si>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</si>
  <si>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</si>
  <si>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</si>
  <si>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</si>
  <si>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</si>
  <si>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</si>
  <si>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</si>
  <si>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</si>
  <si>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</si>
  <si>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</si>
  <si>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</si>
  <si>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</si>
  <si>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</si>
  <si>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</si>
  <si>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</si>
  <si>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</si>
  <si>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</si>
  <si>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</si>
  <si>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</si>
  <si>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</si>
  <si>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</si>
  <si>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</si>
  <si>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</si>
  <si>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</si>
  <si>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OL1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</si>
  <si>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</si>
  <si>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</si>
  <si>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</si>
  <si>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</si>
  <si>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</si>
  <si>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</si>
  <si>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</si>
  <si>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</si>
  <si>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</si>
  <si>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Bahadurgarh</t>
  </si>
  <si>
    <t>TK-01</t>
  </si>
  <si>
    <t>AG</t>
  </si>
  <si>
    <t>BS VI HSD</t>
  </si>
  <si>
    <t>PLC.SFTPLC.ANY_ESD_PB_ACTI</t>
  </si>
  <si>
    <t>Tank Receipt Mode (MDPL)</t>
  </si>
  <si>
    <t>Tank Receipt Mode (RBPL)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</si>
  <si>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</si>
  <si>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</si>
  <si>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</si>
  <si>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</si>
  <si>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</si>
  <si>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</si>
  <si>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</si>
  <si>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</si>
  <si>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</si>
  <si>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</si>
  <si>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</si>
  <si>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</si>
  <si>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</si>
  <si>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</si>
  <si>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</si>
  <si>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</si>
  <si>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</si>
  <si>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</si>
  <si>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</si>
  <si>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</si>
  <si>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</si>
  <si>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</si>
  <si>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OL1</t>
  </si>
  <si>
    <t>MOV.ROSOV-03.FAILED_TO_OPEN</t>
  </si>
  <si>
    <t>ROSOV FAILED OL1</t>
  </si>
  <si>
    <t>MOV.ROSOV-04.OPEN_STATUS</t>
  </si>
  <si>
    <t>ROSOV RCL</t>
  </si>
  <si>
    <t>MOV.ROSOV-04.FAILED_TO_CLOSE</t>
  </si>
  <si>
    <t>ROSOV FAILED RCL</t>
  </si>
  <si>
    <t>MOV.MOV_201.OPEN_STATUS</t>
  </si>
  <si>
    <t>MOV IL1</t>
  </si>
  <si>
    <t>MOV.MOV_201A.OPEN_STATUS</t>
  </si>
  <si>
    <t>MOV IL2</t>
  </si>
  <si>
    <t>MOV.MOV_203_L1.OPEN_STATUS</t>
  </si>
  <si>
    <t>MOV OL</t>
  </si>
  <si>
    <t>MOV.MOV_203_L2.OPEN_STATUS</t>
  </si>
  <si>
    <t>MOV OL1</t>
  </si>
  <si>
    <t>MOV.MOV_204.OPEN_STATUS</t>
  </si>
  <si>
    <t>MOV RCL</t>
  </si>
  <si>
    <t>TK-02</t>
  </si>
  <si>
    <t>TANK.TK-01.RECEIPT_MDPL_STATUS</t>
  </si>
  <si>
    <t>TANK.TK-01.RECEIPT_RBPL_STATUS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</si>
  <si>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</si>
  <si>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</si>
  <si>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</si>
  <si>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</si>
  <si>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</si>
  <si>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</si>
  <si>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</si>
  <si>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</si>
  <si>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</si>
  <si>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</si>
  <si>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MOV.ROSOV-05.OPEN_STATUS</t>
  </si>
  <si>
    <t>MOV.ROSOV-05.FAILED_TO_CLOSE</t>
  </si>
  <si>
    <t>MOV.ROSOV-06.OPEN_STATUS</t>
  </si>
  <si>
    <t>MOV.ROSOV-06.FAILED_TO_CLOSE</t>
  </si>
  <si>
    <t>MOV.ROSOV-07.OPEN_STATUS</t>
  </si>
  <si>
    <t>MOV.ROSOV-07.FAILED_TO_OPEN</t>
  </si>
  <si>
    <t>MOV.ROSOV-08.OPEN_STATUS</t>
  </si>
  <si>
    <t>MOV.ROSOV-08.FAILED_TO_CLOSE</t>
  </si>
  <si>
    <t>MOV.MOV_205.OPEN_STATUS</t>
  </si>
  <si>
    <t>MOV.MOV_205A.OPEN_STATUS</t>
  </si>
  <si>
    <t>MOV.MOV_207_L1.OPEN_STATUS</t>
  </si>
  <si>
    <t>MOV.MOV_207_L2.OPEN_STATUS</t>
  </si>
  <si>
    <t>MOV.MOV_208.OPEN_STATUS</t>
  </si>
  <si>
    <t>TK-03</t>
  </si>
  <si>
    <t>TANK.TK-02.RECEIPT_MDPL_STATUS</t>
  </si>
  <si>
    <t>TANK.TK-02.RECEIPT_RBPL_STATUS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</si>
  <si>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</si>
  <si>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</si>
  <si>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</si>
  <si>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</si>
  <si>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</si>
  <si>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</si>
  <si>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</si>
  <si>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</si>
  <si>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</si>
  <si>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</si>
  <si>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</si>
  <si>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</si>
  <si>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MOV.ROSOV-10.OPEN_STATUS</t>
  </si>
  <si>
    <t>MOV.ROSOV-10.FAILED_TO_CLOSE</t>
  </si>
  <si>
    <t>MOV.ROSOV-11.OPEN_STATUS</t>
  </si>
  <si>
    <t>MOV.ROSOV-11.FAILED_TO_OPEN</t>
  </si>
  <si>
    <t>MOV.ROSOV-12.OPEN_STATUS</t>
  </si>
  <si>
    <t>MOV.ROSOV-12.FAILED_TO_CLOSE</t>
  </si>
  <si>
    <t>MOV.MOV_209.OPEN_STATUS</t>
  </si>
  <si>
    <t>MOV.MOV_209A.OPEN_STATUS</t>
  </si>
  <si>
    <t>MOV.MOV_211_L1.OPEN_STATUS</t>
  </si>
  <si>
    <t>MOV.MOV_211_L2.OPEN_STATUS</t>
  </si>
  <si>
    <t>MOV.MOV_212.OPEN_STATUS</t>
  </si>
  <si>
    <t>TK-04</t>
  </si>
  <si>
    <t>TANK.TK-03.RECEIPT_MDPL_STATUS</t>
  </si>
  <si>
    <t>TANK.TK-03.RECEIPT_RBPL_STATUS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</si>
  <si>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</si>
  <si>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</si>
  <si>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</si>
  <si>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</si>
  <si>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</si>
  <si>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</si>
  <si>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</si>
  <si>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</si>
  <si>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</si>
  <si>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</si>
  <si>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</si>
  <si>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</si>
  <si>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</si>
  <si>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</si>
  <si>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</si>
  <si>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MOV.ROSOV-15.FAILED_TO_OPEN</t>
  </si>
  <si>
    <t>MOV.ROSOV-16.OPEN_STATUS</t>
  </si>
  <si>
    <t>MOV.ROSOV-16.FAILED_TO_CLOSE</t>
  </si>
  <si>
    <t>MOV.MOV_101.OPEN_STATUS</t>
  </si>
  <si>
    <t>MOV.MOV_101A.OPEN_STATUS</t>
  </si>
  <si>
    <t>MOV.MOV_104.OPEN_STATUS</t>
  </si>
  <si>
    <t>TK-05</t>
  </si>
  <si>
    <t>TANK.TK-04.RECEIPT_MDPL_STATUS</t>
  </si>
  <si>
    <t>TANK.TK-04.RECEIPT_RBPL_STATUS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</si>
  <si>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</si>
  <si>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</si>
  <si>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</si>
  <si>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</si>
  <si>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</si>
  <si>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</si>
  <si>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</si>
  <si>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</si>
  <si>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</si>
  <si>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</si>
  <si>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MOV.ROSOV-17.OPEN_STATUS</t>
  </si>
  <si>
    <t>MOV.ROSOV-17.FAILED_TO_CLOSE</t>
  </si>
  <si>
    <t>MOV.ROSOV-18.OPEN_STATUS</t>
  </si>
  <si>
    <t>MOV.ROSOV-18.FAILED_TO_CLOSE</t>
  </si>
  <si>
    <t>MOV.ROSOV-19.OPEN_STATUS</t>
  </si>
  <si>
    <t>MOV.ROSOV-19.FAILED_TO_OPEN</t>
  </si>
  <si>
    <t>MOV.ROSOV-20.OPEN_STATUS</t>
  </si>
  <si>
    <t>MOV.ROSOV-20.FAILED_TO_CLOSE</t>
  </si>
  <si>
    <t>MOV.MOV_105.OPEN_STATUS</t>
  </si>
  <si>
    <t>MOV.MOV_105A.OPEN_STATUS</t>
  </si>
  <si>
    <t>MOV.MOV_108.OPEN_STATUS</t>
  </si>
  <si>
    <t>TK-06</t>
  </si>
  <si>
    <t>TANK.TK-05.RECEIPT_MDPL_STATUS</t>
  </si>
  <si>
    <t>TANK.TK-05.RECEIPT_RBPL_STATUS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</si>
  <si>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</si>
  <si>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</si>
  <si>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</si>
  <si>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</si>
  <si>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</si>
  <si>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</si>
  <si>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</si>
  <si>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</si>
  <si>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</si>
  <si>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</si>
  <si>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MOV.ROSOV-21.OPEN_STATUS</t>
  </si>
  <si>
    <t>MOV.ROSOV-21.FAILED_TO_CLOSE</t>
  </si>
  <si>
    <t>MOV.ROSOV-22.OPEN_STATUS</t>
  </si>
  <si>
    <t>MOV.ROSOV-22.FAILED_TO_CLOSE</t>
  </si>
  <si>
    <t>MOV.ROSOV-23.OPEN_STATUS</t>
  </si>
  <si>
    <t>MOV.ROSOV-23.FAILED_TO_OPEN</t>
  </si>
  <si>
    <t>MOV.ROSOV-24.OPEN_STATUS</t>
  </si>
  <si>
    <t>MOV.ROSOV-24.FAILED_TO_CLOSE</t>
  </si>
  <si>
    <t>MOV.MOV_109.OPEN_STATUS</t>
  </si>
  <si>
    <t>MOV.MOV_109A.OPEN_STATUS</t>
  </si>
  <si>
    <t>MOV.MOV_112.OPEN_STATUS</t>
  </si>
  <si>
    <t>TK-07</t>
  </si>
  <si>
    <t>TANK.TK-06.RECEIPT_MDPL_STATUS</t>
  </si>
  <si>
    <t>TANK.TK-06.RECEIPT_RBPL_STATUS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</si>
  <si>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</si>
  <si>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</si>
  <si>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</si>
  <si>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</si>
  <si>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</si>
  <si>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</si>
  <si>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</si>
  <si>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</si>
  <si>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</si>
  <si>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</si>
  <si>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</si>
  <si>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</si>
  <si>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</si>
  <si>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</si>
  <si>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</si>
  <si>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MOV.ROSOV-27.FAILED_TO_OPEN</t>
  </si>
  <si>
    <t>MOV.ROSOV-28.OPEN_STATUS</t>
  </si>
  <si>
    <t>MOV.ROSOV-28.FAILED_TO_CLOSE</t>
  </si>
  <si>
    <t>MOV.MOV_113.OPEN_STATUS</t>
  </si>
  <si>
    <t>MOV.MOV_113A.OPEN_STATUS</t>
  </si>
  <si>
    <t>MOV.MOV_116.OPEN_STATUS</t>
  </si>
  <si>
    <t>TK-08</t>
  </si>
  <si>
    <t>NAPHTHA</t>
  </si>
  <si>
    <t>TANK.TK-07.RECEIPT_MDPL_STATUS</t>
  </si>
  <si>
    <t>TANK.TK-07.RECEIPT_RBPL_STATUS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</si>
  <si>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</si>
  <si>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</si>
  <si>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</si>
  <si>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</si>
  <si>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</si>
  <si>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</si>
  <si>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</si>
  <si>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</si>
  <si>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</si>
  <si>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</si>
  <si>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MOV.ROSOV-29.OPEN_STATUS</t>
  </si>
  <si>
    <t>MOV.ROSOV-29.FAILED_TO_CLOSE</t>
  </si>
  <si>
    <t>MOV.ROSOV-30.OPEN_STATUS</t>
  </si>
  <si>
    <t>MOV.ROSOV-30.FAILED_TO_CLOSE</t>
  </si>
  <si>
    <t>MOV.ROSOV-31.OPEN_STATUS</t>
  </si>
  <si>
    <t>MOV.ROSOV-31.FAILED_TO_OPEN</t>
  </si>
  <si>
    <t>MOV.ROSOV-32.OPEN_STATUS</t>
  </si>
  <si>
    <t>MOV.ROSOV-32.FAILED_TO_CLOSE</t>
  </si>
  <si>
    <t>MOV.MOV_301.OPEN_STATUS</t>
  </si>
  <si>
    <t>MOV.MOV_301A.OPEN_STATUS</t>
  </si>
  <si>
    <t>MOV.MOV_304.OPEN_STATUS</t>
  </si>
  <si>
    <t>PLC.SFTPLC.FIRE_ALARM_RIMSEAL01</t>
  </si>
  <si>
    <t>RIM SEAL</t>
  </si>
  <si>
    <t>PLC.SFTPLC.DETECTOR_FAULT_RIMSEAL01</t>
  </si>
  <si>
    <t>RIMSEAL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</si>
  <si>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</si>
  <si>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</si>
  <si>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</si>
  <si>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</si>
  <si>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</si>
  <si>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</si>
  <si>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</si>
  <si>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</si>
  <si>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</si>
  <si>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</si>
  <si>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</si>
  <si>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MOV.ROSOV-33.OPEN_STATUS</t>
  </si>
  <si>
    <t>MOV.ROSOV-33.FAILED_TO_CLOSE</t>
  </si>
  <si>
    <t>MOV.ROSOV-34.OPEN_STATUS</t>
  </si>
  <si>
    <t>MOV.ROSOV-34.FAILED_TO_CLOSE</t>
  </si>
  <si>
    <t>MOV.ROSOV-35.OPEN_STATUS</t>
  </si>
  <si>
    <t>MOV.ROSOV-35.FAILED_TO_OPEN</t>
  </si>
  <si>
    <t>MOV.ROSOV-36.OPEN_STATUS</t>
  </si>
  <si>
    <t>MOV.ROSOV-36.FAILED_TO_CLOSE</t>
  </si>
  <si>
    <t>MOV.MOV_305.OPEN_STATUS</t>
  </si>
  <si>
    <t>MOV.MOV_305A.OPEN_STATUS</t>
  </si>
  <si>
    <t>MOV.MOV_308.OPEN_STATUS</t>
  </si>
  <si>
    <t>PLC.SFTPLC.FIRE_ALARM_RIMSEAL02</t>
  </si>
  <si>
    <t>PLC.SFTPLC.DETECTOR_FAULT_RIMSEAL02</t>
  </si>
  <si>
    <t>TK-10</t>
  </si>
  <si>
    <t>TANK.TK-10.LEVEL</t>
  </si>
  <si>
    <t>TANK.TK-10.HIGH_LEVEL</t>
  </si>
  <si>
    <t>TANK.TK-10.TANK_ALERT_ALARM</t>
  </si>
  <si>
    <t>TANK.TK-10.HIGH_HIGH_LEVEL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</si>
  <si>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</si>
  <si>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</si>
  <si>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</si>
  <si>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</si>
  <si>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</si>
  <si>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</si>
  <si>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MOV.ROSOV-37.OPEN_STATUS</t>
  </si>
  <si>
    <t>MOV.ROSOV-37.FAILED_TO_CLOSE</t>
  </si>
  <si>
    <t>MOV.ROSOV-38.OPEN_STATUS</t>
  </si>
  <si>
    <t>MOV.ROSOV-38.FAILED_TO_CLOSE</t>
  </si>
  <si>
    <t>MOV.ROSOV-39.OPEN_STATUS</t>
  </si>
  <si>
    <t>MOV.ROSOV-39.FAILED_TO_OPEN</t>
  </si>
  <si>
    <t>MOV.ROSOV-40.OPEN_STATUS</t>
  </si>
  <si>
    <t>MOV.ROSOV-40.FAILED_TO_CLOSE</t>
  </si>
  <si>
    <t>MOV.MOV_309.OPEN_STATUS</t>
  </si>
  <si>
    <t>MOV.MOV_309A.OPEN_STATUS</t>
  </si>
  <si>
    <t>MOV.MOV_312.OPEN_STATUS</t>
  </si>
  <si>
    <t>PLC.SFTPLC.FIRE_ALARM_RIMSEAL03</t>
  </si>
  <si>
    <t>PLC.SFTPLC.DETECTOR_FAULT_RIMSEAL03</t>
  </si>
  <si>
    <t>TK-11</t>
  </si>
  <si>
    <t>BS VI MS</t>
  </si>
  <si>
    <t>TANK.TK-11.LEVEL</t>
  </si>
  <si>
    <t>TANK.TK-11.HIGH_LEVEL</t>
  </si>
  <si>
    <t>TANK.TK-11.TANK_ALERT_ALARM</t>
  </si>
  <si>
    <t>TANK.TK-11.HIGH_HIGH_LEVEL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</si>
  <si>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</si>
  <si>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</si>
  <si>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</si>
  <si>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</si>
  <si>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</si>
  <si>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</si>
  <si>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MOV.ROSOV-41.OPEN_STATUS</t>
  </si>
  <si>
    <t>MOV.ROSOV-41.FAILED_TO_CLOSE</t>
  </si>
  <si>
    <t>MOV.ROSOV-42.OPEN_STATUS</t>
  </si>
  <si>
    <t>MOV.ROSOV-42.FAILED_TO_CLOSE</t>
  </si>
  <si>
    <t>MOV.ROSOV-43.OPEN_STATUS</t>
  </si>
  <si>
    <t>MOV.ROSOV-43.FAILED_TO_OPEN</t>
  </si>
  <si>
    <t>MOV.ROSOV-44.OPEN_STATUS</t>
  </si>
  <si>
    <t>MOV.ROSOV-44.FAILED_TO_CLOSE</t>
  </si>
  <si>
    <t>MOV.MOV_401.OPEN_STATUS</t>
  </si>
  <si>
    <t>MOV.MOV_401A.OPEN_STATUS</t>
  </si>
  <si>
    <t>MOV.MOV_403_L1.OPEN_STATUS</t>
  </si>
  <si>
    <t>MOV.MOV_403_L2.OPEN_STATUS</t>
  </si>
  <si>
    <t>MOV.MOV_404.OPEN_STATUS</t>
  </si>
  <si>
    <t>PLC.SFTPLC.FIRE_ALARM_RIMSEAL04</t>
  </si>
  <si>
    <t>PLC.SFTPLC.DETECTOR_FAULT_RIMSEAL04</t>
  </si>
  <si>
    <t>TK-12</t>
  </si>
  <si>
    <t>TANK.TK-11.RECEIPT_MDPL_STATUS</t>
  </si>
  <si>
    <t>TANK.TK-11.RECEIPT_RBPL_STATUS</t>
  </si>
  <si>
    <t>TANK.TK-12.LEVEL</t>
  </si>
  <si>
    <t>TANK.TK-12.HIGH_LEVEL</t>
  </si>
  <si>
    <t>TANK.TK-12.TANK_ALERT_ALARM</t>
  </si>
  <si>
    <t>TANK.TK-12.HIGH_HIGH_LEVEL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</si>
  <si>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</si>
  <si>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</si>
  <si>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</si>
  <si>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</si>
  <si>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</si>
  <si>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</si>
  <si>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MOV.ROSOV-45.OPEN_STATUS</t>
  </si>
  <si>
    <t>MOV.ROSOV-45.FAILED_TO_CLOSE</t>
  </si>
  <si>
    <t>MOV.ROSOV-46.OPEN_STATUS</t>
  </si>
  <si>
    <t>MOV.ROSOV-46.FAILED_TO_CLOSE</t>
  </si>
  <si>
    <t>MOV.ROSOV-47.OPEN_STATUS</t>
  </si>
  <si>
    <t>MOV.ROSOV-47.FAILED_TO_OPEN</t>
  </si>
  <si>
    <t>MOV.ROSOV-48.OPEN_STATUS</t>
  </si>
  <si>
    <t>MOV.ROSOV-48.FAILED_TO_CLOSE</t>
  </si>
  <si>
    <t>MOV.MOV_405.OPEN_STATUS</t>
  </si>
  <si>
    <t>MOV.MOV_405A.OPEN_STATUS</t>
  </si>
  <si>
    <t>MOV.MOV_407_L1.OPEN_STATUS</t>
  </si>
  <si>
    <t>MOV.MOV_407_L2.OPEN_STATUS</t>
  </si>
  <si>
    <t>MOV.MOV_408.OPEN_STATUS</t>
  </si>
  <si>
    <t>PLC.SFTPLC.FIRE_ALARM_RIMSEAL05</t>
  </si>
  <si>
    <t>PLC.SFTPLC.DETECTOR_FAULT_RIMSEAL05</t>
  </si>
  <si>
    <t>TK-13</t>
  </si>
  <si>
    <t>TANK.TK-12.RECEIPT_MDPL_STATUS</t>
  </si>
  <si>
    <t>TANK.TK-12.RECEIPT_RBPL_STATUS</t>
  </si>
  <si>
    <t>TANK.TK-13.LEVEL</t>
  </si>
  <si>
    <t>TANK.TK-13.HIGH_LEVEL</t>
  </si>
  <si>
    <t>TANK.TK-13.TANK_ALERT_ALARM</t>
  </si>
  <si>
    <t>TANK.TK-13.HIGH_HIGH_LEVEL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</si>
  <si>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</si>
  <si>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</si>
  <si>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</si>
  <si>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</si>
  <si>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</si>
  <si>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</si>
  <si>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MOV.ROSOV-49.OPEN_STATUS</t>
  </si>
  <si>
    <t>MOV.ROSOV-49.FAILED_TO_CLOSE</t>
  </si>
  <si>
    <t>MOV.ROSOV-50.OPEN_STATUS</t>
  </si>
  <si>
    <t>MOV.ROSOV-50.FAILED_TO_CLOSE</t>
  </si>
  <si>
    <t>MOV.ROSOV-51.OPEN_STATUS</t>
  </si>
  <si>
    <t>MOV.ROSOV-51.FAILED_TO_OPEN</t>
  </si>
  <si>
    <t>MOV.ROSOV-52.OPEN_STATUS</t>
  </si>
  <si>
    <t>MOV.ROSOV-52.FAILED_TO_CLOSE</t>
  </si>
  <si>
    <t>MOV.MOV_409.OPEN_STATUS</t>
  </si>
  <si>
    <t>MOV.MOV_409A.OPEN_STATUS</t>
  </si>
  <si>
    <t>MOV.MOV_411_L1.OPEN_STATUS</t>
  </si>
  <si>
    <t>MOV.MOV_411_L2.OPEN_STATUS</t>
  </si>
  <si>
    <t>MOV.MOV_412.OPEN_STATUS</t>
  </si>
  <si>
    <t>PLC.SFTPLC.FIRE_ALARM_RIMSEAL06</t>
  </si>
  <si>
    <t>PLC.SFTPLC.DETECTOR_FAULT_RIMSEAL06</t>
  </si>
  <si>
    <t>TK-14</t>
  </si>
  <si>
    <t>ETHANOL</t>
  </si>
  <si>
    <t>TANK.TK-13.RECEIPT_MDPL_STATUS</t>
  </si>
  <si>
    <t>TANK.TK-13.RECEIPT_RBPL_STATUS</t>
  </si>
  <si>
    <t>TANK.TK-14.LEVEL</t>
  </si>
  <si>
    <t>TANK.TK-14.HIGH_LEVEL</t>
  </si>
  <si>
    <t>TANK.TK-14.TANK_ALERT_ALARM</t>
  </si>
  <si>
    <t>TANK.TK-14.HIGH_HIGH_LEVEL</t>
  </si>
  <si>
    <t>LEVELSWITCH.LSW-14.SWITCH_STATUS</t>
  </si>
  <si>
    <t>LEVELSWITCH.LSW-14.PROOF_TEST_OK</t>
  </si>
  <si>
    <t>LEVELSWITCH.LSW-14.PROOF_TEST_FAILED</t>
  </si>
  <si>
    <t>LEVELSWITCH.RDR-14.SWITCH_STATUS</t>
  </si>
  <si>
    <t>LEVELSWITCH.RDR-14.PROOF_TEST_OK</t>
  </si>
  <si>
    <t>LEVELSWITCH.RDR-14.PROOF_TEST_FAILED</t>
  </si>
  <si>
    <t>MOV.ROSOV-53.OPEN_STATUS</t>
  </si>
  <si>
    <t>MOV.ROSOV-53.FAILED_TO_CLOSE</t>
  </si>
  <si>
    <t>MOV.ROSOV-54.OPEN_STATUS</t>
  </si>
  <si>
    <t>MOV.ROSOV-54.FAILED_TO_CLOSE</t>
  </si>
  <si>
    <t>MOV.ROSOV-55.OPEN_STATUS</t>
  </si>
  <si>
    <t>MOV.ROSOV-55.FAILED_TO_OPEN</t>
  </si>
  <si>
    <t>MOV.ROSOV-56.OPEN_STATUS</t>
  </si>
  <si>
    <t>MOV.ROSOV-56.FAILED_TO_CLOSE</t>
  </si>
  <si>
    <t>MOV.MOV_501.OPEN_STATUS</t>
  </si>
  <si>
    <t>MOV.MOV_501A.OPEN_STATUS</t>
  </si>
  <si>
    <t>MOV.MOV_503_L1.OPEN_STATUS</t>
  </si>
  <si>
    <t>MOV.MOV_503_L2.OPEN_STATUS</t>
  </si>
  <si>
    <t>MOV.MOV_504.OPEN_STATUS</t>
  </si>
  <si>
    <t>TK-15</t>
  </si>
  <si>
    <t>MTO</t>
  </si>
  <si>
    <t>TANK.TK-15.LEVEL</t>
  </si>
  <si>
    <t>TANK.TK-15.HIGH_LEVEL</t>
  </si>
  <si>
    <t>TANK.TK-15.TANK_ALERT_ALARM</t>
  </si>
  <si>
    <t>TANK.TK-15.HIGH_HIGH_LEVEL</t>
  </si>
  <si>
    <t>LEVELSWITCH.LSW-15.SWITCH_STATUS</t>
  </si>
  <si>
    <t>LEVELSWITCH.LSW-15.PROOF_TEST_OK</t>
  </si>
  <si>
    <t>LEVELSWITCH.LSW-15.PROOF_TEST_FAILED</t>
  </si>
  <si>
    <t>LEVELSWITCH.RDR-15.SWITCH_STATUS</t>
  </si>
  <si>
    <t>LEVELSWITCH.RDR-15.PROOF_TEST_OK</t>
  </si>
  <si>
    <t>LEVELSWITCH.RDR-15.PROOF_TEST_FAILED</t>
  </si>
  <si>
    <t>MOV.ROSOV-57.OPEN_STATUS</t>
  </si>
  <si>
    <t>MOV.ROSOV-57.FAILED_TO_CLOSE</t>
  </si>
  <si>
    <t>MOV.ROSOV-58.OPEN_STATUS</t>
  </si>
  <si>
    <t>MOV.ROSOV-58.FAILED_TO_CLOSE</t>
  </si>
  <si>
    <t>MOV.ROSOV-59.OPEN_STATUS</t>
  </si>
  <si>
    <t>MOV.ROSOV-59.FAILED_TO_OPEN</t>
  </si>
  <si>
    <t>MOV.ROSOV-60.OPEN_STATUS</t>
  </si>
  <si>
    <t>MOV.ROSOV-60.FAILED_TO_CLOSE</t>
  </si>
  <si>
    <t>MOV.MOV_505.OPEN_STATUS</t>
  </si>
  <si>
    <t>MOV.MOV_505A.OPEN_STATUS</t>
  </si>
  <si>
    <t>MOV.MOV_507_L1.OPEN_STATUS</t>
  </si>
  <si>
    <t>MOV.MOV_507_L2.OPEN_STATUS</t>
  </si>
  <si>
    <t>MOV.MOV_508.OPEN_STATUS</t>
  </si>
  <si>
    <t>TK-16</t>
  </si>
  <si>
    <t>TANK.TK-16.LEVEL</t>
  </si>
  <si>
    <t>TANK.TK-16.HIGH_LEVEL</t>
  </si>
  <si>
    <t>TANK.TK-16.TANK_ALERT_ALARM</t>
  </si>
  <si>
    <t>TANK.TK-16.HIGH_HIGH_LEVEL</t>
  </si>
  <si>
    <t>LEVELSWITCH.LSW-16.SWITCH_STATUS</t>
  </si>
  <si>
    <t>LEVELSWITCH.LSW-16.PROOF_TEST_OK</t>
  </si>
  <si>
    <t>LEVELSWITCH.LSW-16.PROOF_TEST_FAILED</t>
  </si>
  <si>
    <t>LEVELSWITCH.RDR-16.SWITCH_STATUS</t>
  </si>
  <si>
    <t>LEVELSWITCH.RDR-16.PROOF_TEST_OK</t>
  </si>
  <si>
    <t>LEVELSWITCH.RDR-16.PROOF_TEST_FAILED</t>
  </si>
  <si>
    <t>MOV.ROSOV-61.OPEN_STATUS</t>
  </si>
  <si>
    <t>MOV.ROSOV-61.FAILED_TO_CLOSE</t>
  </si>
  <si>
    <t>MOV.ROSOV-62.OPEN_STATUS</t>
  </si>
  <si>
    <t>MOV.ROSOV-62.FAILED_TO_CLOSE</t>
  </si>
  <si>
    <t>MOV.ROSOV-63.OPEN_STATUS</t>
  </si>
  <si>
    <t>MOV.ROSOV-63.FAILED_TO_OPEN</t>
  </si>
  <si>
    <t>MOV.ROSOV-64.OPEN_STATUS</t>
  </si>
  <si>
    <t>MOV.ROSOV-64.FAILED_TO_CLOSE</t>
  </si>
  <si>
    <t>MOV.MOV_509.OPEN_STATUS</t>
  </si>
  <si>
    <t>MOV.MOV_509A.OPEN_STATUS</t>
  </si>
  <si>
    <t>MOV.MOV_511_L1.OPEN_STATUS</t>
  </si>
  <si>
    <t>MOV.MOV_511_L2.OPEN_STATUS</t>
  </si>
  <si>
    <t>MOV.MOV_512.OPEN_STATUS</t>
  </si>
  <si>
    <t>TK-17</t>
  </si>
  <si>
    <t>INTERFACE</t>
  </si>
  <si>
    <t>TANK.TK-17.LEVEL</t>
  </si>
  <si>
    <t>TANK.TK-17.HIGH_LEVEL</t>
  </si>
  <si>
    <t>TANK.TK-17.TANK_ALERT_ALARM</t>
  </si>
  <si>
    <t>TANK.TK-17.HIGH_HIGH_LEVEL</t>
  </si>
  <si>
    <t>LEVELSWITCH.LSW-17.SWITCH_STATUS</t>
  </si>
  <si>
    <t>LEVELSWITCH.LSW-17.PROOF_TEST_OK</t>
  </si>
  <si>
    <t>LEVELSWITCH.LSW-17.PROOF_TEST_FAILED</t>
  </si>
  <si>
    <t>LEVELSWITCH.RDR-17.SWITCH_STATUS</t>
  </si>
  <si>
    <t>LEVELSWITCH.RDR-17.PROOF_TEST_OK</t>
  </si>
  <si>
    <t>LEVELSWITCH.RDR-17.PROOF_TEST_FAILED</t>
  </si>
  <si>
    <t>MOV.ROSOV-65.OPEN_STATUS</t>
  </si>
  <si>
    <t>MOV.ROSOV-65.FAILED_TO_CLOSE</t>
  </si>
  <si>
    <t>MOV.ROSOV-66.OPEN_STATUS</t>
  </si>
  <si>
    <t>MOV.ROSOV-66.FAILED_TO_OPEN</t>
  </si>
  <si>
    <t>MOV.ROSOV-67.OPEN_STATUS</t>
  </si>
  <si>
    <t>MOV.ROSOV-67.FAILED_TO_CLOSE</t>
  </si>
  <si>
    <t>MOV.MOV_601.OPEN_STATUS</t>
  </si>
  <si>
    <t>TK-18</t>
  </si>
  <si>
    <t>TANK.TK-18.LEVEL</t>
  </si>
  <si>
    <t>TANK.TK-18.HIGH_LEVEL</t>
  </si>
  <si>
    <t>TANK.TK-18.TANK_ALERT_ALARM</t>
  </si>
  <si>
    <t>TANK.TK-18.HIGH_HIGH_LEVEL</t>
  </si>
  <si>
    <t>LEVELSWITCH.LSW-18.SWITCH_STATUS</t>
  </si>
  <si>
    <t>LEVELSWITCH.LSW-18.PROOF_TEST_OK</t>
  </si>
  <si>
    <t>LEVELSWITCH.LSW-18.PROOF_TEST_FAILED</t>
  </si>
  <si>
    <t>LEVELSWITCH.RDR-18.SWITCH_STATUS</t>
  </si>
  <si>
    <t>LEVELSWITCH.RDR-18.PROOF_TEST_OK</t>
  </si>
  <si>
    <t>LEVELSWITCH.RDR-18.PROOF_TEST_FAILED</t>
  </si>
  <si>
    <t>MOV.ROSOV-68.OPEN_STATUS</t>
  </si>
  <si>
    <t>MOV.ROSOV-68.FAILED_TO_CLOSE</t>
  </si>
  <si>
    <t>MOV.ROSOV-70.OPEN_STATUS</t>
  </si>
  <si>
    <t>MOV.ROSOV-70.FAILED_TO_OPEN</t>
  </si>
  <si>
    <t>MOV.ROSOV-71.OPEN_STATUS</t>
  </si>
  <si>
    <t>MOV.ROSOV-71.FAILED_TO_CLOSE</t>
  </si>
  <si>
    <t>MOV.MOV_604.OPEN_STATUS</t>
  </si>
  <si>
    <t>TK-19</t>
  </si>
  <si>
    <t>TANK.TK-19.LEVEL</t>
  </si>
  <si>
    <t>TANK.TK-19.HIGH_LEVEL</t>
  </si>
  <si>
    <t>TANK.TK-19.TANK_ALERT_ALARM</t>
  </si>
  <si>
    <t>TANK.TK-19.HIGH_HIGH_LEVEL</t>
  </si>
  <si>
    <t>LEVELSWITCH.LSW-19.SWITCH_STATUS</t>
  </si>
  <si>
    <t>LEVELSWITCH.LSW-19.PROOF_TEST_OK</t>
  </si>
  <si>
    <t>LEVELSWITCH.LSW-19.PROOF_TEST_FAILED</t>
  </si>
  <si>
    <t>LEVELSWITCH.RDR-19.SWITCH_STATUS</t>
  </si>
  <si>
    <t>LEVELSWITCH.RDR-19.PROOF_TEST_OK</t>
  </si>
  <si>
    <t>LEVELSWITCH.RDR-19.PROOF_TEST_FAILED</t>
  </si>
  <si>
    <t>MOV.ROSOV-72.OPEN_STATUS</t>
  </si>
  <si>
    <t>MOV.ROSOV-72.FAILED_TO_CLOSE</t>
  </si>
  <si>
    <t>MOV.MOV_701.OPEN_STATUS</t>
  </si>
  <si>
    <t>TK-20</t>
  </si>
  <si>
    <t>TANK.TK-20.LEVEL</t>
  </si>
  <si>
    <t>TANK.TK-20.HIGH_LEVEL</t>
  </si>
  <si>
    <t>TANK.TK-20.TANK_ALERT_ALARM</t>
  </si>
  <si>
    <t>TANK.TK-20.HIGH_HIGH_LEVEL</t>
  </si>
  <si>
    <t>LEVELSWITCH.LSW-20.SWITCH_STATUS</t>
  </si>
  <si>
    <t>LEVELSWITCH.LSW-20.PROOF_TEST_OK</t>
  </si>
  <si>
    <t>LEVELSWITCH.LSW-20.PROOF_TEST_FAILED</t>
  </si>
  <si>
    <t>LEVELSWITCH.RDR-20.SWITCH_STATUS</t>
  </si>
  <si>
    <t>LEVELSWITCH.RDR-20.PROOF_TEST_OK</t>
  </si>
  <si>
    <t>LEVELSWITCH.RDR-20.PROOF_TEST_FAILED</t>
  </si>
  <si>
    <t>MOV.ROSOV-74.OPEN_STATUS</t>
  </si>
  <si>
    <t>MOV.ROSOV-74.FAILED_TO_CLOSE</t>
  </si>
  <si>
    <t>MOV.ROSOV-75.OPEN_STATUS</t>
  </si>
  <si>
    <t>MOV.ROSOV-75.FAILED_TO_CLOSE</t>
  </si>
  <si>
    <t>TK-21</t>
  </si>
  <si>
    <t>TANK.TK-21.LEVEL</t>
  </si>
  <si>
    <t>TANK.TK-21.HIGH_LEVEL</t>
  </si>
  <si>
    <t>TANK.TK-21.TANK_ALERT_ALARM</t>
  </si>
  <si>
    <t>TANK.TK-21.HIGH_HIGH_LEVEL</t>
  </si>
  <si>
    <t>LEVELSWITCH.LSW-21.SWITCH_STATUS</t>
  </si>
  <si>
    <t>LEVELSWITCH.LSW-21.PROOF_TEST_OK</t>
  </si>
  <si>
    <t>LEVELSWITCH.LSW-21.PROOF_TEST_FAILED</t>
  </si>
  <si>
    <t>LEVELSWITCH.RDR-21.SWITCH_STATUS</t>
  </si>
  <si>
    <t>LEVELSWITCH.RDR-21.PROOF_TEST_OK</t>
  </si>
  <si>
    <t>LEVELSWITCH.RDR-21.PROOF_TEST_FAILED</t>
  </si>
  <si>
    <t>MOV.ROSOV-76.OPEN_STATUS</t>
  </si>
  <si>
    <t>MOV.ROSOV-76.FAILED_TO_CLOSE</t>
  </si>
  <si>
    <t>MOV.ROSOV-77.OPEN_STATUS</t>
  </si>
  <si>
    <t>MOV.ROSOV-77.FAILED_TO_CLOSE</t>
  </si>
  <si>
    <t>TK-22</t>
  </si>
  <si>
    <t>ATF</t>
  </si>
  <si>
    <t>TANK.TK-22.LEVEL</t>
  </si>
  <si>
    <t>TANK.TK-22.HIGH_LEVEL</t>
  </si>
  <si>
    <t>TANK.TK-22.TANK_ALERT_ALARM</t>
  </si>
  <si>
    <t>TANK.TK-22.HIGH_HIGH_LEVEL</t>
  </si>
  <si>
    <t>LEVELSWITCH.LSW-22.SWITCH_STATUS</t>
  </si>
  <si>
    <t>LEVELSWITCH.LSW-22.PROOF_TEST_OK</t>
  </si>
  <si>
    <t>LEVELSWITCH.LSW-22.PROOF_TEST_FAILED</t>
  </si>
  <si>
    <t>LEVELSWITCH.RDR-22.SWITCH_STATUS</t>
  </si>
  <si>
    <t>LEVELSWITCH.RDR-22.PROOF_TEST_OK</t>
  </si>
  <si>
    <t>LEVELSWITCH.RDR-22.PROOF_TEST_FAILED</t>
  </si>
  <si>
    <t>MOV.ROSOV-78.OPEN_STATUS</t>
  </si>
  <si>
    <t>MOV.ROSOV-78.FAILED_TO_CLOSE</t>
  </si>
  <si>
    <t>MOV.ROSOV-79.OPEN_STATUS</t>
  </si>
  <si>
    <t>MOV.ROSOV-79.FAILED_TO_OPEN</t>
  </si>
  <si>
    <t>MOV.ROSOV-80.OPEN_STATUS</t>
  </si>
  <si>
    <t>MOV.ROSOV-80.FAILED_TO_CLOSE</t>
  </si>
  <si>
    <t>MOV.MOV_701A.OPEN_STATUS</t>
  </si>
  <si>
    <t>MOV.MOV_703A.OPEN_STATUS</t>
  </si>
  <si>
    <t>TK-23</t>
  </si>
  <si>
    <t>TANK.TK-23.LEVEL</t>
  </si>
  <si>
    <t>TANK.TK-23.HIGH_LEVEL</t>
  </si>
  <si>
    <t>TANK.TK-23.TANK_ALERT_ALARM</t>
  </si>
  <si>
    <t>TANK.TK-23.HIGH_HIGH_LEVEL</t>
  </si>
  <si>
    <t>LEVELSWITCH.LSW-23.SWITCH_STATUS</t>
  </si>
  <si>
    <t>LEVELSWITCH.LSW-23.PROOF_TEST_OK</t>
  </si>
  <si>
    <t>LEVELSWITCH.LSW-23.PROOF_TEST_FAILED</t>
  </si>
  <si>
    <t>LEVELSWITCH.RDR-23.SWITCH_STATUS</t>
  </si>
  <si>
    <t>LEVELSWITCH.RDR-23.PROOF_TEST_OK</t>
  </si>
  <si>
    <t>LEVELSWITCH.RDR-23.PROOF_TEST_FAILED</t>
  </si>
  <si>
    <t>MOV.ROSOV-81.OPEN_STATUS</t>
  </si>
  <si>
    <t>MOV.ROSOV-81.FAILED_TO_CLOSE</t>
  </si>
  <si>
    <t>MOV.ROSOV-82.OPEN_STATUS</t>
  </si>
  <si>
    <t>MOV.ROSOV-82.FAILED_TO_OPEN</t>
  </si>
  <si>
    <t>MOV.ROSOV-83.OPEN_STATUS</t>
  </si>
  <si>
    <t>MOV.ROSOV-83.FAILED_TO_CLOSE</t>
  </si>
  <si>
    <t>MOV.MOV_704A.OPEN_STATUS</t>
  </si>
  <si>
    <t>MOV.MOV_706A.OPEN_STATUS</t>
  </si>
  <si>
    <t>TK-24</t>
  </si>
  <si>
    <t>TANK.TK-24.LEVEL</t>
  </si>
  <si>
    <t>TANK.TK-24.HIGH_LEVEL</t>
  </si>
  <si>
    <t>TANK.TK-24.TANK_ALERT_ALARM</t>
  </si>
  <si>
    <t>TANK.TK-24.HIGH_HIGH_LEVEL</t>
  </si>
  <si>
    <t>LEVELSWITCH.LSW-24.SWITCH_STATUS</t>
  </si>
  <si>
    <t>LEVELSWITCH.LSW-24.PROOF_TEST_OK</t>
  </si>
  <si>
    <t>LEVELSWITCH.LSW-24.PROOF_TEST_FAILED</t>
  </si>
  <si>
    <t>LEVELSWITCH.RDR-24.SWITCH_STATUS</t>
  </si>
  <si>
    <t>LEVELSWITCH.RDR-24.PROOF_TEST_OK</t>
  </si>
  <si>
    <t>LEVELSWITCH.RDR-24.PROOF_TEST_FAILED</t>
  </si>
  <si>
    <t>MOV.ROSOV-84.OPEN_STATUS</t>
  </si>
  <si>
    <t>MOV.ROSOV-84.FAILED_TO_CLOSE</t>
  </si>
  <si>
    <t>MOV.ROSOV-85.OPEN_STATUS</t>
  </si>
  <si>
    <t>MOV.ROSOV-85.FAILED_TO_OPEN</t>
  </si>
  <si>
    <t>MOV.ROSOV-86.OPEN_STATUS</t>
  </si>
  <si>
    <t>MOV.ROSOV-86.FAILED_TO_CLOSE</t>
  </si>
  <si>
    <t>MOV.MOV_707A.OPEN_STATUS</t>
  </si>
  <si>
    <t>MOV.MOV_709A.OPEN_STATUS</t>
  </si>
  <si>
    <t>TK-25</t>
  </si>
  <si>
    <t>TANK.TK-25.LEVEL</t>
  </si>
  <si>
    <t>TANK.TK-25.HIGH_LEVEL</t>
  </si>
  <si>
    <t>TANK.TK-25.TANK_ALERT_ALARM</t>
  </si>
  <si>
    <t>TANK.TK-25.HIGH_HIGH_LEVEL</t>
  </si>
  <si>
    <t>LEVELSWITCH.LSW-25.SWITCH_STATUS</t>
  </si>
  <si>
    <t>LEVELSWITCH.LSW-25.PROOF_TEST_OK</t>
  </si>
  <si>
    <t>LEVELSWITCH.LSW-25.PROOF_TEST_FAILED</t>
  </si>
  <si>
    <t>LEVELSWITCH.RDR-25.SWITCH_STATUS</t>
  </si>
  <si>
    <t>LEVELSWITCH.RDR-25.PROOF_TEST_OK</t>
  </si>
  <si>
    <t>LEVELSWITCH.RDR-25.PROOF_TEST_FAILED</t>
  </si>
  <si>
    <t>MOV.ROSOV-87.OPEN_STATUS</t>
  </si>
  <si>
    <t>MOV.ROSOV-87.FAILED_TO_CLOSE</t>
  </si>
  <si>
    <t>MOV.ROSOV-88.OPEN_STATUS</t>
  </si>
  <si>
    <t>MOV.ROSOV-88.FAILED_TO_OPEN</t>
  </si>
  <si>
    <t>MOV.ROSOV-89.OPEN_STATUS</t>
  </si>
  <si>
    <t>MOV.ROSOV-89.FAILED_TO_CLOSE</t>
  </si>
  <si>
    <t>MOV.MOV_710A.OPEN_STATUS</t>
  </si>
  <si>
    <t>MOV.MOV_712A.OPEN_STATUS</t>
  </si>
  <si>
    <t>TK-26</t>
  </si>
  <si>
    <t>TANK.TK-26.LEVEL</t>
  </si>
  <si>
    <t>TANK.TK-26.HIGH_LEVEL</t>
  </si>
  <si>
    <t>TANK.TK-26.TANK_ALERT_ALARM</t>
  </si>
  <si>
    <t>TANK.TK-26.HIGH_HIGH_LEVEL</t>
  </si>
  <si>
    <t>LEVELSWITCH.LSW-26.SWITCH_STATUS</t>
  </si>
  <si>
    <t>LEVELSWITCH.LSW-26.PROOF_TEST_OK</t>
  </si>
  <si>
    <t>LEVELSWITCH.LSW-26.PROOF_TEST_FAILED</t>
  </si>
  <si>
    <t>LEVELSWITCH.RDR-26.SWITCH_STATUS</t>
  </si>
  <si>
    <t>LEVELSWITCH.RDR-26.PROOF_TEST_OK</t>
  </si>
  <si>
    <t>LEVELSWITCH.RDR-26.PROOF_TEST_FAILED</t>
  </si>
  <si>
    <t>MOV.ROSOV-90.OPEN_STATUS</t>
  </si>
  <si>
    <t>MOV.ROSOV-90.FAILED_TO_CLOSE</t>
  </si>
  <si>
    <t>MOV.ROSOV-91.OPEN_STATUS</t>
  </si>
  <si>
    <t>MOV.ROSOV-91.FAILED_TO_CLOSE</t>
  </si>
  <si>
    <t>MOV.ROSOV-92.OPEN_STATUS</t>
  </si>
  <si>
    <t>MOV.ROSOV-92.FAILED_TO_OPEN</t>
  </si>
  <si>
    <t>MOV.ROSOV-93.OPEN_STATUS</t>
  </si>
  <si>
    <t>MOV.ROSOV-93.FAILED_TO_CLOSE</t>
  </si>
  <si>
    <t>MOV.MOV_317A.OPEN_STATUS</t>
  </si>
  <si>
    <t>MOV.MOV_320A.OPEN_STATUS</t>
  </si>
  <si>
    <t>PLC.SFTPLC.FIRE_ALARM_RIMSEAL07</t>
  </si>
  <si>
    <t>PLC.SFTPLC.DETECTOR_FAULT_RIMSEAL07</t>
  </si>
  <si>
    <t>TK-27</t>
  </si>
  <si>
    <t>INTERFACE NAPHTHA RICH</t>
  </si>
  <si>
    <t>TANK.TK-27.LEVEL</t>
  </si>
  <si>
    <t>TANK.TK-27.HIGH_LEVEL</t>
  </si>
  <si>
    <t>TANK.TK-27.TANK_ALERT_ALARM</t>
  </si>
  <si>
    <t>TANK.TK-27.HIGH_HIGH_LEVEL</t>
  </si>
  <si>
    <t>LEVELSWITCH.LSW-27.SWITCH_STATUS</t>
  </si>
  <si>
    <t>LEVELSWITCH.LSW-27.PROOF_TEST_OK</t>
  </si>
  <si>
    <t>LEVELSWITCH.LSW-27.PROOF_TEST_FAILED</t>
  </si>
  <si>
    <t>LEVELSWITCH.RDR-27.SWITCH_STATUS</t>
  </si>
  <si>
    <t>LEVELSWITCH.RDR-27.PROOF_TEST_OK</t>
  </si>
  <si>
    <t>LEVELSWITCH.RDR-27.PROOF_TEST_FAILED</t>
  </si>
  <si>
    <t>MOV.ROSOV-94.OPEN_STATUS</t>
  </si>
  <si>
    <t>MOV.ROSOV-94.FAILED_TO_CLOSE</t>
  </si>
  <si>
    <t>MOV.ROSOV-95.OPEN_STATUS</t>
  </si>
  <si>
    <t>MOV.ROSOV-95.FAILED_TO_CLOSE</t>
  </si>
  <si>
    <t>MOV.ROSOV-96.OPEN_STATUS</t>
  </si>
  <si>
    <t>MOV.ROSOV-96.FAILED_TO_OPEN</t>
  </si>
  <si>
    <t>MOV.ROSOV-97.OPEN_STATUS</t>
  </si>
  <si>
    <t>MOV.ROSOV-97.FAILED_TO_CLOSE</t>
  </si>
  <si>
    <t>MOV.MOV_417A.OPEN_STATUS</t>
  </si>
  <si>
    <t>MOV.MOV_414_L1.OPEN_STATUS</t>
  </si>
  <si>
    <t>MOV.MOV_414_L2.OPEN_STATUS</t>
  </si>
  <si>
    <t>MOV.MOV_420A.OPEN_STATUS</t>
  </si>
  <si>
    <t>PLC.SFTPLC.FIRE_ALARM_RIMSEAL08</t>
  </si>
  <si>
    <t>PLC.SFTPLC.DETECTOR_FAULT_RIMSEAL08</t>
  </si>
  <si>
    <t>TK-28</t>
  </si>
  <si>
    <t>INTERFACE HSD RICH</t>
  </si>
  <si>
    <t>TANK.TK-28.LEVEL</t>
  </si>
  <si>
    <t>TANK.TK-28.HIGH_LEVEL</t>
  </si>
  <si>
    <t>TANK.TK-28.TANK_ALERT_ALARM</t>
  </si>
  <si>
    <t>TANK.TK-28.HIGH_HIGH_LEVEL</t>
  </si>
  <si>
    <t>LEVELSWITCH.LSW-28.SWITCH_STATUS</t>
  </si>
  <si>
    <t>LEVELSWITCH.LSW-28.PROOF_TEST_OK</t>
  </si>
  <si>
    <t>LEVELSWITCH.LSW-28.PROOF_TEST_FAILED</t>
  </si>
  <si>
    <t>LEVELSWITCH.RDR-28.SWITCH_STATUS</t>
  </si>
  <si>
    <t>LEVELSWITCH.RDR-28.PROOF_TEST_OK</t>
  </si>
  <si>
    <t>LEVELSWITCH.RDR-28.PROOF_TEST_FAILED</t>
  </si>
  <si>
    <t>MOV.ROSOV-98.OPEN_STATUS</t>
  </si>
  <si>
    <t>MOV.ROSOV-98.FAILED_TO_CLOSE</t>
  </si>
  <si>
    <t>MOV.ROSOV-99.OPEN_STATUS</t>
  </si>
  <si>
    <t>MOV.ROSOV-99.FAILED_TO_CLOSE</t>
  </si>
  <si>
    <t>MOV.ROSOV-100.OPEN_STATUS</t>
  </si>
  <si>
    <t>MOV.ROSOV-100.FAILED_TO_OPEN</t>
  </si>
  <si>
    <t>MOV.ROSOV-101.OPEN_STATUS</t>
  </si>
  <si>
    <t>MOV.ROSOV-101.FAILED_TO_CLOSE</t>
  </si>
  <si>
    <t>MOV.MOV_117A.OPEN_STATUS</t>
  </si>
  <si>
    <t>MOV.MOV_121A.OPEN_STATUS</t>
  </si>
  <si>
    <t>MOV.MOV_120A.OPEN_STATUS</t>
  </si>
  <si>
    <t>TK-29</t>
  </si>
  <si>
    <t>TANK.TK-29.LEVEL</t>
  </si>
  <si>
    <t>TANK.TK-29.HIGH_LEVEL</t>
  </si>
  <si>
    <t>TANK.TK-29.TANK_ALERT_ALARM</t>
  </si>
  <si>
    <t>TANK.TK-29.HIGH_HIGH_LEVEL</t>
  </si>
  <si>
    <t>LEVELSWITCH.LSW-29.SWITCH_STATUS</t>
  </si>
  <si>
    <t>LEVELSWITCH.LSW-29.PROOF_TEST_OK</t>
  </si>
  <si>
    <t>LEVELSWITCH.LSW-29.PROOF_TEST_FAILED</t>
  </si>
  <si>
    <t>LEVELSWITCH.RDR-29.SWITCH_STATUS</t>
  </si>
  <si>
    <t>LEVELSWITCH.RDR-29.PROOF_TEST_OK</t>
  </si>
  <si>
    <t>LEVELSWITCH.RDR-29.PROOF_TEST_FAILED</t>
  </si>
  <si>
    <t>MOV.ROSOV-102.OPEN_STATUS</t>
  </si>
  <si>
    <t>MOV.ROSOV-102.FAILED_TO_CLOSE</t>
  </si>
  <si>
    <t>MOV.ROSOV-103.OPEN_STATUS</t>
  </si>
  <si>
    <t>MOV.ROSOV-103.FAILED_TO_CLOSE</t>
  </si>
  <si>
    <t>MOV.ROSOV-104.OPEN_STATUS</t>
  </si>
  <si>
    <t>MOV.ROSOV-104.FAILED_TO_OPEN</t>
  </si>
  <si>
    <t>MOV.ROSOV-105.OPEN_STATUS</t>
  </si>
  <si>
    <t>MOV.ROSOV-105.FAILED_TO_CLOSE</t>
  </si>
  <si>
    <t>MOV.MOV_221A.OPEN_STATUS</t>
  </si>
  <si>
    <t>MOV.MOV_213A.OPEN_STATUS</t>
  </si>
  <si>
    <t>MOV.MOV_214_L1.OPEN_STATUS</t>
  </si>
  <si>
    <t>MOV.MOV_214_L2.OPEN_STATUS</t>
  </si>
  <si>
    <t>MOV.MOV_216A.OPEN_STATUS</t>
  </si>
  <si>
    <t>TK-30</t>
  </si>
  <si>
    <t>TANK.TK-29.RECEIPT_MDPL_STATUS</t>
  </si>
  <si>
    <t>TANK.TK-29.RECEIPT_RBPL_STATUS</t>
  </si>
  <si>
    <t>TANK.TK-30.LEVEL</t>
  </si>
  <si>
    <t>TANK.TK-30.HIGH_LEVEL</t>
  </si>
  <si>
    <t>TANK.TK-30.TANK_ALERT_ALARM</t>
  </si>
  <si>
    <t>TANK.TK-30.HIGH_HIGH_LEVEL</t>
  </si>
  <si>
    <t>LEVELSWITCH.LSW-30.SWITCH_STATUS</t>
  </si>
  <si>
    <t>LEVELSWITCH.LSW-30.PROOF_TEST_OK</t>
  </si>
  <si>
    <t>LEVELSWITCH.LSW-30.PROOF_TEST_FAILED</t>
  </si>
  <si>
    <t>LEVELSWITCH.RDR-30.SWITCH_STATUS</t>
  </si>
  <si>
    <t>LEVELSWITCH.RDR-30.PROOF_TEST_OK</t>
  </si>
  <si>
    <t>LEVELSWITCH.RDR-30.PROOF_TEST_FAILED</t>
  </si>
  <si>
    <t>MOV.ROSOV-106.OPEN_STATUS</t>
  </si>
  <si>
    <t>MOV.ROSOV-106.FAILED_TO_CLOSE</t>
  </si>
  <si>
    <t>MOV.ROSOV-107.OPEN_STATUS</t>
  </si>
  <si>
    <t>MOV.ROSOV-107.FAILED_TO_CLOSE</t>
  </si>
  <si>
    <t>MOV.ROSOV-108.OPEN_STATUS</t>
  </si>
  <si>
    <t>MOV.ROSOV-108.FAILED_TO_OPEN</t>
  </si>
  <si>
    <t>MOV.ROSOV-109.OPEN_STATUS</t>
  </si>
  <si>
    <t>MOV.ROSOV-109.FAILED_TO_CLOSE</t>
  </si>
  <si>
    <t>MOV.MOV_222A.OPEN_STATUS</t>
  </si>
  <si>
    <t>MOV.MOV_217A.OPEN_STATUS</t>
  </si>
  <si>
    <t>MOV.MOV_218_L1.OPEN_STATUS</t>
  </si>
  <si>
    <t>MOV.MOV_218_L2.OPEN_STATUS</t>
  </si>
  <si>
    <t>MOV.MOV_220A.OPEN_STATUS</t>
  </si>
  <si>
    <t>TK-31</t>
  </si>
  <si>
    <t>SWEET SKO</t>
  </si>
  <si>
    <t>TANK.TK-30.RECEIPT_MDPL_STATUS</t>
  </si>
  <si>
    <t>TANK.TK-30.RECEIPT_RBPL_STATUS</t>
  </si>
  <si>
    <t>TANK.TK-31.LEVEL</t>
  </si>
  <si>
    <t>TANK.TK-31.HIGH_LEVEL</t>
  </si>
  <si>
    <t>TANK.TK-31.TANK_ALERT_ALARM</t>
  </si>
  <si>
    <t>TANK.TK-31.HIGH_HIGH_LEVEL</t>
  </si>
  <si>
    <t>LEVELSWITCH.LSW-31.SWITCH_STATUS</t>
  </si>
  <si>
    <t>LEVELSWITCH.LSW-31.PROOF_TEST_OK</t>
  </si>
  <si>
    <t>LEVELSWITCH.LSW-31.PROOF_TEST_FAILED</t>
  </si>
  <si>
    <t>LEVELSWITCH.RDR-31.SWITCH_STATUS</t>
  </si>
  <si>
    <t>LEVELSWITCH.RDR-31.PROOF_TEST_OK</t>
  </si>
  <si>
    <t>LEVELSWITCH.RDR-31.PROOF_TEST_FAILED</t>
  </si>
  <si>
    <t>MOV.ROSOV-110.OPEN_STATUS</t>
  </si>
  <si>
    <t>MOV.ROSOV-110.FAILED_TO_CLOSE</t>
  </si>
  <si>
    <t>MOV.ROSOV-111.OPEN_STATUS</t>
  </si>
  <si>
    <t>MOV.ROSOV-111.FAILED_TO_OPEN</t>
  </si>
  <si>
    <t>MOV.ROSOV-112.OPEN_STATUS</t>
  </si>
  <si>
    <t>MOV.ROSOV-112.FAILED_TO_CLOSE</t>
  </si>
  <si>
    <t>MOV.MOV_801A.OPEN_STATUS</t>
  </si>
  <si>
    <t>MOV.MOV_802_L1.OPEN_STATUS</t>
  </si>
  <si>
    <t>MOV.MOV_802_L2.OPEN_STATUS</t>
  </si>
  <si>
    <t>MOV.MOV_803A.OPEN_STATUS</t>
  </si>
  <si>
    <t>TK-32</t>
  </si>
  <si>
    <t>TANK.TK-32.LEVEL</t>
  </si>
  <si>
    <t>TANK.TK-32.HIGH_LEVEL</t>
  </si>
  <si>
    <t>TANK.TK-32.TANK_ALERT_ALARM</t>
  </si>
  <si>
    <t>TANK.TK-32.HIGH_HIGH_LEVEL</t>
  </si>
  <si>
    <t>LEVELSWITCH.LSW-32.SWITCH_STATUS</t>
  </si>
  <si>
    <t>LEVELSWITCH.LSW-32.PROOF_TEST_OK</t>
  </si>
  <si>
    <t>LEVELSWITCH.LSW-32.PROOF_TEST_FAILED</t>
  </si>
  <si>
    <t>LEVELSWITCH.RDR-32.SWITCH_STATUS</t>
  </si>
  <si>
    <t>LEVELSWITCH.RDR-32.PROOF_TEST_OK</t>
  </si>
  <si>
    <t>LEVELSWITCH.RDR-32.PROOF_TEST_FAILED</t>
  </si>
  <si>
    <t>MOV.ROSOV-113.OPEN_STATUS</t>
  </si>
  <si>
    <t>MOV.ROSOV-113.FAILED_TO_CLOSE</t>
  </si>
  <si>
    <t>MOV.ROSOV-114.OPEN_STATUS</t>
  </si>
  <si>
    <t>MOV.ROSOV-114.FAILED_TO_OPEN</t>
  </si>
  <si>
    <t>MOV.ROSOV-115.OPEN_STATUS</t>
  </si>
  <si>
    <t>MOV.ROSOV-115.FAILED_TO_CLOSE</t>
  </si>
  <si>
    <t>MOV.MOV_805_L1.OPEN_STATUS</t>
  </si>
  <si>
    <t>MOV.MOV_805_L2.OPEN_STATUS</t>
  </si>
  <si>
    <t>TS-01</t>
  </si>
  <si>
    <t>UG</t>
  </si>
  <si>
    <t>TANK.TS-01.LEVEL</t>
  </si>
  <si>
    <t>TANK.TS-01.TANK_ALERT_ALARM</t>
  </si>
  <si>
    <t>TANK.TS-01.HIGH_HIGH_LEVEL</t>
  </si>
  <si>
    <t>TS-02</t>
  </si>
  <si>
    <t>TANK.TS-02.LEVEL</t>
  </si>
  <si>
    <t>TANK.TS-02.TANK_ALERT_ALARM</t>
  </si>
  <si>
    <t>TANK.TS-02.HIGH_HIGH_LEVEL</t>
  </si>
  <si>
    <t>TS-03</t>
  </si>
  <si>
    <t>TANK.TS-03.LEVEL</t>
  </si>
  <si>
    <t>TANK.TS-03.TANK_ALERT_ALARM</t>
  </si>
  <si>
    <t>TANK.TS-03.HIGH_HIGH_LEVEL</t>
  </si>
  <si>
    <t>TS-04</t>
  </si>
  <si>
    <t>TANK.TS-04.LEVEL</t>
  </si>
  <si>
    <t>TANK.TS-04.TANK_ALERT_ALARM</t>
  </si>
  <si>
    <t>TANK.TS-04.HIGH_HIGH_LEVEL</t>
  </si>
  <si>
    <t>TS-05</t>
  </si>
  <si>
    <t>TANK.TS-05.LEVEL</t>
  </si>
  <si>
    <t>TANK.TS-05.TANK_ALERT_ALARM</t>
  </si>
  <si>
    <t>TANK.TS-05.HIGH_HIGH_LEVEL</t>
  </si>
  <si>
    <t>TS-06</t>
  </si>
  <si>
    <t>TANK.TS-06.LEVEL</t>
  </si>
  <si>
    <t>TANK.TS-06.TANK_ALERT_ALARM</t>
  </si>
  <si>
    <t>TANK.TS-06.HIGH_HIGH_LEVEL</t>
  </si>
  <si>
    <t>TS-07</t>
  </si>
  <si>
    <t>TANK.TS-07.LEVEL</t>
  </si>
  <si>
    <t>TANK.TS-07.TANK_ALERT_ALARM</t>
  </si>
  <si>
    <t>TANK.TS-07.HIGH_HIGH_LEVEL</t>
  </si>
  <si>
    <t>TS-08</t>
  </si>
  <si>
    <t>TANK.TS-08.LEVEL</t>
  </si>
  <si>
    <t>TANK.TS-08.TANK_ALERT_ALARM</t>
  </si>
  <si>
    <t>TANK.TS-08.HIGH_HIGH_LEVEL</t>
  </si>
  <si>
    <t>TS-09</t>
  </si>
  <si>
    <t>TANK.TS-09.LEVEL</t>
  </si>
  <si>
    <t>TANK.TS-09.TANK_ALERT_ALARM</t>
  </si>
  <si>
    <t>TANK.TS-09.HIGH_HIGH_LEVEL</t>
  </si>
  <si>
    <t>TS-10</t>
  </si>
  <si>
    <t>SLOP</t>
  </si>
  <si>
    <t>TANK.TS-10.LEVEL</t>
  </si>
  <si>
    <t>TANK.TS-10.TANK_ALERT_ALARM</t>
  </si>
  <si>
    <t>TS-11</t>
  </si>
  <si>
    <t>TANK.TS-11.LEVEL</t>
  </si>
  <si>
    <t>TANK.TS-11.TANK_ALERT_ALARM</t>
  </si>
  <si>
    <t>WTK-01</t>
  </si>
  <si>
    <t>WATER</t>
  </si>
  <si>
    <t>TANK.WTK-01.LEVEL</t>
  </si>
  <si>
    <t>WTK-02</t>
  </si>
  <si>
    <t>TANK.WTK-02.LEVEL</t>
  </si>
  <si>
    <t>WTK-03</t>
  </si>
  <si>
    <t>TANK.WTK-03.LEVEL</t>
  </si>
  <si>
    <t>WTK-04</t>
  </si>
  <si>
    <t>TANK.WTK-04.LEVEL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</si>
  <si>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</si>
  <si>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</si>
  <si>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</si>
  <si>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</si>
  <si>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</si>
  <si>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</si>
  <si>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</si>
  <si>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</si>
  <si>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OL1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</si>
  <si>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</si>
  <si>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</si>
  <si>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</si>
  <si>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</si>
  <si>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</si>
  <si>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</si>
  <si>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</si>
  <si>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Bahadurgarh_M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</si>
  <si>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</si>
  <si>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</si>
  <si>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</si>
  <si>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</si>
  <si>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</si>
  <si>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</si>
  <si>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MOV.ROSOV-04.MAINTENANCE_STATUS</t>
  </si>
  <si>
    <t>MOV.MOV_201.MAINTENANCE_STATUS</t>
  </si>
  <si>
    <t>MOV.MOV_201A.MAINTENANCE_STATUS</t>
  </si>
  <si>
    <t>MOV.MOV_204.MAINTENANCE_STATUS</t>
  </si>
  <si>
    <t>MOV.MOV_203_L1.MAINTENANCE_STATUS</t>
  </si>
  <si>
    <t>MOV.MOV_203_L2.MAINTENANCE_STATUS</t>
  </si>
  <si>
    <t>TANK.TK-02.MAINTENANCE_STATUS</t>
  </si>
  <si>
    <t>LEVELSWITCH.LSW-02.MAINTENANCE_STATUS</t>
  </si>
  <si>
    <t>LEVELSWITCH.RDR-02.MAINTENANCE_STATUS</t>
  </si>
  <si>
    <t>MOV.ROSOV-05.MAINTENANCE_STATUS</t>
  </si>
  <si>
    <t>MOV.ROSOV-06.MAINTENANCE_STATUS</t>
  </si>
  <si>
    <t>MOV.ROSOV-07.MAINTENANCE_STATUS</t>
  </si>
  <si>
    <t>MOV.ROSOV-08.MAINTENANCE_STATUS</t>
  </si>
  <si>
    <t>MOV.MOV_205.MAINTENANCE_STATUS</t>
  </si>
  <si>
    <t>MOV.MOV_205A.MAINTENANCE_STATUS</t>
  </si>
  <si>
    <t>MOV.MOV_208.MAINTENANCE_STATUS</t>
  </si>
  <si>
    <t>MOV.MOV_207_L1.MAINTENANCE_STATUS</t>
  </si>
  <si>
    <t>MOV.MOV_207_L2.MAINTENANCE_STATUS</t>
  </si>
  <si>
    <t>TANK.TK-03.MAINTENANCE_STATUS</t>
  </si>
  <si>
    <t>LEVELSWITCH.LSW-03.MAINTENANCE_STATUS</t>
  </si>
  <si>
    <t>LEVELSWITCH.RDR-03.MAINTENANCE_STATUS</t>
  </si>
  <si>
    <t>MOV.ROSOV-09.MAINTENANCE_STATUS</t>
  </si>
  <si>
    <t>MOV.ROSOV-10.MAINTENANCE_STATUS</t>
  </si>
  <si>
    <t>MOV.ROSOV-11.MAINTENANCE_STATUS</t>
  </si>
  <si>
    <t>MOV.ROSOV-12.MAINTENANCE_STATUS</t>
  </si>
  <si>
    <t>MOV.MOV_209.MAINTENANCE_STATUS</t>
  </si>
  <si>
    <t>MOV.MOV_209A.MAINTENANCE_STATUS</t>
  </si>
  <si>
    <t>MOV.MOV_212.MAINTENANCE_STATUS</t>
  </si>
  <si>
    <t>MOV.MOV_211_L1.MAINTENANCE_STATUS</t>
  </si>
  <si>
    <t>MOV.MOV_211_L2.MAINTENANCE_STATUS</t>
  </si>
  <si>
    <t>TANK.TK-04.MAINTENANCE_STATUS</t>
  </si>
  <si>
    <t>LEVELSWITCH.LSW-04.MAINTENANCE_STATUS</t>
  </si>
  <si>
    <t>LEVELSWITCH.RDR-04.MAINTENANCE_STATUS</t>
  </si>
  <si>
    <t>MOV.ROSOV-13.MAINTENANCE_STATUS</t>
  </si>
  <si>
    <t>MOV.ROSOV-14.MAINTENANCE_STATUS</t>
  </si>
  <si>
    <t>MOV.ROSOV-15.MAINTENANCE_STATUS</t>
  </si>
  <si>
    <t>MOV.ROSOV-16.MAINTENANCE_STATUS</t>
  </si>
  <si>
    <t>MOV.MOV_101.MAINTENANCE_STATUS</t>
  </si>
  <si>
    <t>MOV.MOV_101A.MAINTENANCE_STATUS</t>
  </si>
  <si>
    <t>MOV.MOV_104.MAINTENANCE_STATUS</t>
  </si>
  <si>
    <t>TANK.TK-05.MAINTENANCE_STATUS</t>
  </si>
  <si>
    <t>LEVELSWITCH.LSW-05.MAINTENANCE_STATUS</t>
  </si>
  <si>
    <t>LEVELSWITCH.RDR-05.MAINTENANCE_STATUS</t>
  </si>
  <si>
    <t>MOV.ROSOV-17.MAINTENANCE_STATUS</t>
  </si>
  <si>
    <t>MOV.ROSOV-18.MAINTENANCE_STATUS</t>
  </si>
  <si>
    <t>MOV.ROSOV-19.MAINTENANCE_STATUS</t>
  </si>
  <si>
    <t>MOV.ROSOV-20.MAINTENANCE_STATUS</t>
  </si>
  <si>
    <t>MOV.MOV_105.MAINTENANCE_STATUS</t>
  </si>
  <si>
    <t>MOV.MOV_105A.MAINTENANCE_STATUS</t>
  </si>
  <si>
    <t>MOV.MOV_108.MAINTENANCE_STATUS</t>
  </si>
  <si>
    <t>TANK.TK-06.MAINTENANCE_STATUS</t>
  </si>
  <si>
    <t>LEVELSWITCH.LSW-06.MAINTENANCE_STATUS</t>
  </si>
  <si>
    <t>LEVELSWITCH.RDR-06.MAINTENANCE_STATUS</t>
  </si>
  <si>
    <t>MOV.ROSOV-21.MAINTENANCE_STATUS</t>
  </si>
  <si>
    <t>MOV.ROSOV-22.MAINTENANCE_STATUS</t>
  </si>
  <si>
    <t>MOV.ROSOV-23.MAINTENANCE_STATUS</t>
  </si>
  <si>
    <t>MOV.ROSOV-24.MAINTENANCE_STATUS</t>
  </si>
  <si>
    <t>MOV.MOV_109.MAINTENANCE_STATUS</t>
  </si>
  <si>
    <t>MOV.MOV_109A.MAINTENANCE_STATUS</t>
  </si>
  <si>
    <t>MOV.MOV_112.MAINTENANCE_STATUS</t>
  </si>
  <si>
    <t>TANK.TK-07.MAINTENANCE_STATUS</t>
  </si>
  <si>
    <t>LEVELSWITCH.LSW-07.MAINTENANCE_STATUS</t>
  </si>
  <si>
    <t>LEVELSWITCH.RDR-07.MAINTENANCE_STATUS</t>
  </si>
  <si>
    <t>MOV.ROSOV-25.MAINTENANCE_STATUS</t>
  </si>
  <si>
    <t>MOV.ROSOV-26.MAINTENANCE_STATUS</t>
  </si>
  <si>
    <t>MOV.ROSOV-27.MAINTENANCE_STATUS</t>
  </si>
  <si>
    <t>MOV.ROSOV-28.MAINTENANCE_STATUS</t>
  </si>
  <si>
    <t>MOV.MOV_113.MAINTENANCE_STATUS</t>
  </si>
  <si>
    <t>MOV.MOV_113A.MAINTENANCE_STATUS</t>
  </si>
  <si>
    <t>MOV.MOV_116.MAINTENANCE_STATUS</t>
  </si>
  <si>
    <t>TANK.TK-08.MAINTENANCE_STATUS</t>
  </si>
  <si>
    <t>LEVELSWITCH.LSW-08.MAINTENANCE_STATUS</t>
  </si>
  <si>
    <t>LEVELSWITCH.RDR-08.MAINTENANCE_STATUS</t>
  </si>
  <si>
    <t>MOV.ROSOV-29.MAINTENANCE_STATUS</t>
  </si>
  <si>
    <t>MOV.ROSOV-30.MAINTENANCE_STATUS</t>
  </si>
  <si>
    <t>MOV.ROSOV-31.MAINTENANCE_STATUS</t>
  </si>
  <si>
    <t>MOV.ROSOV-32.MAINTENANCE_STATUS</t>
  </si>
  <si>
    <t>MOV.MOV_301.MAINTENANCE_STATUS</t>
  </si>
  <si>
    <t>MOV.MOV_301A.MAINTENANCE_STATUS</t>
  </si>
  <si>
    <t>MOV.MOV_304.MAINTENANCE_STATUS</t>
  </si>
  <si>
    <t>TANK.TK-09.MAINTENANCE_STATUS</t>
  </si>
  <si>
    <t>LEVELSWITCH.LSW-09.MAINTENANCE_STATUS</t>
  </si>
  <si>
    <t>LEVELSWITCH.RDR-09.MAINTENANCE_STATUS</t>
  </si>
  <si>
    <t>MOV.ROSOV-33.MAINTENANCE_STATUS</t>
  </si>
  <si>
    <t>MOV.ROSOV-34.MAINTENANCE_STATUS</t>
  </si>
  <si>
    <t>MOV.ROSOV-35.MAINTENANCE_STATUS</t>
  </si>
  <si>
    <t>MOV.ROSOV-36.MAINTENANCE_STATUS</t>
  </si>
  <si>
    <t>MOV.MOV_305.MAINTENANCE_STATUS</t>
  </si>
  <si>
    <t>MOV.MOV_305A.MAINTENANCE_STATUS</t>
  </si>
  <si>
    <t>MOV.MOV_308.MAINTENANCE_STATUS</t>
  </si>
  <si>
    <t>TANK.TK-10.MAINTENANCE_STATUS</t>
  </si>
  <si>
    <t>LEVELSWITCH.LSW-10.MAINTENANCE_STATUS</t>
  </si>
  <si>
    <t>LEVELSWITCH.RDR-10.MAINTENANCE_STATUS</t>
  </si>
  <si>
    <t>MOV.ROSOV-37.MAINTENANCE_STATUS</t>
  </si>
  <si>
    <t>MOV.ROSOV-38.MAINTENANCE_STATUS</t>
  </si>
  <si>
    <t>MOV.ROSOV-39.MAINTENANCE_STATUS</t>
  </si>
  <si>
    <t>MOV.ROSOV-40.MAINTENANCE_STATUS</t>
  </si>
  <si>
    <t>MOV.MOV_309.MAINTENANCE_STATUS</t>
  </si>
  <si>
    <t>MOV.MOV_309A.MAINTENANCE_STATUS</t>
  </si>
  <si>
    <t>MOV.MOV_312.MAINTENANCE_STATUS</t>
  </si>
  <si>
    <t>TANK.TK-11.MAINTENANCE_STATUS</t>
  </si>
  <si>
    <t>LEVELSWITCH.LSW-11.MAINTENANCE_STATUS</t>
  </si>
  <si>
    <t>LEVELSWITCH.RDR-11.MAINTENANCE_STATUS</t>
  </si>
  <si>
    <t>MOV.ROSOV-41.MAINTENANCE_STATUS</t>
  </si>
  <si>
    <t>MOV.ROSOV-42.MAINTENANCE_STATUS</t>
  </si>
  <si>
    <t>MOV.ROSOV-43.MAINTENANCE_STATUS</t>
  </si>
  <si>
    <t>MOV.ROSOV-44.MAINTENANCE_STATUS</t>
  </si>
  <si>
    <t>MOV.MOV_401.MAINTENANCE_STATUS</t>
  </si>
  <si>
    <t>MOV.MOV_401A.MAINTENANCE_STATUS</t>
  </si>
  <si>
    <t>MOV.MOV_404.MAINTENANCE_STATUS</t>
  </si>
  <si>
    <t>MOV.MOV_403_L1.MAINTENANCE_STATUS</t>
  </si>
  <si>
    <t>MOV.MOV_403_L2.MAINTENANCE_STATUS</t>
  </si>
  <si>
    <t>TANK.TK-12.MAINTENANCE_STATUS</t>
  </si>
  <si>
    <t>LEVELSWITCH.LSW-12.MAINTENANCE_STATUS</t>
  </si>
  <si>
    <t>LEVELSWITCH.RDR-12.MAINTENANCE_STATUS</t>
  </si>
  <si>
    <t>MOV.ROSOV-45.MAINTENANCE_STATUS</t>
  </si>
  <si>
    <t>MOV.ROSOV-46.MAINTENANCE_STATUS</t>
  </si>
  <si>
    <t>MOV.ROSOV-47.MAINTENANCE_STATUS</t>
  </si>
  <si>
    <t>MOV.ROSOV-48.MAINTENANCE_STATUS</t>
  </si>
  <si>
    <t>MOV.MOV_405.MAINTENANCE_STATUS</t>
  </si>
  <si>
    <t>MOV.MOV_405A.MAINTENANCE_STATUS</t>
  </si>
  <si>
    <t>MOV.MOV_408.MAINTENANCE_STATUS</t>
  </si>
  <si>
    <t>MOV.MOV_407_L1.MAINTENANCE_STATUS</t>
  </si>
  <si>
    <t>MOV.MOV_407_L2.MAINTENANCE_STATUS</t>
  </si>
  <si>
    <t>TANK.TK-13.MAINTENANCE_STATUS</t>
  </si>
  <si>
    <t>LEVELSWITCH.LSW-13.MAINTENANCE_STATUS</t>
  </si>
  <si>
    <t>LEVELSWITCH.RDR-13.MAINTENANCE_STATUS</t>
  </si>
  <si>
    <t>MOV.ROSOV-49.MAINTENANCE_STATUS</t>
  </si>
  <si>
    <t>MOV.ROSOV-50.MAINTENANCE_STATUS</t>
  </si>
  <si>
    <t>MOV.ROSOV-51.MAINTENANCE_STATUS</t>
  </si>
  <si>
    <t>MOV.ROSOV-52.MAINTENANCE_STATUS</t>
  </si>
  <si>
    <t>MOV.MOV_409.MAINTENANCE_STATUS</t>
  </si>
  <si>
    <t>MOV.MOV_409A.MAINTENANCE_STATUS</t>
  </si>
  <si>
    <t>MOV.MOV_412.MAINTENANCE_STATUS</t>
  </si>
  <si>
    <t>MOV.MOV_411_L1.MAINTENANCE_STATUS</t>
  </si>
  <si>
    <t>MOV.MOV_411_L2.MAINTENANCE_STATUS</t>
  </si>
  <si>
    <t>TANK.TK-14.MAINTENANCE_STATUS</t>
  </si>
  <si>
    <t>LEVELSWITCH.LSW-14.MAINTENANCE_STATUS</t>
  </si>
  <si>
    <t>LEVELSWITCH.RDR-14.MAINTENANCE_STATUS</t>
  </si>
  <si>
    <t>MOV.ROSOV-53.MAINTENANCE_STATUS</t>
  </si>
  <si>
    <t>MOV.ROSOV-54.MAINTENANCE_STATUS</t>
  </si>
  <si>
    <t>MOV.ROSOV-55.MAINTENANCE_STATUS</t>
  </si>
  <si>
    <t>MOV.ROSOV-56.MAINTENANCE_STATUS</t>
  </si>
  <si>
    <t>MOV.MOV_501.MAINTENANCE_STATUS</t>
  </si>
  <si>
    <t>MOV.MOV_501A.MAINTENANCE_STATUS</t>
  </si>
  <si>
    <t>MOV.MOV_504.MAINTENANCE_STATUS</t>
  </si>
  <si>
    <t>MOV.MOV_503_L1.MAINTENANCE_STATUS</t>
  </si>
  <si>
    <t>MOV.MOV_503_L2.MAINTENANCE_STATUS</t>
  </si>
  <si>
    <t>TANK.TK-15.MAINTENANCE_STATUS</t>
  </si>
  <si>
    <t>LEVELSWITCH.LSW-15.MAINTENANCE_STATUS</t>
  </si>
  <si>
    <t>LEVELSWITCH.RDR-15.MAINTENANCE_STATUS</t>
  </si>
  <si>
    <t>MOV.ROSOV-57.MAINTENANCE_STATUS</t>
  </si>
  <si>
    <t>MOV.ROSOV-58.MAINTENANCE_STATUS</t>
  </si>
  <si>
    <t>MOV.ROSOV-59.MAINTENANCE_STATUS</t>
  </si>
  <si>
    <t>MOV.ROSOV-60.MAINTENANCE_STATUS</t>
  </si>
  <si>
    <t>MOV.MOV_505.MAINTENANCE_STATUS</t>
  </si>
  <si>
    <t>MOV.MOV_505A.MAINTENANCE_STATUS</t>
  </si>
  <si>
    <t>MOV.MOV_508.MAINTENANCE_STATUS</t>
  </si>
  <si>
    <t>MOV.MOV_507_L1.MAINTENANCE_STATUS</t>
  </si>
  <si>
    <t>MOV.MOV_507_L2.MAINTENANCE_STATUS</t>
  </si>
  <si>
    <t>TANK.TK-16.MAINTENANCE_STATUS</t>
  </si>
  <si>
    <t>LEVELSWITCH.LSW-16.MAINTENANCE_STATUS</t>
  </si>
  <si>
    <t>LEVELSWITCH.RDR-16.MAINTENANCE_STATUS</t>
  </si>
  <si>
    <t>MOV.ROSOV-61.MAINTENANCE_STATUS</t>
  </si>
  <si>
    <t>MOV.ROSOV-62.MAINTENANCE_STATUS</t>
  </si>
  <si>
    <t>MOV.ROSOV-63.MAINTENANCE_STATUS</t>
  </si>
  <si>
    <t>MOV.ROSOV-64.MAINTENANCE_STATUS</t>
  </si>
  <si>
    <t>MOV.MOV_509.MAINTENANCE_STATUS</t>
  </si>
  <si>
    <t>MOV.MOV_509A.MAINTENANCE_STATUS</t>
  </si>
  <si>
    <t>MOV.MOV_512.MAINTENANCE_STATUS</t>
  </si>
  <si>
    <t>MOV.MOV_511_L1.MAINTENANCE_STATUS</t>
  </si>
  <si>
    <t>MOV.MOV_511_L2.MAINTENANCE_STATUS</t>
  </si>
  <si>
    <t>TANK.TK-17.MAINTENANCE_STATUS</t>
  </si>
  <si>
    <t>LEVELSWITCH.LSW-17.MAINTENANCE_STATUS</t>
  </si>
  <si>
    <t>LEVELSWITCH.RDR-17.MAINTENANCE_STATUS</t>
  </si>
  <si>
    <t>MOV.ROSOV-65.MAINTENANCE_STATUS</t>
  </si>
  <si>
    <t>MOV.ROSOV-66.MAINTENANCE_STATUS</t>
  </si>
  <si>
    <t>MOV.ROSOV-67.MAINTENANCE_STATUS</t>
  </si>
  <si>
    <t>MOV.MOV_601.MAINTENANCE_STATUS</t>
  </si>
  <si>
    <t>TANK.TK-18.MAINTENANCE_STATUS</t>
  </si>
  <si>
    <t>LEVELSWITCH.LSW-18.MAINTENANCE_STATUS</t>
  </si>
  <si>
    <t>LEVELSWITCH.RDR-18.MAINTENANCE_STATUS</t>
  </si>
  <si>
    <t>MOV.ROSOV-68.MAINTENANCE_STATUS</t>
  </si>
  <si>
    <t>MOV.ROSOV-70.MAINTENANCE_STATUS</t>
  </si>
  <si>
    <t>MOV.ROSOV-71.MAINTENANCE_STATUS</t>
  </si>
  <si>
    <t>MOV.MOV_604.MAINTENANCE_STATUS</t>
  </si>
  <si>
    <t>TANK.TK-19.MAINTENANCE_STATUS</t>
  </si>
  <si>
    <t>LEVELSWITCH.LSW-19.MAINTENANCE_STATUS</t>
  </si>
  <si>
    <t>LEVELSWITCH.RDR-19.MAINTENANCE_STATUS</t>
  </si>
  <si>
    <t>MOV.ROSOV-72.MAINTENANCE_STATUS</t>
  </si>
  <si>
    <t>MOV.MOV_701.MAINTENANCE_STATUS</t>
  </si>
  <si>
    <t>TANK.TK-20.MAINTENANCE_STATUS</t>
  </si>
  <si>
    <t>LEVELSWITCH.LSW-20.MAINTENANCE_STATUS</t>
  </si>
  <si>
    <t>LEVELSWITCH.RDR-20.MAINTENANCE_STATUS</t>
  </si>
  <si>
    <t>MOV.ROSOV-74.MAINTENANCE_STATUS</t>
  </si>
  <si>
    <t>MOV.ROSOV-75.MAINTENANCE_STATUS</t>
  </si>
  <si>
    <t>TANK.TK-21.MAINTENANCE_STATUS</t>
  </si>
  <si>
    <t>LEVELSWITCH.LSW-21.MAINTENANCE_STATUS</t>
  </si>
  <si>
    <t>LEVELSWITCH.RDR-21.MAINTENANCE_STATUS</t>
  </si>
  <si>
    <t>MOV.ROSOV-76.MAINTENANCE_STATUS</t>
  </si>
  <si>
    <t>MOV.ROSOV-77.MAINTENANCE_STATUS</t>
  </si>
  <si>
    <t>TANK.TK-22.MAINTENANCE_STATUS</t>
  </si>
  <si>
    <t>LEVELSWITCH.LSW-22.MAINTENANCE_STATUS</t>
  </si>
  <si>
    <t>LEVELSWITCH.RDR-22.MAINTENANCE_STATUS</t>
  </si>
  <si>
    <t>MOV.ROSOV-78.MAINTENANCE_STATUS</t>
  </si>
  <si>
    <t>MOV.ROSOV-79.MAINTENANCE_STATUS</t>
  </si>
  <si>
    <t>MOV.ROSOV-80.MAINTENANCE_STATUS</t>
  </si>
  <si>
    <t>MOV.MOV_703A.MAINTENANCE_STATUS</t>
  </si>
  <si>
    <t>TANK.TK-23.MAINTENANCE_STATUS</t>
  </si>
  <si>
    <t>LEVELSWITCH.LSW-23.MAINTENANCE_STATUS</t>
  </si>
  <si>
    <t>LEVELSWITCH.RDR-23.MAINTENANCE_STATUS</t>
  </si>
  <si>
    <t>MOV.ROSOV-81.MAINTENANCE_STATUS</t>
  </si>
  <si>
    <t>MOV.ROSOV-82.MAINTENANCE_STATUS</t>
  </si>
  <si>
    <t>MOV.ROSOV-83.MAINTENANCE_STATUS</t>
  </si>
  <si>
    <t>MOV.MOV_706A.MAINTENANCE_STATUS</t>
  </si>
  <si>
    <t>TANK.TK-24.MAINTENANCE_STATUS</t>
  </si>
  <si>
    <t>LEVELSWITCH.LSW-24.MAINTENANCE_STATUS</t>
  </si>
  <si>
    <t>LEVELSWITCH.RDR-24.MAINTENANCE_STATUS</t>
  </si>
  <si>
    <t>MOV.ROSOV-84.MAINTENANCE_STATUS</t>
  </si>
  <si>
    <t>MOV.ROSOV-85.MAINTENANCE_STATUS</t>
  </si>
  <si>
    <t>MOV.ROSOV-86.MAINTENANCE_STATUS</t>
  </si>
  <si>
    <t>MOV.MOV_707A.MAINTENANCE_STATUS</t>
  </si>
  <si>
    <t>MOV.MOV_709A.MAINTENANCE_STATUS</t>
  </si>
  <si>
    <t>TANK.TK-25.MAINTENANCE_STATUS</t>
  </si>
  <si>
    <t>LEVELSWITCH.LSW-25.MAINTENANCE_STATUS</t>
  </si>
  <si>
    <t>LEVELSWITCH.RDR-25.MAINTENANCE_STATUS</t>
  </si>
  <si>
    <t>MOV.ROSOV-87.MAINTENANCE_STATUS</t>
  </si>
  <si>
    <t>MOV.ROSOV-88.MAINTENANCE_STATUS</t>
  </si>
  <si>
    <t>MOV.ROSOV-89.MAINTENANCE_STATUS</t>
  </si>
  <si>
    <t>MOV.MOV_710A.MAINTENANCE_STATUS</t>
  </si>
  <si>
    <t>MOV.MOV_712A.MAINTENANCE_STATUS</t>
  </si>
  <si>
    <t>TANK.TK-26.MAINTENANCE_STATUS</t>
  </si>
  <si>
    <t>LEVELSWITCH.LSW-26.MAINTENANCE_STATUS</t>
  </si>
  <si>
    <t>LEVELSWITCH.RDR-26.MAINTENANCE_STATUS</t>
  </si>
  <si>
    <t>MOV.ROSOV-90.MAINTENANCE_STATUS</t>
  </si>
  <si>
    <t>MOV.ROSOV-91.MAINTENANCE_STATUS</t>
  </si>
  <si>
    <t>MOV.ROSOV-92.MAINTENANCE_STATUS</t>
  </si>
  <si>
    <t>MOV.ROSOV-93.MAINTENANCE_STATUS</t>
  </si>
  <si>
    <t>MOV.MOV_317A.MAINTENANCE_STATUS</t>
  </si>
  <si>
    <t>MOV.MOV_320A.MAINTENANCE_STATUS</t>
  </si>
  <si>
    <t>TANK.TK-27.MAINTENANCE_STATUS</t>
  </si>
  <si>
    <t>LEVELSWITCH.LSW-27.MAINTENANCE_STATUS</t>
  </si>
  <si>
    <t>LEVELSWITCH.RDR-27.MAINTENANCE_STATUS</t>
  </si>
  <si>
    <t>MOV.ROSOV-94.MAINTENANCE_STATUS</t>
  </si>
  <si>
    <t>MOV.ROSOV-95.MAINTENANCE_STATUS</t>
  </si>
  <si>
    <t>MOV.ROSOV-96.MAINTENANCE_STATUS</t>
  </si>
  <si>
    <t>MOV.ROSOV-97.MAINTENANCE_STATUS</t>
  </si>
  <si>
    <t>MOV.MOV_417A.MAINTENANCE_STATUS</t>
  </si>
  <si>
    <t>MOV.MOV_420A.MAINTENANCE_STATUS</t>
  </si>
  <si>
    <t>MOV.MOV_414_L1.MAINTENANCE_STATUS</t>
  </si>
  <si>
    <t>MOV.MOV_414_L2.MAINTENANCE_STATUS</t>
  </si>
  <si>
    <t>TANK.TK-28.MAINTENANCE_STATUS</t>
  </si>
  <si>
    <t>LEVELSWITCH.LSW-28.MAINTENANCE_STATUS</t>
  </si>
  <si>
    <t>LEVELSWITCH.RDR-28.MAINTENANCE_STATUS</t>
  </si>
  <si>
    <t>MOV.ROSOV-98.MAINTENANCE_STATUS</t>
  </si>
  <si>
    <t>MOV.ROSOV-99.MAINTENANCE_STATUS</t>
  </si>
  <si>
    <t>MOV.ROSOV-100.MAINTENANCE_STATUS</t>
  </si>
  <si>
    <t>MOV.ROSOV-101.MAINTENANCE_STATUS</t>
  </si>
  <si>
    <t>MOV.MOV_117A.MAINTENANCE_STATUS</t>
  </si>
  <si>
    <t>MOV.MOV_121A.MAINTENANCE_STATUS</t>
  </si>
  <si>
    <t>MOV.MOV_120A.MAINTENANCE_STATUS</t>
  </si>
  <si>
    <t>TANK.TK-29.MAINTENANCE_STATUS</t>
  </si>
  <si>
    <t>LEVELSWITCH.LSW-29.MAINTENANCE_STATUS</t>
  </si>
  <si>
    <t>LEVELSWITCH.RDR-29.MAINTENANCE_STATUS</t>
  </si>
  <si>
    <t>MOV.ROSOV-102.MAINTENANCE_STATUS</t>
  </si>
  <si>
    <t>MOV.ROSOV-103.MAINTENANCE_STATUS</t>
  </si>
  <si>
    <t>MOV.ROSOV-104.MAINTENANCE_STATUS</t>
  </si>
  <si>
    <t>MOV.ROSOV-105.MAINTENANCE_STATUS</t>
  </si>
  <si>
    <t>MOV.MOV_221A.MAINTENANCE_STATUS</t>
  </si>
  <si>
    <t>MOV.MOV_213A.MAINTENANCE_STATUS</t>
  </si>
  <si>
    <t>MOV.MOV_216A.MAINTENANCE_STATUS</t>
  </si>
  <si>
    <t>MOV.MOV_214_L1.MAINTENANCE_STATUS</t>
  </si>
  <si>
    <t>MOV.MOV_214_L2.MAINTENANCE_STATUS</t>
  </si>
  <si>
    <t>TANK.TK-30.MAINTENANCE_STATUS</t>
  </si>
  <si>
    <t>LEVELSWITCH.LSW-30.MAINTENANCE_STATUS</t>
  </si>
  <si>
    <t>LEVELSWITCH.RDR-30.MAINTENANCE_STATUS</t>
  </si>
  <si>
    <t>MOV.ROSOV-106.MAINTENANCE_STATUS</t>
  </si>
  <si>
    <t>MOV.ROSOV-107.MAINTENANCE_STATUS</t>
  </si>
  <si>
    <t>MOV.ROSOV-108.MAINTENANCE_STATUS</t>
  </si>
  <si>
    <t>MOV.ROSOV-109.MAINTENANCE_STATUS</t>
  </si>
  <si>
    <t>MOV.MOV_222A.MAINTENANCE_STATUS</t>
  </si>
  <si>
    <t>MOV.MOV_217A.MAINTENANCE_STATUS</t>
  </si>
  <si>
    <t>MOV.MOV_220A.MAINTENANCE_STATUS</t>
  </si>
  <si>
    <t>MOV.MOV_218_L1.MAINTENANCE_STATUS</t>
  </si>
  <si>
    <t>MOV.MOV_218_L2.MAINTENANCE_STATUS</t>
  </si>
  <si>
    <t>TANK.TK-31.MAINTENANCE_STATUS</t>
  </si>
  <si>
    <t>LEVELSWITCH.LSW-31.MAINTENANCE_STATUS</t>
  </si>
  <si>
    <t>LEVELSWITCH.RDR-31.MAINTENANCE_STATUS</t>
  </si>
  <si>
    <t>MOV.ROSOV-110.MAINTENANCE_STATUS</t>
  </si>
  <si>
    <t>MOV.ROSOV-111.MAINTENANCE_STATUS</t>
  </si>
  <si>
    <t>MOV.ROSOV-112.MAINTENANCE_STATUS</t>
  </si>
  <si>
    <t>MOV.MOV_801A.MAINTENANCE_STATUS</t>
  </si>
  <si>
    <t>MOV.MOV_803A.MAINTENANCE_STATUS</t>
  </si>
  <si>
    <t>MOV.MOV_802_L1.MAINTENANCE_STATUS</t>
  </si>
  <si>
    <t>MOV.MOV_802_L2.MAINTENANCE_STATUS</t>
  </si>
  <si>
    <t>TANK.TK-32.MAINTENANCE_STATUS</t>
  </si>
  <si>
    <t>LEVELSWITCH.LSW-32.MAINTENANCE_STATUS</t>
  </si>
  <si>
    <t>LEVELSWITCH.RDR-32.MAINTENANCE_STATUS</t>
  </si>
  <si>
    <t>MOV.ROSOV-113.MAINTENANCE_STATUS</t>
  </si>
  <si>
    <t>MOV.ROSOV-114.MAINTENANCE_STATUS</t>
  </si>
  <si>
    <t>MOV.ROSOV-115.MAINTENANCE_STATUS</t>
  </si>
  <si>
    <t>MOV.MOV_805_L1.MAINTENANCE_STATUS</t>
  </si>
  <si>
    <t>MOV.MOV_805_L2.MAINTENANCE_STATUS</t>
  </si>
  <si>
    <t>TANK.TS-01.MAINTENANCE_STATUS</t>
  </si>
  <si>
    <t>TANK.TS-02.MAINTENANCE_STATUS</t>
  </si>
  <si>
    <t>TANK.TS-03.MAINTENANCE_STATUS</t>
  </si>
  <si>
    <t>TANK.TS-04.MAINTENANCE_STATUS</t>
  </si>
  <si>
    <t>TANK.TS-05.MAINTENANCE_STATUS</t>
  </si>
  <si>
    <t>TANK.TS-06.MAINTENANCE_STATUS</t>
  </si>
  <si>
    <t>TANK.TS-07.MAINTENANCE_STATUS</t>
  </si>
  <si>
    <t>TANK.TS-08.MAINTENANCE_STATUS</t>
  </si>
  <si>
    <t>TANK.TS-09.MAINTENANCE_STATUS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</si>
  <si>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</si>
  <si>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</si>
  <si>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</si>
  <si>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</si>
  <si>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</si>
  <si>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</si>
  <si>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</si>
  <si>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</si>
  <si>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</si>
  <si>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</si>
  <si>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</si>
  <si>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ETH-PMP1</t>
  </si>
  <si>
    <t>Truck Loading</t>
  </si>
  <si>
    <t>PUMP.ETH-PMP1.ON</t>
  </si>
  <si>
    <t>PUMP.ETH-PMP1.OFF</t>
  </si>
  <si>
    <t>PUMP.ETH-PMP1.REMOTE_STATUS</t>
  </si>
  <si>
    <t>ETH-PMP2</t>
  </si>
  <si>
    <t>PUMP.ETH-PMP2.ON</t>
  </si>
  <si>
    <t>PUMP.ETH-PMP2.OFF</t>
  </si>
  <si>
    <t>PUMP.ETH-PMP2.REMOTE_STATUS</t>
  </si>
  <si>
    <t>PMP-01</t>
  </si>
  <si>
    <t>POWER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</si>
  <si>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</si>
  <si>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</si>
  <si>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</si>
  <si>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</si>
  <si>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</si>
  <si>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</si>
  <si>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</si>
  <si>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</si>
  <si>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</si>
  <si>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</si>
  <si>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TURBO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</si>
  <si>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</si>
  <si>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</si>
  <si>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</si>
  <si>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</si>
  <si>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</si>
  <si>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</si>
  <si>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</si>
  <si>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</si>
  <si>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</si>
  <si>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</si>
  <si>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</si>
  <si>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</si>
  <si>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</si>
  <si>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</si>
  <si>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</si>
  <si>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</si>
  <si>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</si>
  <si>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</si>
  <si>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</si>
  <si>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</si>
  <si>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</si>
  <si>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</si>
  <si>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</si>
  <si>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</si>
  <si>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</si>
  <si>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</si>
  <si>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</si>
  <si>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</si>
  <si>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</si>
  <si>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</si>
  <si>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</si>
  <si>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</si>
  <si>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</si>
  <si>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</si>
  <si>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</si>
  <si>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BLUE DYE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</si>
  <si>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</si>
  <si>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</si>
  <si>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</si>
  <si>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</si>
  <si>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</si>
  <si>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</si>
  <si>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</si>
  <si>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</si>
  <si>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</si>
  <si>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PMP-15</t>
  </si>
  <si>
    <t>PUMP.PMP-15.ON</t>
  </si>
  <si>
    <t>PUMP.PMP-15.OFF</t>
  </si>
  <si>
    <t>PUMP.PMP-15.REMOTE_STATUS</t>
  </si>
  <si>
    <t>PUMP.PMP-15.MAINTENANCE_STATUS</t>
  </si>
  <si>
    <t>PMP-16</t>
  </si>
  <si>
    <t>PUMP.PMP-16.ON</t>
  </si>
  <si>
    <t>PUMP.PMP-16.OFF</t>
  </si>
  <si>
    <t>PUMP.PMP-16.REMOTE_STATUS</t>
  </si>
  <si>
    <t>PUMP.PMP-16.MAINTENANCE_STATUS</t>
  </si>
  <si>
    <t>PMP-17</t>
  </si>
  <si>
    <t>PUMP.PMP-17.ON</t>
  </si>
  <si>
    <t>PUMP.PMP-17.OFF</t>
  </si>
  <si>
    <t>PUMP.PMP-17.REMOTE_STATUS</t>
  </si>
  <si>
    <t>PUMP.PMP-17.MAINTENANCE_STATUS</t>
  </si>
  <si>
    <t>PMP-18</t>
  </si>
  <si>
    <t>PUMP.PMP-18.ON</t>
  </si>
  <si>
    <t>PUMP.PMP-18.OFF</t>
  </si>
  <si>
    <t>PUMP.PMP-18.REMOTE_STATUS</t>
  </si>
  <si>
    <t>PUMP.PMP-18.MAINTENANCE_STATUS</t>
  </si>
  <si>
    <t>PMP-19</t>
  </si>
  <si>
    <t>PUMP.PMP-19.ON</t>
  </si>
  <si>
    <t>PUMP.PMP-19.OFF</t>
  </si>
  <si>
    <t>PUMP.PMP-19.REMOTE_STATUS</t>
  </si>
  <si>
    <t>PUMP.PMP-19.MAINTENANCE_STATUS</t>
  </si>
  <si>
    <t>PMP-24</t>
  </si>
  <si>
    <t>PUMP.PMP-24.ON</t>
  </si>
  <si>
    <t>PUMP.PMP-24.OFF</t>
  </si>
  <si>
    <t>PUMP.PMP-24.REMOTE_STATUS</t>
  </si>
  <si>
    <t>PUMP.PMP-24.MAINTENANCE_STATUS</t>
  </si>
  <si>
    <t>PMP-25</t>
  </si>
  <si>
    <t>PUMP.PMP-25.ON</t>
  </si>
  <si>
    <t>PUMP.PMP-25.OFF</t>
  </si>
  <si>
    <t>PUMP.PMP-25.REMOTE_STATUS</t>
  </si>
  <si>
    <t>PUMP.PMP-25.MAINTENANCE_STATUS</t>
  </si>
  <si>
    <t>PMP-26</t>
  </si>
  <si>
    <t>PUMP.PMP-26.ON</t>
  </si>
  <si>
    <t>PUMP.PMP-26.OFF</t>
  </si>
  <si>
    <t>PUMP.PMP-26.REMOTE_STATUS</t>
  </si>
  <si>
    <t>PUMP.PMP-26.MAINTENANCE_STATUS</t>
  </si>
  <si>
    <t>PMP-28</t>
  </si>
  <si>
    <t>Wagon Loading</t>
  </si>
  <si>
    <t>PUMP.PMP-28.ON</t>
  </si>
  <si>
    <t>PUMP.PMP-28.OFF</t>
  </si>
  <si>
    <t>PUMP.PMP-28.REMOTE_STATUS</t>
  </si>
  <si>
    <t>PUMP.PMP-28.MAINTENANCE_STATUS</t>
  </si>
  <si>
    <t>PMP-29</t>
  </si>
  <si>
    <t>PUMP.PMP-29.ON</t>
  </si>
  <si>
    <t>PUMP.PMP-29.OFF</t>
  </si>
  <si>
    <t>PUMP.PMP-29.REMOTE_STATUS</t>
  </si>
  <si>
    <t>PUMP.PMP-29.MAINTENANCE_STATUS</t>
  </si>
  <si>
    <t>PMP-30</t>
  </si>
  <si>
    <t>PUMP.PMP-30.ON</t>
  </si>
  <si>
    <t>PUMP.PMP-30.OFF</t>
  </si>
  <si>
    <t>PUMP.PMP-30.REMOTE_STATUS</t>
  </si>
  <si>
    <t>PUMP.PMP-30.MAINTENANCE_STATUS</t>
  </si>
  <si>
    <t>PMP-31</t>
  </si>
  <si>
    <t>PUMP.PMP-31.ON</t>
  </si>
  <si>
    <t>PUMP.PMP-31.OFF</t>
  </si>
  <si>
    <t>PUMP.PMP-31.REMOTE_STATUS</t>
  </si>
  <si>
    <t>PUMP.PMP-31.MAINTENANCE_STATUS</t>
  </si>
  <si>
    <t>PMP-32</t>
  </si>
  <si>
    <t>PUMP.PMP-32.ON</t>
  </si>
  <si>
    <t>PUMP.PMP-32.OFF</t>
  </si>
  <si>
    <t>PUMP.PMP-32.REMOTE_STATUS</t>
  </si>
  <si>
    <t>PUMP.PMP-32.MAINTENANCE_STATUS</t>
  </si>
  <si>
    <t>PMP-33</t>
  </si>
  <si>
    <t>PUMP.PMP-33.ON</t>
  </si>
  <si>
    <t>PUMP.PMP-33.OFF</t>
  </si>
  <si>
    <t>PUMP.PMP-33.REMOTE_STATUS</t>
  </si>
  <si>
    <t>PUMP.PMP-33.MAINTENANCE_STATUS</t>
  </si>
  <si>
    <t>PMP-36</t>
  </si>
  <si>
    <t>PUMP.PMP-36.ON</t>
  </si>
  <si>
    <t>PUMP.PMP-36.OFF</t>
  </si>
  <si>
    <t>PUMP.PMP-36.REMOTE_STATUS</t>
  </si>
  <si>
    <t>PUMP.PMP-36.MAINTENANCE_STATUS</t>
  </si>
  <si>
    <t>PMP-37</t>
  </si>
  <si>
    <t>PUMP.PMP-37.ON</t>
  </si>
  <si>
    <t>PUMP.PMP-37.OFF</t>
  </si>
  <si>
    <t>PUMP.PMP-37.REMOTE_STATUS</t>
  </si>
  <si>
    <t>PUMP.PMP-37.MAINTENANCE_STATUS</t>
  </si>
  <si>
    <t>PMP-38</t>
  </si>
  <si>
    <t>PUMP.PMP-38.ON</t>
  </si>
  <si>
    <t>PUMP.PMP-38.OFF</t>
  </si>
  <si>
    <t>PUMP.PMP-38.REMOTE_STATUS</t>
  </si>
  <si>
    <t>PUMP.PMP-38.MAINTENANCE_STATUS</t>
  </si>
  <si>
    <t>PMP-40</t>
  </si>
  <si>
    <t>PUMP.PMP-40.ON</t>
  </si>
  <si>
    <t>PUMP.PMP-40.OFF</t>
  </si>
  <si>
    <t>PUMP.PMP-40.REMOTE_STATUS</t>
  </si>
  <si>
    <t>PUMP.PMP-40.MAINTENANCE_STATUS</t>
  </si>
  <si>
    <t>PMP-41</t>
  </si>
  <si>
    <t>PUMP.PMP-41.ON</t>
  </si>
  <si>
    <t>PUMP.PMP-41.OFF</t>
  </si>
  <si>
    <t>PUMP.PMP-41.REMOTE_STATUS</t>
  </si>
  <si>
    <t>PUMP.PMP-41.MAINTENANCE_STATUS</t>
  </si>
  <si>
    <t>PMP-42</t>
  </si>
  <si>
    <t>PUMP.PMP-42.ON</t>
  </si>
  <si>
    <t>PUMP.PMP-42.OFF</t>
  </si>
  <si>
    <t>PUMP.PMP-42.REMOTE_STATUS</t>
  </si>
  <si>
    <t>PUMP.PMP-42.MAINTENANCE_STATUS</t>
  </si>
  <si>
    <t>PMP-43</t>
  </si>
  <si>
    <t>PUMP.PMP-43.ON</t>
  </si>
  <si>
    <t>PUMP.PMP-43.OFF</t>
  </si>
  <si>
    <t>PUMP.PMP-43.REMOTE_STATUS</t>
  </si>
  <si>
    <t>PUMP.PMP-43.MAINTENANCE_STATUS</t>
  </si>
  <si>
    <t>PMP-46</t>
  </si>
  <si>
    <t>PUMP.PMP-46.ON</t>
  </si>
  <si>
    <t>PUMP.PMP-46.OFF</t>
  </si>
  <si>
    <t>PUMP.PMP-46.REMOTE_STATUS</t>
  </si>
  <si>
    <t>PUMP.PMP-46.MAINTENANCE_STATUS</t>
  </si>
  <si>
    <t>PMP-47</t>
  </si>
  <si>
    <t>PUMP.PMP-47.ON</t>
  </si>
  <si>
    <t>PUMP.PMP-47.OFF</t>
  </si>
  <si>
    <t>PUMP.PMP-47.REMOTE_STATUS</t>
  </si>
  <si>
    <t>PUMP.PMP-47.MAINTENANCE_STATUS</t>
  </si>
  <si>
    <t>PMP-48</t>
  </si>
  <si>
    <t>PUMP.PMP-48.ON</t>
  </si>
  <si>
    <t>PUMP.PMP-48.OFF</t>
  </si>
  <si>
    <t>PUMP.PMP-48.REMOTE_STATUS</t>
  </si>
  <si>
    <t>PUMP.PMP-48.MAINTENANCE_STATUS</t>
  </si>
  <si>
    <t>PMP-52</t>
  </si>
  <si>
    <t>PUMP.PMP-52.ON</t>
  </si>
  <si>
    <t>PUMP.PMP-52.OFF</t>
  </si>
  <si>
    <t>PUMP.PMP-52.REMOTE_STATUS</t>
  </si>
  <si>
    <t>PUMP.PMP-52.MAINTENANCE_STATUS</t>
  </si>
  <si>
    <t>PMP-53</t>
  </si>
  <si>
    <t>PUMP.PMP-53.ON</t>
  </si>
  <si>
    <t>PUMP.PMP-53.OFF</t>
  </si>
  <si>
    <t>PUMP.PMP-53.REMOTE_STATUS</t>
  </si>
  <si>
    <t>PUMP.PMP-53.MAINTENANCE_STATUS</t>
  </si>
  <si>
    <t>PMP-54</t>
  </si>
  <si>
    <t>PUMP.PMP-54.ON</t>
  </si>
  <si>
    <t>PUMP.PMP-54.OFF</t>
  </si>
  <si>
    <t>PUMP.PMP-54.REMOTE_STATUS</t>
  </si>
  <si>
    <t>PUMP.PMP-54.MAINTENANCE_STATUS</t>
  </si>
  <si>
    <t>PMP-57</t>
  </si>
  <si>
    <t>PUMP.PMP-57.ON</t>
  </si>
  <si>
    <t>PUMP.PMP-57.OFF</t>
  </si>
  <si>
    <t>PUMP.PMP-57.REMOTE_STATUS</t>
  </si>
  <si>
    <t>PUMP.PMP-57.MAINTENANCE_STATUS</t>
  </si>
  <si>
    <t>PMP-58</t>
  </si>
  <si>
    <t>PUMP.PMP-58.ON</t>
  </si>
  <si>
    <t>PUMP.PMP-58.OFF</t>
  </si>
  <si>
    <t>PUMP.PMP-58.REMOTE_STATUS</t>
  </si>
  <si>
    <t>PUMP.PMP-58.MAINTENANCE_STATUS</t>
  </si>
  <si>
    <t>PMP-59</t>
  </si>
  <si>
    <t>PUMP.PMP-59.ON</t>
  </si>
  <si>
    <t>PUMP.PMP-59.OFF</t>
  </si>
  <si>
    <t>PUMP.PMP-59.REMOTE_STATUS</t>
  </si>
  <si>
    <t>PUMP.PMP-59.MAINTENANCE_STATUS</t>
  </si>
  <si>
    <t>PMP-60</t>
  </si>
  <si>
    <t>ATF (B)</t>
  </si>
  <si>
    <t>PUMP.PMP-60.ON</t>
  </si>
  <si>
    <t>PUMP.PMP-60.OFF</t>
  </si>
  <si>
    <t>PUMP.PMP-60.REMOTE_STATUS</t>
  </si>
  <si>
    <t>PUMP.PMP-60.MAINTENANCE_STATUS</t>
  </si>
  <si>
    <t>PMP-61</t>
  </si>
  <si>
    <t>PUMP.PMP-61.ON</t>
  </si>
  <si>
    <t>PUMP.PMP-61.OFF</t>
  </si>
  <si>
    <t>PUMP.PMP-61.REMOTE_STATUS</t>
  </si>
  <si>
    <t>PUMP.PMP-61.MAINTENANCE_STATUS</t>
  </si>
  <si>
    <t>PMP-62</t>
  </si>
  <si>
    <t>PUMP.PMP-62.ON</t>
  </si>
  <si>
    <t>PUMP.PMP-62.OFF</t>
  </si>
  <si>
    <t>PUMP.PMP-62.REMOTE_STATUS</t>
  </si>
  <si>
    <t>PUMP.PMP-62.MAINTENANCE_STATUS</t>
  </si>
  <si>
    <t>PMP-65</t>
  </si>
  <si>
    <t>PUMP.PMP-65.ON</t>
  </si>
  <si>
    <t>PUMP.PMP-65.OFF</t>
  </si>
  <si>
    <t>PUMP.PMP-65.REMOTE_STATUS</t>
  </si>
  <si>
    <t>PUMP.PMP-65.MAINTENANCE_STATUS</t>
  </si>
  <si>
    <t>PMP-66</t>
  </si>
  <si>
    <t>PUMP.PMP-66.ON</t>
  </si>
  <si>
    <t>PUMP.PMP-66.OFF</t>
  </si>
  <si>
    <t>PUMP.PMP-66.REMOTE_STATUS</t>
  </si>
  <si>
    <t>PUMP.PMP-66.MAINTENANCE_STATUS</t>
  </si>
  <si>
    <t>PMP-67</t>
  </si>
  <si>
    <t>PUMP.PMP-67.ON</t>
  </si>
  <si>
    <t>PUMP.PMP-67.OFF</t>
  </si>
  <si>
    <t>PUMP.PMP-67.REMOTE_STATUS</t>
  </si>
  <si>
    <t>PUMP.PMP-67.MAINTENANCE_STATUS</t>
  </si>
  <si>
    <t>PMP-68</t>
  </si>
  <si>
    <t>PUMP.PMP-68.ON</t>
  </si>
  <si>
    <t>PUMP.PMP-68.OFF</t>
  </si>
  <si>
    <t>PUMP.PMP-68.REMOTE_STATUS</t>
  </si>
  <si>
    <t>PUMP.PMP-68.MAINTENANCE_STATUS</t>
  </si>
  <si>
    <t>PMP-69</t>
  </si>
  <si>
    <t>PUMP.PMP-69.ON</t>
  </si>
  <si>
    <t>PUMP.PMP-69.OFF</t>
  </si>
  <si>
    <t>PUMP.PMP-69.REMOTE_STATUS</t>
  </si>
  <si>
    <t>PUMP.PMP-69.MAINTENANCE_STATUS</t>
  </si>
  <si>
    <t>PMP-70</t>
  </si>
  <si>
    <t>PUMP.PMP-70.ON</t>
  </si>
  <si>
    <t>PUMP.PMP-70.OFF</t>
  </si>
  <si>
    <t>PUMP.PMP-70.REMOTE_STATUS</t>
  </si>
  <si>
    <t>PUMP.PMP-70.MAINTENANCE_STATUS</t>
  </si>
  <si>
    <t>PMP-71</t>
  </si>
  <si>
    <t>PUMP.PMP-71.ON</t>
  </si>
  <si>
    <t>PUMP.PMP-71.OFF</t>
  </si>
  <si>
    <t>PUMP.PMP-71.REMOTE_STATUS</t>
  </si>
  <si>
    <t>PUMP.PMP-71.MAINTENANCE_STATUS</t>
  </si>
  <si>
    <t>FIRE PUMP MAINTENANCE</t>
  </si>
  <si>
    <t>FIRE PUMP MAINTENANCE Normal value</t>
  </si>
  <si>
    <t>FIRE PUMP FAIL TO START 1</t>
  </si>
  <si>
    <t>FIRE PUMP FAIL TO START 2</t>
  </si>
  <si>
    <t>FIRE PUMP FAIL TO START 3</t>
  </si>
  <si>
    <t>FIRE PUMP FAIL TO START 4</t>
  </si>
  <si>
    <t>FIRE PUMP FAIL TO START 5</t>
  </si>
  <si>
    <t>FIRE PUMP FAIL TO START STANDBY</t>
  </si>
  <si>
    <t>FIRE PUMP TRIPPED FAULT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</si>
  <si>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</si>
  <si>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</si>
  <si>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</si>
  <si>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</si>
  <si>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</si>
  <si>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</si>
  <si>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</si>
  <si>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</si>
  <si>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</si>
  <si>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</si>
  <si>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</si>
  <si>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</si>
  <si>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</si>
  <si>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</si>
  <si>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</si>
  <si>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</si>
  <si>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</si>
  <si>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</si>
  <si>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</si>
  <si>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</si>
  <si>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</si>
  <si>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</si>
  <si>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</si>
  <si>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</si>
  <si>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</si>
  <si>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</si>
  <si>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</si>
  <si>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</si>
  <si>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</si>
  <si>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</si>
  <si>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</si>
  <si>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</si>
  <si>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</si>
  <si>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</si>
  <si>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</si>
  <si>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</si>
  <si>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</si>
  <si>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</si>
  <si>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</si>
  <si>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</si>
  <si>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</si>
  <si>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PUMP.FWP-03.PUMP_TRIPPED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</si>
  <si>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</si>
  <si>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</si>
  <si>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</si>
  <si>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</si>
  <si>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</si>
  <si>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</si>
  <si>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</si>
  <si>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</si>
  <si>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</si>
  <si>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</si>
  <si>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</si>
  <si>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PUMP.FWP-04.PUMP_TRIPPED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</si>
  <si>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</si>
  <si>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</si>
  <si>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</si>
  <si>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</si>
  <si>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</si>
  <si>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</si>
  <si>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</si>
  <si>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</si>
  <si>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</si>
  <si>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</si>
  <si>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</si>
  <si>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PUMP.FWP-05.PUMP_TRIPPED</t>
  </si>
  <si>
    <t>PUMP.FWP-05.HIGH_TEMPERATURE_ALARM</t>
  </si>
  <si>
    <t>FWP-06</t>
  </si>
  <si>
    <t>PUMP.FWP-06.ON</t>
  </si>
  <si>
    <t>PUMP.FWP-06.OFF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</si>
  <si>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</si>
  <si>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</si>
  <si>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</si>
  <si>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</si>
  <si>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</si>
  <si>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</si>
  <si>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</si>
  <si>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PUMP.FWP-06.PUMP_TRIPPED</t>
  </si>
  <si>
    <t>PUMP.FWP-06.HIGH_TEMPERATURE_ALARM</t>
  </si>
  <si>
    <t>FWP-07</t>
  </si>
  <si>
    <t>PUMP.FWP-07.ON</t>
  </si>
  <si>
    <t>PUMP.FWP-07.OFF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</si>
  <si>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</si>
  <si>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</si>
  <si>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</si>
  <si>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</si>
  <si>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</si>
  <si>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</si>
  <si>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</si>
  <si>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PUMP.FWP-07.PUMP_TRIPPED</t>
  </si>
  <si>
    <t>PUMP.FWP-07.HIGH_TEMPERATURE_ALARM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</si>
  <si>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</si>
  <si>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</si>
  <si>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</si>
  <si>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</si>
  <si>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</si>
  <si>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</si>
  <si>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</si>
  <si>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</si>
  <si>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</si>
  <si>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</si>
  <si>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</si>
  <si>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</si>
  <si>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</si>
  <si>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</si>
  <si>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</si>
  <si>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</si>
  <si>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</si>
  <si>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</si>
  <si>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</si>
  <si>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</si>
  <si>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</si>
  <si>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</si>
  <si>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</si>
  <si>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</si>
  <si>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</si>
  <si>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</si>
  <si>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</si>
  <si>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</si>
  <si>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</si>
  <si>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</si>
  <si>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</si>
  <si>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</si>
  <si>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</si>
  <si>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</si>
  <si>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</si>
  <si>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</si>
  <si>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UPS.UPS-01.MAIN_AC_FAIL</t>
  </si>
  <si>
    <t>UPS.UPS-01.LOW_BATTERY</t>
  </si>
  <si>
    <t>UPS.UPS-01.LOAD_ON_UPS</t>
  </si>
  <si>
    <t>UPS-02</t>
  </si>
  <si>
    <t>CR - Safety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</si>
  <si>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</si>
  <si>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</si>
  <si>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</si>
  <si>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</si>
  <si>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</si>
  <si>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</si>
  <si>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</si>
  <si>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</si>
  <si>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</si>
  <si>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</si>
  <si>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</si>
  <si>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</si>
  <si>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</si>
  <si>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</si>
  <si>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</si>
  <si>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</si>
  <si>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</si>
  <si>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</si>
  <si>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</si>
  <si>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</si>
  <si>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</si>
  <si>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</si>
  <si>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</si>
  <si>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</si>
  <si>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</si>
  <si>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PLC1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</si>
  <si>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</si>
  <si>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</si>
  <si>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</si>
  <si>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</si>
  <si>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</si>
  <si>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</si>
  <si>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</si>
  <si>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Safety PLC2</t>
  </si>
  <si>
    <t>PLC.SFTPLC1.PLCA_IS_MASTER</t>
  </si>
  <si>
    <t>PLC.SFTPLC1.PLCB_IS_MASTER</t>
  </si>
  <si>
    <t>PLC.SFTPLC1.PLCA_FAIL_SAFE_STATUS</t>
  </si>
  <si>
    <t>PLC.SFTPLC1.PLCB_FAIL_SAFE_STATUS</t>
  </si>
  <si>
    <t>PLC.SFTPLC1.PLCA_COMM_OK</t>
  </si>
  <si>
    <t>PLC.SFTPLC1.PLCB_COMM_OK</t>
  </si>
  <si>
    <t>Safety PLC3</t>
  </si>
  <si>
    <t>PLC.SFTPLC2.PLCA_IS_MASTER</t>
  </si>
  <si>
    <t>PLC.SFTPLC2.PLCB_IS_MASTER</t>
  </si>
  <si>
    <t>PLC.SFTPLC2.PLCA_FAIL_SAFE_STATUS</t>
  </si>
  <si>
    <t>PLC.SFTPLC2.PLCB_FAIL_SAFE_STATUS</t>
  </si>
  <si>
    <t>PLC.SFTPLC2.PLCA_COMM_OK</t>
  </si>
  <si>
    <t>PLC.SFTPLC2.PLCB_COMM_OK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</si>
  <si>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</si>
  <si>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</si>
  <si>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</si>
  <si>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</si>
  <si>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</si>
  <si>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</si>
  <si>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</si>
  <si>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</si>
  <si>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</si>
  <si>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</si>
  <si>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</si>
  <si>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</si>
  <si>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</si>
  <si>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</si>
  <si>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HCD-OPENPATH-01</t>
  </si>
  <si>
    <t>TANK - 17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</si>
  <si>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</si>
  <si>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</si>
  <si>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</si>
  <si>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</si>
  <si>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</si>
  <si>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</si>
  <si>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</si>
  <si>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HCD-OPENPATH-02</t>
  </si>
  <si>
    <t>TANK - 21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</si>
  <si>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</si>
  <si>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</si>
  <si>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</si>
  <si>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</si>
  <si>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</si>
  <si>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</si>
  <si>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HCD-OPENPATH-03</t>
  </si>
  <si>
    <t>TTL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</si>
  <si>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</si>
  <si>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</si>
  <si>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</si>
  <si>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</si>
  <si>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</si>
  <si>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</si>
  <si>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HCD-OPENPATH-04</t>
  </si>
  <si>
    <t>TANK - 19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</si>
  <si>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</si>
  <si>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</si>
  <si>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</si>
  <si>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</si>
  <si>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</si>
  <si>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</si>
  <si>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HCD-OPENPATH-05</t>
  </si>
  <si>
    <t>TANK - 27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</si>
  <si>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</si>
  <si>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</si>
  <si>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</si>
  <si>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</si>
  <si>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</si>
  <si>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</si>
  <si>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HCD-OPENPATH-06</t>
  </si>
  <si>
    <t>TANK - 11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</si>
  <si>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</si>
  <si>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</si>
  <si>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</si>
  <si>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</si>
  <si>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</si>
  <si>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</si>
  <si>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HCD-OPENPATH-07</t>
  </si>
  <si>
    <t>TANK - 10/08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</si>
  <si>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</si>
  <si>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</si>
  <si>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</si>
  <si>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</si>
  <si>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</si>
  <si>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</si>
  <si>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HCD-OPENPATH-08</t>
  </si>
  <si>
    <t>TANK-26/9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</si>
  <si>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</si>
  <si>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</si>
  <si>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</si>
  <si>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</si>
  <si>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</si>
  <si>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</si>
  <si>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HCD-OPENPATH-09</t>
  </si>
  <si>
    <t>TWL PUMP HOUSE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</si>
  <si>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</si>
  <si>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</si>
  <si>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</si>
  <si>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</si>
  <si>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</si>
  <si>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</si>
  <si>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HCD-OPENPATH-10</t>
  </si>
  <si>
    <t>TANK - 13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</si>
  <si>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</si>
  <si>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</si>
  <si>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</si>
  <si>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</si>
  <si>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</si>
  <si>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</si>
  <si>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HCD-FIXEDTYPE-01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</si>
  <si>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</si>
  <si>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</si>
  <si>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</si>
  <si>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</si>
  <si>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</si>
  <si>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</si>
  <si>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HCD-FIXEDTYPE-02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</si>
  <si>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</si>
  <si>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</si>
  <si>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</si>
  <si>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</si>
  <si>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</si>
  <si>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</si>
  <si>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HCD-FIXEDTYPE-03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</si>
  <si>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</si>
  <si>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</si>
  <si>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</si>
  <si>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</si>
  <si>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</si>
  <si>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</si>
  <si>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HCD-FIXEDTYPE-04</t>
  </si>
  <si>
    <t>TANK - 26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</si>
  <si>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</si>
  <si>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</si>
  <si>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</si>
  <si>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</si>
  <si>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</si>
  <si>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</si>
  <si>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HCD-FIXEDTYPE-05</t>
  </si>
  <si>
    <t>ETP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</si>
  <si>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</si>
  <si>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</si>
  <si>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</si>
  <si>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</si>
  <si>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</si>
  <si>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</si>
  <si>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HCD-FIXEDTYPE-06</t>
  </si>
  <si>
    <t>TT PUMP HOUSE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</si>
  <si>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</si>
  <si>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</si>
  <si>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</si>
  <si>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</si>
  <si>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</si>
  <si>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</si>
  <si>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HCD-FIXEDTYPE-07</t>
  </si>
  <si>
    <t>TWG PUMP HOUSE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</si>
  <si>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</si>
  <si>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</si>
  <si>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</si>
  <si>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</si>
  <si>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</si>
  <si>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</si>
  <si>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HCD-OPENPATH-11</t>
  </si>
  <si>
    <t>ETH PUMP HOUSE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</si>
  <si>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</si>
  <si>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</si>
  <si>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</si>
  <si>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</si>
  <si>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</si>
  <si>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</si>
  <si>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HCD-FIXEDTYPE-08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</si>
  <si>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</si>
  <si>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</si>
  <si>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</si>
  <si>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</si>
  <si>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</si>
  <si>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HDS-20</t>
  </si>
  <si>
    <t>HCD-FIXEDTYPE-09</t>
  </si>
  <si>
    <t>VRU</t>
  </si>
  <si>
    <t>GDS.HDS-20.HYDROCARBON_40_PCT_LEL</t>
  </si>
  <si>
    <t>GDS.HDS-20.HYDROCARBON_20_PCT_LEL</t>
  </si>
  <si>
    <t>GDS.HDS-20.CRITICAL_FAULT_ALARM</t>
  </si>
  <si>
    <t>GDS.HDS-20.MISALIGNMENT_FAULT_ALARM</t>
  </si>
  <si>
    <t>GDS.HDS-20.MAINTENANCE_CALL</t>
  </si>
  <si>
    <t>HDS-21</t>
  </si>
  <si>
    <t>HCD-OPENPATH-12</t>
  </si>
  <si>
    <t>TK-14 OPEN PATH HCD</t>
  </si>
  <si>
    <t>GDS.HDS-21.HYDROCARBON_40_PCT_LEL</t>
  </si>
  <si>
    <t>GDS.HDS-21.HYDROCARBON_20_PCT_LEL</t>
  </si>
  <si>
    <t>GDS.HDS-21.CRITICAL_FAULT_ALARM</t>
  </si>
  <si>
    <t>GDS.HDS-21.MISALIGNMENT_FAULT_ALARM</t>
  </si>
  <si>
    <t>GDS.HDS-21.MAINTENANCE_CALL</t>
  </si>
  <si>
    <t>HDS-22</t>
  </si>
  <si>
    <t>HCD-FIXEDTYPE-10</t>
  </si>
  <si>
    <t>TK-14 FIXED PATH HCD</t>
  </si>
  <si>
    <t>GDS.HDS-22.HYDROCARBON_40_PCT_LEL</t>
  </si>
  <si>
    <t>GDS.HDS-22.HYDROCARBON_20_PCT_LEL</t>
  </si>
  <si>
    <t>GDS.HDS-22.CRITICAL_FAULT_ALARM</t>
  </si>
  <si>
    <t>GDS.HDS-22.MISALIGNMENT_FAULT_ALARM</t>
  </si>
  <si>
    <t>GDS.HDS-22.MAINTENANCE_CALL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</si>
  <si>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</si>
  <si>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</si>
  <si>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</si>
  <si>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</si>
  <si>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</si>
  <si>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</si>
  <si>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</si>
  <si>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</si>
  <si>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</si>
  <si>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</si>
  <si>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</si>
  <si>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</si>
  <si>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</si>
  <si>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</si>
  <si>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</si>
  <si>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</si>
  <si>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</si>
  <si>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</si>
  <si>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</si>
  <si>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</si>
  <si>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</si>
  <si>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</si>
  <si>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</si>
  <si>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DV-10</t>
  </si>
  <si>
    <t>DRAINVALVE.DV-10.DRAIN_VALVE_STATUS</t>
  </si>
  <si>
    <t>DV-11</t>
  </si>
  <si>
    <t>DRAINVALVE.DV-11.DRAIN_VALVE_STATUS</t>
  </si>
  <si>
    <t>DV-12</t>
  </si>
  <si>
    <t>DRAINVALVE.DV-12.DRAIN_VALVE_STATUS</t>
  </si>
  <si>
    <t>DV-13</t>
  </si>
  <si>
    <t>DRAINVALVE.DV-13.DRAIN_VALVE_STATUS</t>
  </si>
  <si>
    <t>DV-14</t>
  </si>
  <si>
    <t>DRAINVALVE.DV-14.DRAIN_VALVE_STATUS</t>
  </si>
  <si>
    <t>DV-15</t>
  </si>
  <si>
    <t>DRAINVALVE.DV-15.DRAIN_VALVE_STATUS</t>
  </si>
  <si>
    <t>DV-16</t>
  </si>
  <si>
    <t>DRAINVALVE.DV-16.DRAIN_VALVE_STATUS</t>
  </si>
  <si>
    <t>DV-17</t>
  </si>
  <si>
    <t>DRAINVALVE.DV-17.DRAIN_VALVE_STATUS</t>
  </si>
  <si>
    <t>DV-18</t>
  </si>
  <si>
    <t>DRAINVALVE.DV-18.DRAIN_VALVE_STATUS</t>
  </si>
  <si>
    <t>DV-19</t>
  </si>
  <si>
    <t>DRAINVALVE.DV-19.DRAIN_VALVE_STATUS</t>
  </si>
  <si>
    <t>DV-20</t>
  </si>
  <si>
    <t>DRAINVALVE.DV-20.DRAIN_VALVE_STATUS</t>
  </si>
  <si>
    <t>Barrier ID</t>
  </si>
  <si>
    <t>BARRIER GATE OPEN STATUS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</si>
  <si>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</si>
  <si>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</si>
  <si>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</si>
  <si>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</si>
  <si>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</si>
  <si>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</si>
  <si>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</si>
  <si>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</si>
  <si>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</si>
  <si>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</si>
  <si>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</si>
  <si>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</si>
  <si>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</si>
  <si>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</si>
  <si>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</si>
  <si>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 Strobe for HCD in Field</t>
  </si>
  <si>
    <t>PLC.SFTPLC.ANY_HOOTER_FOR_HCD_FIELD</t>
  </si>
  <si>
    <t>Hooter strobe for TFMS in Field</t>
  </si>
  <si>
    <t>PLC.SFTPLC.HOOTER_FIELD_1</t>
  </si>
  <si>
    <t>Hooter strobe for TTL P/H in Field</t>
  </si>
  <si>
    <t>PLC.SFTPLC.HOOTER_FIELD_2</t>
  </si>
  <si>
    <t>Hooter strobe for TWL P/H in Field</t>
  </si>
  <si>
    <t>PLC.SFTPLC.HOOTER_FIELD_3</t>
  </si>
  <si>
    <t>PLC.SFTPLC.HOOTER_FIELD_4</t>
  </si>
  <si>
    <t>HOOTER_FOR_ESD_CR</t>
  </si>
  <si>
    <t>PLC.SFTPLC.HOOTER_FOR_ESD_CR</t>
  </si>
  <si>
    <t>HOOTER_FOR_HC_CR</t>
  </si>
  <si>
    <t>HOOTER_FOR_RIMSEAL_CR</t>
  </si>
  <si>
    <t>HOOTER_ACK_STATUS</t>
  </si>
  <si>
    <t>PLC.SFTPLC.HOOTER_ACK_STATUS</t>
  </si>
  <si>
    <t>HOOTER_RESET_STATUS</t>
  </si>
  <si>
    <t>PLC.SFTPLC.HOOTER_RESET_STATUS</t>
  </si>
  <si>
    <t>HOOTER_ACK</t>
  </si>
  <si>
    <t>PLC.SFTPLC.HOOTER_ACK</t>
  </si>
  <si>
    <t>HOOTER_RESET</t>
  </si>
  <si>
    <t>PLC.SFTPLC.HOOTER_RESET</t>
  </si>
  <si>
    <t>PLC.SFTPLC.HOOTER_FIELD_5</t>
  </si>
  <si>
    <t>ESD ID</t>
  </si>
  <si>
    <t>ESD Name</t>
  </si>
  <si>
    <t>ESD STATUS</t>
  </si>
  <si>
    <t>ESD MAINTENANCE STATUS</t>
  </si>
  <si>
    <t xml:space="preserve">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</si>
  <si>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</si>
  <si>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</si>
  <si>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</si>
  <si>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</si>
  <si>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</si>
  <si>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</si>
  <si>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</si>
  <si>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</si>
  <si>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</si>
  <si>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</si>
  <si>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</si>
  <si>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</si>
  <si>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</si>
  <si>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</si>
  <si>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</si>
  <si>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</si>
  <si>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</si>
  <si>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</si>
  <si>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</si>
  <si>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</si>
  <si>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</si>
  <si>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</si>
  <si>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</si>
  <si>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Res Cor HPCL</t>
  </si>
  <si>
    <t>ESD.ESD-01.ESD_STATUS</t>
  </si>
  <si>
    <t>ESD.ESD-01.MAINTENANCE_STATUS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</si>
  <si>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</si>
  <si>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</si>
  <si>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</si>
  <si>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</si>
  <si>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</si>
  <si>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</si>
  <si>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</si>
  <si>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</si>
  <si>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</si>
  <si>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</si>
  <si>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</si>
  <si>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CONTROL ROOM</t>
  </si>
  <si>
    <t>ESD.ESD-02.ESD_STATUS</t>
  </si>
  <si>
    <t>ESD.ESD-02.MAINTENANCE_STATUS</t>
  </si>
  <si>
    <t>ESD-03</t>
  </si>
  <si>
    <t>TLF GANTRY - 01</t>
  </si>
  <si>
    <t>ESD.ESD-03.ESD_STATUS</t>
  </si>
  <si>
    <t>ESD.ESD-03.MAINTENANCE_STATUS</t>
  </si>
  <si>
    <t>ESD-04</t>
  </si>
  <si>
    <t>TLF GANTRY - 02</t>
  </si>
  <si>
    <t>ESD.ESD-04.ESD_STATUS</t>
  </si>
  <si>
    <t>ESD.ESD-04.MAINTENANCE_STATUS</t>
  </si>
  <si>
    <t>ESD-05</t>
  </si>
  <si>
    <t>ESD.ESD-05.ESD_STATUS</t>
  </si>
  <si>
    <t>ESD.ESD-05.MAINTENANCE_STATUS</t>
  </si>
  <si>
    <t>ESD-06</t>
  </si>
  <si>
    <t>ADMIN BUILDING</t>
  </si>
  <si>
    <t>ESD.ESD-06.ESD_STATUS</t>
  </si>
  <si>
    <t>ESD.ESD-06.MAINTENANCE_STATUS</t>
  </si>
  <si>
    <t>ESD-07</t>
  </si>
  <si>
    <t>ESD.ESD-07.ESD_STATUS</t>
  </si>
  <si>
    <t>ESD.ESD-07.MAINTENANCE_STATUS</t>
  </si>
  <si>
    <t>ESD-08</t>
  </si>
  <si>
    <t>SECURITY GATE</t>
  </si>
  <si>
    <t>ESD.ESD-08.ESD_STATUS</t>
  </si>
  <si>
    <t>ESD.ESD-08.MAINTENANCE_STATUS</t>
  </si>
  <si>
    <t>ESD-09</t>
  </si>
  <si>
    <t>TLF GANTRY - 02 NEAR BAY - 09</t>
  </si>
  <si>
    <t>ESD.ESD-09.ESD_STATUS</t>
  </si>
  <si>
    <t>ESD.ESD-09.MAINTENANCE_STATUS</t>
  </si>
  <si>
    <t>ESD-10</t>
  </si>
  <si>
    <t>NEAR TANK 26</t>
  </si>
  <si>
    <t>ESD.ESD-10.ESD_STATUS</t>
  </si>
  <si>
    <t>ESD.ESD-10.MAINTENANCE_STATUS</t>
  </si>
  <si>
    <t>ESD-12</t>
  </si>
  <si>
    <t>ESD-11</t>
  </si>
  <si>
    <t>TWG GANTRY</t>
  </si>
  <si>
    <t>ESD.ESD-12.ESD_STATUS</t>
  </si>
  <si>
    <t>ESD.ESD-12.MAINTENANCE_STATUS</t>
  </si>
  <si>
    <t>ESD-13</t>
  </si>
  <si>
    <t>ESD-SYSTEM</t>
  </si>
  <si>
    <t>CENTRAL ESD</t>
  </si>
  <si>
    <t>ESD.ESD-13.ESD_STATUS</t>
  </si>
  <si>
    <t>ESD-16</t>
  </si>
  <si>
    <t>ESD PIPELINE</t>
  </si>
  <si>
    <t>PIPELINE ESD</t>
  </si>
  <si>
    <t>ESD.ESD-16.ESD_STATUS</t>
  </si>
  <si>
    <t>ESD.ESD-16.MAINTENANCE_STATUS</t>
  </si>
  <si>
    <t>ESD-17</t>
  </si>
  <si>
    <t>ATF GANTRY CATWALK UPSIDE</t>
  </si>
  <si>
    <t>ESD.ESD-17.ESD_STATUS</t>
  </si>
  <si>
    <t>ESD.ESD-17.MAINTENANCE_STATUS</t>
  </si>
  <si>
    <t>ESD-18</t>
  </si>
  <si>
    <t>ATF GANTRY CATWALK DOWNSIDE</t>
  </si>
  <si>
    <t>ESD.ESD-18.ESD_STATUS</t>
  </si>
  <si>
    <t>ESD.ESD-18.MAINTENANCE_STATUS</t>
  </si>
  <si>
    <t>ESD-19</t>
  </si>
  <si>
    <t>NEAR TANK 01</t>
  </si>
  <si>
    <t>ESD.ESD-19.ESD_STATUS</t>
  </si>
  <si>
    <t>ESD.ESD-19.MAINTENANCE_STATUS</t>
  </si>
  <si>
    <t>ESD-20</t>
  </si>
  <si>
    <t>BETWEEN TANK 05 AND TANK 13</t>
  </si>
  <si>
    <t>ESD.ESD-20.ESD_STATUS</t>
  </si>
  <si>
    <t>ESD.ESD-20.MAINTENANCE_STATUS</t>
  </si>
  <si>
    <t>ESD-21</t>
  </si>
  <si>
    <t>NEAR TANK 14</t>
  </si>
  <si>
    <t>ESD.ESD-21.ESD_STATUS</t>
  </si>
  <si>
    <t>ESD.ESD-21.MAINTENANCE_STATUS</t>
  </si>
  <si>
    <t>ESD-22</t>
  </si>
  <si>
    <t>NEAR TANK 25</t>
  </si>
  <si>
    <t>ESD.ESD-22.ESD_STATUS</t>
  </si>
  <si>
    <t>ESD.ESD-22.MAINTENANCE_STATUS</t>
  </si>
  <si>
    <t>ESD-SOFT</t>
  </si>
  <si>
    <t>SOFT FROM OIC</t>
  </si>
  <si>
    <t>ESD.ESD-SOFT.ESD_STATUS</t>
  </si>
  <si>
    <t>ESD-RIMSEAL</t>
  </si>
  <si>
    <t>ESD DUE TO RIMSEAL</t>
  </si>
  <si>
    <t>ESD.ESD-RIMSEAL.ESD_STATUS</t>
  </si>
  <si>
    <t>Loading Point ID</t>
  </si>
  <si>
    <t>Loading Point Type
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</si>
  <si>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</si>
  <si>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</si>
  <si>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</si>
  <si>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</si>
  <si>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</si>
  <si>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</si>
  <si>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</si>
  <si>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</si>
  <si>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</si>
  <si>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</si>
  <si>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</si>
  <si>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</si>
  <si>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</si>
  <si>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</si>
  <si>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</si>
  <si>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</si>
  <si>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</si>
  <si>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</si>
  <si>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</si>
  <si>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</si>
  <si>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</si>
  <si>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</si>
  <si>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</si>
  <si>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</si>
  <si>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</si>
  <si>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SmartLoad-Dual.BC-01A.LOW_FLOW_ALARM_STATUS_M1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</si>
  <si>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</si>
  <si>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</si>
  <si>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</si>
  <si>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</si>
  <si>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</si>
  <si>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</si>
  <si>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</si>
  <si>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</si>
  <si>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</si>
  <si>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SmartLoad-Dual.BC-01A.MFM_BCU_QTY_BEYOND_TOLERANCE_LIMIT_STATUS</t>
  </si>
  <si>
    <t>SmartLoad-Dual.BC-01A.BCU_C1_TOTALIZER_MISMATCH_ALARM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</si>
  <si>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</si>
  <si>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</si>
  <si>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</si>
  <si>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</si>
  <si>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</si>
  <si>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</si>
  <si>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</si>
  <si>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</si>
  <si>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</si>
  <si>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</si>
  <si>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</si>
  <si>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</si>
  <si>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</si>
  <si>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</si>
  <si>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</si>
  <si>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</si>
  <si>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</si>
  <si>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</si>
  <si>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</si>
  <si>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</si>
  <si>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</si>
  <si>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</si>
  <si>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</si>
  <si>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</si>
  <si>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</si>
  <si>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</si>
  <si>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</si>
  <si>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</si>
  <si>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</si>
  <si>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</si>
  <si>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</si>
  <si>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</si>
  <si>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</si>
  <si>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</si>
  <si>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</si>
  <si>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</si>
  <si>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</si>
  <si>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</si>
  <si>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</si>
  <si>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</si>
  <si>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</si>
  <si>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</si>
  <si>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</si>
  <si>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</si>
  <si>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</si>
  <si>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</si>
  <si>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</si>
  <si>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</si>
  <si>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</si>
  <si>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</si>
  <si>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</si>
  <si>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</si>
  <si>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</si>
  <si>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</si>
  <si>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</si>
  <si>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</si>
  <si>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</si>
  <si>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</si>
  <si>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</si>
  <si>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</si>
  <si>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</si>
  <si>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</si>
  <si>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</si>
  <si>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</si>
  <si>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</si>
  <si>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</si>
  <si>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</si>
  <si>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</si>
  <si>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</si>
  <si>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</si>
  <si>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</si>
  <si>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</si>
  <si>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</si>
  <si>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</si>
  <si>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</si>
  <si>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</si>
  <si>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</si>
  <si>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</si>
  <si>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</si>
  <si>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</si>
  <si>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</si>
  <si>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</si>
  <si>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</si>
  <si>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</si>
  <si>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</si>
  <si>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</si>
  <si>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</si>
  <si>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</si>
  <si>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</si>
  <si>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</si>
  <si>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</si>
  <si>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</si>
  <si>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</si>
  <si>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</si>
  <si>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</si>
  <si>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</si>
  <si>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</si>
  <si>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</si>
  <si>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</si>
  <si>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</si>
  <si>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</si>
  <si>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</si>
  <si>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</si>
  <si>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</si>
  <si>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</si>
  <si>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</si>
  <si>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</si>
  <si>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</si>
  <si>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</si>
  <si>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</si>
  <si>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</si>
  <si>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</si>
  <si>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</si>
  <si>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</si>
  <si>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</si>
  <si>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</si>
  <si>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</si>
  <si>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</si>
  <si>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</si>
  <si>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</si>
  <si>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</si>
  <si>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</si>
  <si>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</si>
  <si>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</si>
  <si>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</si>
  <si>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</si>
  <si>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</si>
  <si>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</si>
  <si>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</si>
  <si>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</si>
  <si>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</si>
  <si>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</si>
  <si>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</si>
  <si>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</si>
  <si>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</si>
  <si>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</si>
  <si>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</si>
  <si>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</si>
  <si>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</si>
  <si>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</si>
  <si>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</si>
  <si>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</si>
  <si>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</si>
  <si>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</si>
  <si>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</si>
  <si>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</si>
  <si>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</si>
  <si>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</si>
  <si>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</si>
  <si>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</si>
  <si>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</si>
  <si>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</si>
  <si>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</si>
  <si>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</si>
  <si>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</si>
  <si>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</si>
  <si>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</si>
  <si>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</si>
  <si>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</si>
  <si>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</si>
  <si>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</si>
  <si>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</si>
  <si>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</si>
  <si>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</si>
  <si>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</si>
  <si>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</si>
  <si>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</si>
  <si>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</si>
  <si>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</si>
  <si>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</si>
  <si>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</si>
  <si>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</si>
  <si>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</si>
  <si>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</si>
  <si>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</si>
  <si>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</si>
  <si>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</si>
  <si>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</si>
  <si>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</si>
  <si>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</si>
  <si>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</si>
  <si>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</si>
  <si>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</si>
  <si>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</si>
  <si>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</si>
  <si>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</si>
  <si>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</si>
  <si>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</si>
  <si>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</si>
  <si>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</si>
  <si>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</si>
  <si>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</si>
  <si>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</si>
  <si>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</si>
  <si>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</si>
  <si>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SmartLoad-Dual.BC-07A.LOW_FLOW_ALARM_STATUS_M1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</si>
  <si>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</si>
  <si>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</si>
  <si>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</si>
  <si>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</si>
  <si>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</si>
  <si>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</si>
  <si>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</si>
  <si>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</si>
  <si>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</si>
  <si>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SmartLoad-Dual.BC-07A.MFM_BCU_QTY_BEYOND_TOLERANCE_LIMIT_STATUS</t>
  </si>
  <si>
    <t>SmartLoad-Dual.BC-07A.BCU_C1_TOTALIZER_MISMATCH_ALARM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</si>
  <si>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</si>
  <si>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</si>
  <si>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</si>
  <si>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</si>
  <si>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</si>
  <si>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</si>
  <si>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</si>
  <si>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</si>
  <si>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</si>
  <si>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</si>
  <si>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</si>
  <si>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</si>
  <si>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</si>
  <si>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</si>
  <si>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</si>
  <si>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</si>
  <si>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</si>
  <si>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</si>
  <si>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</si>
  <si>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</si>
  <si>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SmartLoad-Dual.BC-08A.LOW_FLOW_ALARM_STATUS_M1</t>
  </si>
  <si>
    <t>SmartLoad-Dual.BC-08A.HIGH_FLOW_ALARM_STATUS_M1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</si>
  <si>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</si>
  <si>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</si>
  <si>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</si>
  <si>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</si>
  <si>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</si>
  <si>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</si>
  <si>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</si>
  <si>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</si>
  <si>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SmartLoad-Dual.BC-08A.MFM_BCU_QTY_BEYOND_TOLERANCE_LIMIT_STATUS</t>
  </si>
  <si>
    <t>SmartLoad-Dual.BC-08A.BCU_C1_TOTALIZER_MISMATCH_ALARM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</si>
  <si>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</si>
  <si>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</si>
  <si>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</si>
  <si>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</si>
  <si>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</si>
  <si>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</si>
  <si>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</si>
  <si>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</si>
  <si>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</si>
  <si>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</si>
  <si>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</si>
  <si>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</si>
  <si>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</si>
  <si>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</si>
  <si>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</si>
  <si>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</si>
  <si>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</si>
  <si>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</si>
  <si>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</si>
  <si>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</si>
  <si>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</si>
  <si>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</si>
  <si>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</si>
  <si>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</si>
  <si>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</si>
  <si>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</si>
  <si>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</si>
  <si>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</si>
  <si>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</si>
  <si>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</si>
  <si>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</si>
  <si>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</si>
  <si>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</si>
  <si>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</si>
  <si>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</si>
  <si>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</si>
  <si>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SmartLoad-Dual.BC-09B.NO_FLOW_ALARM_STATUS_M4</t>
  </si>
  <si>
    <t>SmartLoad-Dual.BC-09B.LOW_FLOW_ALARM_STATUS_M3</t>
  </si>
  <si>
    <t>SmartLoad-Dual.BC-09B.LOW_FLOW_ALARM_STATUS_M4</t>
  </si>
  <si>
    <t>SmartLoad-Dual.BC-09B.HIGH_FLOW_ALARM_STATUS_M3</t>
  </si>
  <si>
    <t>SmartLoad-Dual.BC-09B.HIGH_FLOW_ALARM_STATUS_M4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</si>
  <si>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</si>
  <si>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</si>
  <si>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</si>
  <si>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</si>
  <si>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</si>
  <si>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</si>
  <si>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</si>
  <si>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</si>
  <si>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SmartLoad-Dual.BC-09B.NOMINAL_ARM2_COMP2_KFACTOR_CHANGED</t>
  </si>
  <si>
    <t>SmartLoad-Dual.BC-09B.MFM_BCU_QTY_BEYOND_TOLERANCE_LIMIT_STATUS</t>
  </si>
  <si>
    <t>SmartLoad-Dual.BC-09B.BCU_C3_TOTALIZER_MISMATCH_ALARM</t>
  </si>
  <si>
    <t>SmartLoad-Dual.BC-09B.BCU_C4_TOTALIZER_MISMATCH_ALARM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</si>
  <si>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</si>
  <si>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</si>
  <si>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</si>
  <si>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</si>
  <si>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</si>
  <si>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</si>
  <si>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</si>
  <si>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</si>
  <si>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</si>
  <si>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</si>
  <si>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</si>
  <si>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</si>
  <si>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</si>
  <si>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</si>
  <si>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</si>
  <si>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</si>
  <si>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</si>
  <si>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</si>
  <si>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</si>
  <si>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</si>
  <si>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</si>
  <si>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</si>
  <si>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</si>
  <si>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</si>
  <si>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</si>
  <si>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</si>
  <si>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</si>
  <si>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</si>
  <si>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</si>
  <si>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</si>
  <si>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</si>
  <si>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</si>
  <si>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</si>
  <si>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SmartLoad-Dual.BC-10B.NOMINAL_ARM2_COMP2_KFACTOR_CHANGED</t>
  </si>
  <si>
    <t>SmartLoad-Dual.BC-10B.MFM_BCU_QTY_BEYOND_TOLERANCE_LIMIT_STATUS</t>
  </si>
  <si>
    <t>SmartLoad-Dual.BC-10B.BCU_C3_TOTALIZER_MISMATCH_ALARM</t>
  </si>
  <si>
    <t>SmartLoad-Dual.BC-10B.BCU_C4_TOTALIZER_MISMATCH_ALARM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</si>
  <si>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</si>
  <si>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</si>
  <si>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</si>
  <si>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</si>
  <si>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</si>
  <si>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</si>
  <si>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</si>
  <si>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</si>
  <si>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</si>
  <si>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</si>
  <si>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</si>
  <si>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</si>
  <si>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</si>
  <si>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</si>
  <si>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</si>
  <si>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</si>
  <si>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</si>
  <si>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</si>
  <si>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</si>
  <si>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</si>
  <si>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SmartLoad-Dual.BC-11B.NO_FLOW_ALARM_STATUS_M4</t>
  </si>
  <si>
    <t>SmartLoad-Dual.BC-11B.LOW_FLOW_ALARM_STATUS_M3</t>
  </si>
  <si>
    <t>SmartLoad-Dual.BC-11B.LOW_FLOW_ALARM_STATUS_M4</t>
  </si>
  <si>
    <t>SmartLoad-Dual.BC-11B.HIGH_FLOW_ALARM_STATUS_M3</t>
  </si>
  <si>
    <t>SmartLoad-Dual.BC-11B.HIGH_FLOW_ALARM_STATUS_M4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</si>
  <si>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</si>
  <si>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</si>
  <si>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</si>
  <si>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</si>
  <si>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</si>
  <si>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</si>
  <si>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</si>
  <si>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</si>
  <si>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SmartLoad-Dual.BC-11B.NOMINAL_ARM2_COMP2_KFACTOR_CHANGED</t>
  </si>
  <si>
    <t>SmartLoad-Dual.BC-11B.MFM_BCU_QTY_BEYOND_TOLERANCE_LIMIT_STATUS</t>
  </si>
  <si>
    <t>SmartLoad-Dual.BC-11B.BCU_C3_TOTALIZER_MISMATCH_ALARM</t>
  </si>
  <si>
    <t>SmartLoad-Dual.BC-11B.BCU_C4_TOTALIZER_MISMATCH_ALARM</t>
  </si>
  <si>
    <t>LP 23</t>
  </si>
  <si>
    <t>BC-12A</t>
  </si>
  <si>
    <t>SmartLoad-Dual.BC-12A.EARTH_ALARM_STATUS</t>
  </si>
  <si>
    <t>SmartLoad-Dual.BC-12A.NO_FLOW_ALARM_STATUS_M1</t>
  </si>
  <si>
    <t>SmartLoad-Dual.BC-12A.LOW_FLOW_ALARM_STATUS_M1</t>
  </si>
  <si>
    <t>SmartLoad-Dual.BC-12A.HIGH_FLOW_ALARM_STATUS_M1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</si>
  <si>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</si>
  <si>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</si>
  <si>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</si>
  <si>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</si>
  <si>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</si>
  <si>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</si>
  <si>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</si>
  <si>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</si>
  <si>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SmartLoad-Dual.BC-12A.MFM_BCU_QTY_BEYOND_TOLERANCE_LIMIT_STATUS</t>
  </si>
  <si>
    <t>SmartLoad-Dual.BC-12A.BCU_C1_TOTALIZER_MISMATCH_ALARM</t>
  </si>
  <si>
    <t>LP 24</t>
  </si>
  <si>
    <t>BC-12B</t>
  </si>
  <si>
    <t>SmartLoad-Dual.BC-12B.EARTH_ALARM_STATUS</t>
  </si>
  <si>
    <t>SmartLoad-Dual.BC-12B.NO_FLOW_ALARM_STATUS_M3</t>
  </si>
  <si>
    <t>SmartLoad-Dual.BC-12B.NO_FLOW_ALARM_STATUS_M4</t>
  </si>
  <si>
    <t>SmartLoad-Dual.BC-12B.LOW_FLOW_ALARM_STATUS_M3</t>
  </si>
  <si>
    <t>SmartLoad-Dual.BC-12B.LOW_FLOW_ALARM_STATUS_M4</t>
  </si>
  <si>
    <t>SmartLoad-Dual.BC-12B.HIGH_FLOW_ALARM_STATUS_M3</t>
  </si>
  <si>
    <t>SmartLoad-Dual.BC-12B.HIGH_FLOW_ALARM_STATUS_M4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</si>
  <si>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</si>
  <si>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</si>
  <si>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</si>
  <si>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</si>
  <si>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</si>
  <si>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</si>
  <si>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</si>
  <si>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</si>
  <si>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SmartLoad-Dual.BC-12B.NOMINAL_ARM2_COMP2_KFACTOR_CHANGED</t>
  </si>
  <si>
    <t>SmartLoad-Dual.BC-12B.MFM_BCU_QTY_BEYOND_TOLERANCE_LIMIT_STATUS</t>
  </si>
  <si>
    <t>SmartLoad-Dual.BC-12B.BCU_C3_TOTALIZER_MISMATCH_ALARM</t>
  </si>
  <si>
    <t>SmartLoad-Dual.BC-12B.BCU_C4_TOTALIZER_MISMATCH_ALARM</t>
  </si>
  <si>
    <t>LP 25</t>
  </si>
  <si>
    <t>BC-13A</t>
  </si>
  <si>
    <t>SmartLoad-Dual.BC-13A.EARTH_ALARM_STATUS</t>
  </si>
  <si>
    <t>SmartLoad-Dual.BC-13A.NO_FLOW_ALARM_STATUS_M1</t>
  </si>
  <si>
    <t>SmartLoad-Dual.BC-13A.LOW_FLOW_ALARM_STATUS_M1</t>
  </si>
  <si>
    <t>SmartLoad-Dual.BC-13A.HIGH_FLOW_ALARM_STATUS_M1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</si>
  <si>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</si>
  <si>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</si>
  <si>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</si>
  <si>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</si>
  <si>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</si>
  <si>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</si>
  <si>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</si>
  <si>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</si>
  <si>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SmartLoad-Dual.BC-13A.MFM_BCU_QTY_BEYOND_TOLERANCE_LIMIT_STATUS</t>
  </si>
  <si>
    <t>SmartLoad-Dual.BC-13A.BCU_C1_TOTALIZER_MISMATCH_ALARM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</si>
  <si>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</si>
  <si>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</si>
  <si>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</si>
  <si>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</si>
  <si>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</si>
  <si>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</si>
  <si>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</si>
  <si>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</si>
  <si>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</si>
  <si>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</si>
  <si>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</si>
  <si>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</si>
  <si>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</si>
  <si>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</si>
  <si>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</si>
  <si>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</si>
  <si>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</si>
  <si>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</si>
  <si>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</si>
  <si>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</si>
  <si>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</si>
  <si>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</si>
  <si>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</si>
  <si>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</si>
  <si>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</si>
  <si>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</si>
  <si>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</si>
  <si>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</si>
  <si>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</si>
  <si>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</si>
  <si>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</si>
  <si>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</si>
  <si>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</si>
  <si>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</si>
  <si>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</si>
  <si>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SmartLoad-Dual.BC-14A.MFM_BCU_QTY_BEYOND_TOLERANCE_LIMIT_STATUS</t>
  </si>
  <si>
    <t>SmartLoad-Dual.BC-14A.BCU_C1_TOTALIZER_MISMATCH_ALARM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</si>
  <si>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</si>
  <si>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</si>
  <si>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</si>
  <si>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</si>
  <si>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</si>
  <si>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</si>
  <si>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</si>
  <si>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</si>
  <si>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</si>
  <si>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</si>
  <si>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</si>
  <si>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</si>
  <si>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</si>
  <si>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</si>
  <si>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</si>
  <si>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</si>
  <si>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</si>
  <si>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</si>
  <si>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</si>
  <si>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</si>
  <si>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</si>
  <si>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</si>
  <si>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</si>
  <si>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</si>
  <si>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</si>
  <si>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</si>
  <si>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</si>
  <si>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</si>
  <si>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</si>
  <si>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</si>
  <si>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</si>
  <si>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</si>
  <si>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</si>
  <si>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</si>
  <si>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</si>
  <si>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SmartLoad-Dual.BC-15A.MFM_BCU_QTY_BEYOND_TOLERANCE_LIMIT_STATUS</t>
  </si>
  <si>
    <t>SmartLoad-Dual.BC-15A.BCU_C1_TOTALIZER_MISMATCH_ALARM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</si>
  <si>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</si>
  <si>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</si>
  <si>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</si>
  <si>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</si>
  <si>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</si>
  <si>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</si>
  <si>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</si>
  <si>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</si>
  <si>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</si>
  <si>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</si>
  <si>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</si>
  <si>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</si>
  <si>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</si>
  <si>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</si>
  <si>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</si>
  <si>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</si>
  <si>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</si>
  <si>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</si>
  <si>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</si>
  <si>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</si>
  <si>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</si>
  <si>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</si>
  <si>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</si>
  <si>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</si>
  <si>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</si>
  <si>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</si>
  <si>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</si>
  <si>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</si>
  <si>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</si>
  <si>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</si>
  <si>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</si>
  <si>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</si>
  <si>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</si>
  <si>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</si>
  <si>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</si>
  <si>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</si>
  <si>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SmartLoad-Dual.BC-16B.NO_FLOW_ALARM_STATUS_M4</t>
  </si>
  <si>
    <t>SmartLoad-Dual.BC-16B.LOW_FLOW_ALARM_STATUS_M3</t>
  </si>
  <si>
    <t>SmartLoad-Dual.BC-16B.LOW_FLOW_ALARM_STATUS_M4</t>
  </si>
  <si>
    <t>SmartLoad-Dual.BC-16B.HIGH_FLOW_ALARM_STATUS_M3</t>
  </si>
  <si>
    <t>SmartLoad-Dual.BC-16B.HIGH_FLOW_ALARM_STATUS_M4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</si>
  <si>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</si>
  <si>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</si>
  <si>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</si>
  <si>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</si>
  <si>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</si>
  <si>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</si>
  <si>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</si>
  <si>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</si>
  <si>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SmartLoad-Dual.BC-16B.NOMINAL_ARM2_COMP2_KFACTOR_CHANGED</t>
  </si>
  <si>
    <t>SmartLoad-Dual.BC-16B.MFM_BCU_QTY_BEYOND_TOLERANCE_LIMIT_STATUS</t>
  </si>
  <si>
    <t>SmartLoad-Dual.BC-16B.BCU_C3_TOTALIZER_MISMATCH_ALARM</t>
  </si>
  <si>
    <t>SmartLoad-Dual.BC-16B.BCU_C4_TOTALIZER_MISMATCH_ALARM</t>
  </si>
  <si>
    <t>LP 33</t>
  </si>
  <si>
    <t>BC-17A</t>
  </si>
  <si>
    <t>SmartLoad-Dual.BC-17A.EARTH_ALARM_STATUS</t>
  </si>
  <si>
    <t>SmartLoad-Dual.BC-17A.NO_FLOW_ALARM_STATUS_M1</t>
  </si>
  <si>
    <t>SmartLoad-Dual.BC-17A.LOW_FLOW_ALARM_STATUS_M1</t>
  </si>
  <si>
    <t>SmartLoad-Dual.BC-17A.HIGH_FLOW_ALARM_STATUS_M1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</si>
  <si>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</si>
  <si>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</si>
  <si>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</si>
  <si>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</si>
  <si>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</si>
  <si>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</si>
  <si>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</si>
  <si>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</si>
  <si>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SmartLoad-Dual.BC-17A.MFM_BCU_QTY_BEYOND_TOLERANCE_LIMIT_STATUS</t>
  </si>
  <si>
    <t>SmartLoad-Dual.BC-17A.BCU_C1_TOTALIZER_MISMATCH_ALARM</t>
  </si>
  <si>
    <t>LP 34</t>
  </si>
  <si>
    <t>BC-17B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</si>
  <si>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</si>
  <si>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</si>
  <si>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</si>
  <si>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</si>
  <si>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</si>
  <si>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</si>
  <si>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</si>
  <si>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</si>
  <si>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</si>
  <si>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</si>
  <si>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</si>
  <si>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</si>
  <si>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</si>
  <si>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</si>
  <si>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</si>
  <si>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</si>
  <si>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</si>
  <si>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</si>
  <si>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SmartLoad-Dual.BC-18A.LOW_FLOW_ALARM_STATUS_M1</t>
  </si>
  <si>
    <t>SmartLoad-Dual.BC-18A.HIGH_FLOW_ALARM_STATUS_M1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</si>
  <si>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</si>
  <si>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</si>
  <si>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</si>
  <si>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</si>
  <si>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</si>
  <si>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</si>
  <si>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</si>
  <si>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</si>
  <si>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SmartLoad-Dual.BC-18A.MFM_BCU_QTY_BEYOND_TOLERANCE_LIMIT_STATUS</t>
  </si>
  <si>
    <t>SmartLoad-Dual.BC-18A.BCU_C1_TOTALIZER_MISMATCH_ALARM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</si>
  <si>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</si>
  <si>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</si>
  <si>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</si>
  <si>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</si>
  <si>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</si>
  <si>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</si>
  <si>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</si>
  <si>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</si>
  <si>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</si>
  <si>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</si>
  <si>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</si>
  <si>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</si>
  <si>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</si>
  <si>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</si>
  <si>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</si>
  <si>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</si>
  <si>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</si>
  <si>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</si>
  <si>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</si>
  <si>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</si>
  <si>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SmartLoad-Dual.BC-19A.LOW_FLOW_ALARM_STATUS_M1</t>
  </si>
  <si>
    <t>SmartLoad-Dual.BC-19A.HIGH_FLOW_ALARM_STATUS_M1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</si>
  <si>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</si>
  <si>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</si>
  <si>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</si>
  <si>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</si>
  <si>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</si>
  <si>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</si>
  <si>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</si>
  <si>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</si>
  <si>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SmartLoad-Dual.BC-19A.MFM_BCU_QTY_BEYOND_TOLERANCE_LIMIT_STATUS</t>
  </si>
  <si>
    <t>SmartLoad-Dual.BC-19A.BCU_C1_TOTALIZER_MISMATCH_ALARM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</si>
  <si>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</si>
  <si>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</si>
  <si>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</si>
  <si>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</si>
  <si>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</si>
  <si>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</si>
  <si>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</si>
  <si>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</si>
  <si>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</si>
  <si>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</si>
  <si>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</si>
  <si>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</si>
  <si>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</si>
  <si>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</si>
  <si>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</si>
  <si>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</si>
  <si>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</si>
  <si>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</si>
  <si>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</si>
  <si>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</si>
  <si>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SmartLoad-Dual.BC-20A.LOW_FLOW_ALARM_STATUS_M1</t>
  </si>
  <si>
    <t>SmartLoad-Dual.BC-20A.HIGH_FLOW_ALARM_STATUS_M1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</si>
  <si>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</si>
  <si>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</si>
  <si>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</si>
  <si>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</si>
  <si>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</si>
  <si>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</si>
  <si>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</si>
  <si>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</si>
  <si>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SmartLoad-Dual.BC-20A.MFM_BCU_QTY_BEYOND_TOLERANCE_LIMIT_STATUS</t>
  </si>
  <si>
    <t>SmartLoad-Dual.BC-20A.BCU_C1_TOTALIZER_MISMATCH_ALARM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</si>
  <si>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</si>
  <si>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</si>
  <si>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</si>
  <si>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</si>
  <si>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</si>
  <si>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</si>
  <si>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</si>
  <si>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</si>
  <si>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</si>
  <si>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</si>
  <si>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</si>
  <si>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</si>
  <si>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</si>
  <si>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</si>
  <si>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</si>
  <si>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</si>
  <si>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>LP 41</t>
  </si>
  <si>
    <t>BC-21A</t>
  </si>
  <si>
    <t>SmartLoad-Dual.BC-21A.EARTH_ALARM_STATUS</t>
  </si>
  <si>
    <t>SmartLoad-Dual.BC-21A.NO_FLOW_ALARM_STATUS_M1</t>
  </si>
  <si>
    <t>SmartLoad-Dual.BC-21A.LOW_FLOW_ALARM_STATUS_M1</t>
  </si>
  <si>
    <t>SmartLoad-Dual.BC-21A.HIGH_FLOW_ALARM_STATUS_M1</t>
  </si>
  <si>
    <t>SmartLoad-Dual.BC-21A.UNAUTHORIZE_FLOW_ALARM_STATUS_M1</t>
  </si>
  <si>
    <t>SmartLoad-Dual.BC-21A.METER_OVERRUN_ALARM_STATUS_M1</t>
  </si>
  <si>
    <t>SmartLoad-Dual.BC-21A.BLEND_OVERDOSE_ALARM_STATUS</t>
  </si>
  <si>
    <t>SmartLoad-Dual.BC-21A.BLEND_UNDERDOSE_ALARM_STATUS</t>
  </si>
  <si>
    <t>SmartLoad-Dual.BC-21A.ADDITIVE_OVERDOSE_ALARM_STATUS</t>
  </si>
  <si>
    <t>SmartLoad-Dual.BC-21A.ADDITIVE_UNDERDOSE_ALARM_STATUS</t>
  </si>
  <si>
    <t>SmartLoad-Dual.BC-21A.BATCH_STATUS</t>
  </si>
  <si>
    <t>SmartLoad-Dual.BC-21A.NOMINAL_ARM1_COMP1_KFACTOR_CHANGED</t>
  </si>
  <si>
    <t>SmartLoad-Dual.BC-21A.MFM_BCU_QTY_BEYOND_TOLERANCE_LIMIT_STATUS</t>
  </si>
  <si>
    <t>SmartLoad-Dual.BC-21A.BCU_C1_TOTALIZER_MISMATCH_ALARM</t>
  </si>
  <si>
    <t>LP 42</t>
  </si>
  <si>
    <t>BC-21B</t>
  </si>
  <si>
    <t>SmartLoad-Dual.BC-21B.EARTH_ALARM_STATUS</t>
  </si>
  <si>
    <t>SmartLoad-Dual.BC-21B.NO_FLOW_ALARM_STATUS_M3</t>
  </si>
  <si>
    <t>SmartLoad-Dual.BC-21B.LOW_FLOW_ALARM_STATUS_M3</t>
  </si>
  <si>
    <t>SmartLoad-Dual.BC-21B.HIGH_FLOW_ALARM_STATUS_M3</t>
  </si>
  <si>
    <t>SmartLoad-Dual.BC-21B.UNAUTHORIZE_FLOW_ALARM_STATUS_M3</t>
  </si>
  <si>
    <t>SmartLoad-Dual.BC-21B.METER_OVERRUN_ALARM_STATUS_M3</t>
  </si>
  <si>
    <t>SmartLoad-Dual.BC-21B.BLEND_OVERDOSE_ALARM_STATUS</t>
  </si>
  <si>
    <t>SmartLoad-Dual.BC-21B.BLEND_UNDERDOSE_ALARM_STATUS</t>
  </si>
  <si>
    <t>SmartLoad-Dual.BC-21B.ADDITIVE_OVERDOSE_ALARM_STATUS</t>
  </si>
  <si>
    <t>SmartLoad-Dual.BC-21B.ADDITIVE_UNDERDOSE_ALARM_STATUS</t>
  </si>
  <si>
    <t>SmartLoad-Dual.BC-21B.BATCH_STATUS</t>
  </si>
  <si>
    <t>SmartLoad-Dual.BC-21B.NOMINAL_ARM2_COMP1_KFACTOR_CHANGED</t>
  </si>
  <si>
    <t>SmartLoad-Dual.BC-21B.MFM_BCU_QTY_BEYOND_TOLERANCE_LIMIT_STATUS</t>
  </si>
  <si>
    <t>SmartLoad-Dual.BC-21B.BCU_C3_TOTALIZER_MISMATCH_ALARM</t>
  </si>
  <si>
    <t>LP 43</t>
  </si>
  <si>
    <t>BC-22A</t>
  </si>
  <si>
    <t>SmartLoad-Dual.BC-22A.EARTH_ALARM_STATUS</t>
  </si>
  <si>
    <t>SmartLoad-Dual.BC-22A.NO_FLOW_ALARM_STATUS_M1</t>
  </si>
  <si>
    <t>SmartLoad-Dual.BC-22A.LOW_FLOW_ALARM_STATUS_M1</t>
  </si>
  <si>
    <t>SmartLoad-Dual.BC-22A.HIGH_FLOW_ALARM_STATUS_M1</t>
  </si>
  <si>
    <t>SmartLoad-Dual.BC-22A.UNAUTHORIZE_FLOW_ALARM_STATUS_M1</t>
  </si>
  <si>
    <t>SmartLoad-Dual.BC-22A.METER_OVERRUN_ALARM_STATUS_M1</t>
  </si>
  <si>
    <t>SmartLoad-Dual.BC-22A.BLEND_OVERDOSE_ALARM_STATUS</t>
  </si>
  <si>
    <t>SmartLoad-Dual.BC-22A.BLEND_UNDERDOSE_ALARM_STATUS</t>
  </si>
  <si>
    <t>SmartLoad-Dual.BC-22A.ADDITIVE_OVERDOSE_ALARM_STATUS</t>
  </si>
  <si>
    <t>SmartLoad-Dual.BC-22A.ADDITIVE_UNDERDOSE_ALARM_STATUS</t>
  </si>
  <si>
    <t>SmartLoad-Dual.BC-22A.BATCH_STATUS</t>
  </si>
  <si>
    <t>SmartLoad-Dual.BC-22A.NOMINAL_ARM1_COMP1_KFACTOR_CHANGED</t>
  </si>
  <si>
    <t>SmartLoad-Dual.BC-22A.MFM_BCU_QTY_BEYOND_TOLERANCE_LIMIT_STATUS</t>
  </si>
  <si>
    <t>SmartLoad-Dual.BC-22A.BCU_C1_TOTALIZER_MISMATCH_ALARM</t>
  </si>
  <si>
    <t>LP 44</t>
  </si>
  <si>
    <t>BC-22B</t>
  </si>
  <si>
    <t>SmartLoad-Dual.BC-22B.EARTH_ALARM_STATUS</t>
  </si>
  <si>
    <t>SmartLoad-Dual.BC-22B.NO_FLOW_ALARM_STATUS_M3</t>
  </si>
  <si>
    <t>SmartLoad-Dual.BC-22B.LOW_FLOW_ALARM_STATUS_M3</t>
  </si>
  <si>
    <t>SmartLoad-Dual.BC-22B.HIGH_FLOW_ALARM_STATUS_M3</t>
  </si>
  <si>
    <t>SmartLoad-Dual.BC-22B.UNAUTHORIZE_FLOW_ALARM_STATUS_M3</t>
  </si>
  <si>
    <t>SmartLoad-Dual.BC-22B.METER_OVERRUN_ALARM_STATUS_M3</t>
  </si>
  <si>
    <t>SmartLoad-Dual.BC-22B.BLEND_OVERDOSE_ALARM_STATUS</t>
  </si>
  <si>
    <t>SmartLoad-Dual.BC-22B.BLEND_UNDERDOSE_ALARM_STATUS</t>
  </si>
  <si>
    <t>SmartLoad-Dual.BC-22B.ADDITIVE_OVERDOSE_ALARM_STATUS</t>
  </si>
  <si>
    <t>SmartLoad-Dual.BC-22B.ADDITIVE_UNDERDOSE_ALARM_STATUS</t>
  </si>
  <si>
    <t>SmartLoad-Dual.BC-22B.BATCH_STATUS</t>
  </si>
  <si>
    <t>SmartLoad-Dual.BC-22B.NOMINAL_ARM2_COMP1_KFACTOR_CHANGED</t>
  </si>
  <si>
    <t>SmartLoad-Dual.BC-22B.MFM_BCU_QTY_BEYOND_TOLERANCE_LIMIT_STATUS</t>
  </si>
  <si>
    <t>SmartLoad-Dual.BC-22B.BCU_C3_TOTALIZER_MISMATCH_ALARM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</si>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</sst>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b/>
      <sz val="10.0"/>
      <color rgb="FF000000"/>
      <name val="Arial"/>
    </font>
    <font>
      <b/>
      <sz val="11.0"/>
      <color rgb="FF222222"/>
      <name val="Google Sans"/>
    </font>
    <font>
      <b/>
      <sz val="11.0"/>
      <color theme="1"/>
      <name val="Calibri"/>
    </font>
    <font>
      <sz val="10.0"/>
      <color theme="1"/>
      <name val="Arial"/>
    </font>
    <font>
      <sz val="11.0"/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7F7E7"/>
        <bgColor rgb="FFF7F7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/>
      <right/>
      <top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vertical="top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vertical="top" wrapText="1"/>
    </xf>
    <xf borderId="2" fillId="4" fontId="2" numFmtId="0" xfId="0" applyAlignment="1" applyBorder="1" applyFill="1" applyFont="1">
      <alignment vertical="top"/>
    </xf>
    <xf borderId="0" fillId="0" fontId="2" numFmtId="0" xfId="0" applyAlignment="1" applyFont="1">
      <alignment readingOrder="0" vertical="top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readingOrder="0" shrinkToFit="0" vertical="top" wrapText="0"/>
    </xf>
    <xf borderId="1" fillId="3" fontId="2" numFmtId="0" xfId="0" applyAlignment="1" applyBorder="1" applyFont="1">
      <alignment shrinkToFit="0" vertical="top" wrapText="0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6" fontId="8" numFmtId="0" xfId="0" applyAlignment="1" applyBorder="1" applyFill="1" applyFont="1">
      <alignment vertical="bottom"/>
    </xf>
    <xf borderId="4" fillId="4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7" fontId="2" numFmtId="0" xfId="0" applyAlignment="1" applyBorder="1" applyFill="1" applyFont="1">
      <alignment readingOrder="0" shrinkToFit="0" vertical="bottom" wrapText="1"/>
    </xf>
    <xf borderId="1" fillId="7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vertical="center"/>
    </xf>
    <xf borderId="0" fillId="0" fontId="2" numFmtId="0" xfId="0" applyFont="1"/>
    <xf borderId="1" fillId="2" fontId="1" numFmtId="0" xfId="0" applyAlignment="1" applyBorder="1" applyFont="1">
      <alignment horizontal="center" readingOrder="0" shrinkToFit="0" vertical="bottom" wrapText="0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wrapText="0"/>
    </xf>
    <xf borderId="2" fillId="4" fontId="2" numFmtId="0" xfId="0" applyBorder="1" applyFont="1"/>
    <xf borderId="1" fillId="4" fontId="3" numFmtId="0" xfId="0" applyAlignment="1" applyBorder="1" applyFont="1">
      <alignment horizontal="left" vertical="center"/>
    </xf>
    <xf borderId="1" fillId="0" fontId="9" numFmtId="0" xfId="0" applyAlignment="1" applyBorder="1" applyFont="1">
      <alignment vertical="top"/>
    </xf>
    <xf borderId="1" fillId="3" fontId="2" numFmtId="0" xfId="0" applyBorder="1" applyFont="1"/>
    <xf borderId="0" fillId="0" fontId="1" numFmtId="0" xfId="0" applyAlignment="1" applyFont="1">
      <alignment vertical="bottom"/>
    </xf>
    <xf borderId="1" fillId="0" fontId="10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left" vertical="center"/>
    </xf>
    <xf borderId="1" fillId="3" fontId="1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8.75"/>
    <col customWidth="1" min="5" max="5" width="9.0"/>
    <col customWidth="1" min="6" max="6" width="23.25"/>
    <col customWidth="1" min="7" max="7" width="27.25"/>
    <col customWidth="1" min="9" max="9" width="30.88"/>
    <col customWidth="1" min="13" max="13" width="30.5"/>
    <col customWidth="1" min="15" max="15" width="17.5"/>
    <col customWidth="1" min="19" max="19" width="21.13"/>
    <col customWidth="1" min="23" max="23" width="28.0"/>
    <col customWidth="1" min="27" max="27" width="26.13"/>
    <col customWidth="1" min="35" max="35" width="22.25"/>
    <col customWidth="1" min="47" max="47" width="21.63"/>
    <col customWidth="1" min="51" max="51" width="21.5"/>
    <col customWidth="1" min="55" max="55" width="25.5"/>
    <col customWidth="1" min="59" max="59" width="20.63"/>
    <col customWidth="1" min="71" max="71" width="26.75"/>
    <col customWidth="1" min="75" max="75" width="30.38"/>
    <col customWidth="1" min="79" max="79" width="37.0"/>
    <col customWidth="1" min="83" max="83" width="32.0"/>
    <col customWidth="1" min="87" max="87" width="26.75"/>
    <col customWidth="1" min="91" max="91" width="31.25"/>
    <col customWidth="1" min="92" max="92" width="11.5"/>
    <col customWidth="1" min="95" max="95" width="26.13"/>
    <col customWidth="1" min="99" max="99" width="26.13"/>
    <col customWidth="1" min="103" max="103" width="27.88"/>
    <col customWidth="1" min="107" max="107" width="27.88"/>
    <col customWidth="1" min="111" max="111" width="26.13"/>
    <col customWidth="1" min="115" max="115" width="32.13"/>
    <col customWidth="1" min="119" max="119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3" t="s">
        <v>9</v>
      </c>
      <c r="L1" s="3" t="s">
        <v>10</v>
      </c>
      <c r="M1" s="3" t="s">
        <v>11</v>
      </c>
      <c r="N1" s="2" t="s">
        <v>7</v>
      </c>
      <c r="O1" s="2" t="s">
        <v>12</v>
      </c>
      <c r="P1" s="2" t="s">
        <v>7</v>
      </c>
      <c r="Q1" s="2" t="s">
        <v>9</v>
      </c>
      <c r="R1" s="2" t="s">
        <v>10</v>
      </c>
      <c r="S1" s="2" t="s">
        <v>13</v>
      </c>
      <c r="T1" s="2" t="s">
        <v>14</v>
      </c>
      <c r="U1" s="2" t="s">
        <v>9</v>
      </c>
      <c r="V1" s="2" t="s">
        <v>10</v>
      </c>
      <c r="W1" s="4" t="s">
        <v>15</v>
      </c>
      <c r="X1" s="5" t="s">
        <v>16</v>
      </c>
      <c r="Y1" s="2" t="s">
        <v>9</v>
      </c>
      <c r="Z1" s="2" t="s">
        <v>10</v>
      </c>
      <c r="AA1" s="2" t="s">
        <v>17</v>
      </c>
      <c r="AB1" s="2" t="s">
        <v>18</v>
      </c>
      <c r="AC1" s="2" t="s">
        <v>9</v>
      </c>
      <c r="AD1" s="2" t="s">
        <v>10</v>
      </c>
      <c r="AE1" s="2" t="s">
        <v>19</v>
      </c>
      <c r="AF1" s="2" t="s">
        <v>20</v>
      </c>
      <c r="AG1" s="2" t="s">
        <v>9</v>
      </c>
      <c r="AH1" s="2" t="s">
        <v>10</v>
      </c>
      <c r="AI1" s="2" t="s">
        <v>21</v>
      </c>
      <c r="AJ1" s="2" t="s">
        <v>22</v>
      </c>
      <c r="AK1" s="2" t="s">
        <v>9</v>
      </c>
      <c r="AL1" s="2" t="s">
        <v>10</v>
      </c>
      <c r="AM1" s="2" t="s">
        <v>23</v>
      </c>
      <c r="AN1" s="2" t="s">
        <v>24</v>
      </c>
      <c r="AO1" s="2" t="s">
        <v>9</v>
      </c>
      <c r="AP1" s="2" t="s">
        <v>10</v>
      </c>
      <c r="AQ1" s="2" t="s">
        <v>25</v>
      </c>
      <c r="AR1" s="2" t="s">
        <v>26</v>
      </c>
      <c r="AS1" s="2" t="s">
        <v>9</v>
      </c>
      <c r="AT1" s="2" t="s">
        <v>10</v>
      </c>
      <c r="AU1" s="2" t="s">
        <v>27</v>
      </c>
      <c r="AV1" s="2" t="s">
        <v>28</v>
      </c>
      <c r="AW1" s="2" t="s">
        <v>9</v>
      </c>
      <c r="AX1" s="2" t="s">
        <v>10</v>
      </c>
      <c r="AY1" s="2" t="s">
        <v>29</v>
      </c>
      <c r="AZ1" s="2" t="s">
        <v>30</v>
      </c>
      <c r="BA1" s="2" t="s">
        <v>9</v>
      </c>
      <c r="BB1" s="2" t="s">
        <v>10</v>
      </c>
      <c r="BC1" s="2" t="s">
        <v>31</v>
      </c>
      <c r="BD1" s="2" t="s">
        <v>7</v>
      </c>
      <c r="BE1" s="2" t="s">
        <v>9</v>
      </c>
      <c r="BF1" s="2" t="s">
        <v>10</v>
      </c>
      <c r="BG1" s="2" t="s">
        <v>32</v>
      </c>
      <c r="BH1" s="2" t="s">
        <v>14</v>
      </c>
      <c r="BI1" s="2" t="s">
        <v>9</v>
      </c>
      <c r="BJ1" s="2" t="s">
        <v>10</v>
      </c>
      <c r="BK1" s="2" t="s">
        <v>33</v>
      </c>
      <c r="BL1" s="2" t="s">
        <v>7</v>
      </c>
      <c r="BM1" s="2" t="s">
        <v>9</v>
      </c>
      <c r="BN1" s="2" t="s">
        <v>10</v>
      </c>
      <c r="BO1" s="2" t="s">
        <v>34</v>
      </c>
      <c r="BP1" s="2" t="s">
        <v>35</v>
      </c>
      <c r="BQ1" s="2" t="s">
        <v>9</v>
      </c>
      <c r="BR1" s="2" t="s">
        <v>10</v>
      </c>
      <c r="BS1" s="2" t="s">
        <v>36</v>
      </c>
      <c r="BT1" s="2" t="s">
        <v>37</v>
      </c>
      <c r="BU1" s="2" t="s">
        <v>9</v>
      </c>
      <c r="BV1" s="2" t="s">
        <v>10</v>
      </c>
      <c r="BW1" s="2" t="s">
        <v>38</v>
      </c>
      <c r="BX1" s="2" t="s">
        <v>39</v>
      </c>
      <c r="BY1" s="2" t="s">
        <v>9</v>
      </c>
      <c r="BZ1" s="2" t="s">
        <v>10</v>
      </c>
      <c r="CA1" s="3" t="s">
        <v>40</v>
      </c>
      <c r="CB1" s="3" t="s">
        <v>7</v>
      </c>
      <c r="CC1" s="2" t="s">
        <v>9</v>
      </c>
      <c r="CD1" s="2" t="s">
        <v>10</v>
      </c>
      <c r="CE1" s="2" t="s">
        <v>38</v>
      </c>
      <c r="CF1" s="3" t="s">
        <v>7</v>
      </c>
      <c r="CG1" s="2" t="s">
        <v>9</v>
      </c>
      <c r="CH1" s="2" t="s">
        <v>10</v>
      </c>
      <c r="CI1" s="2" t="s">
        <v>41</v>
      </c>
      <c r="CJ1" s="2" t="s">
        <v>7</v>
      </c>
      <c r="CK1" s="2" t="s">
        <v>9</v>
      </c>
      <c r="CL1" s="2" t="s">
        <v>10</v>
      </c>
      <c r="CM1" s="2" t="s">
        <v>42</v>
      </c>
      <c r="CN1" s="2" t="s">
        <v>7</v>
      </c>
      <c r="CO1" s="2" t="s">
        <v>9</v>
      </c>
      <c r="CP1" s="2" t="s">
        <v>10</v>
      </c>
      <c r="CQ1" s="2" t="s">
        <v>43</v>
      </c>
      <c r="CR1" s="2" t="s">
        <v>14</v>
      </c>
      <c r="CS1" s="2" t="s">
        <v>9</v>
      </c>
      <c r="CT1" s="2" t="s">
        <v>10</v>
      </c>
      <c r="CU1" s="6" t="s">
        <v>44</v>
      </c>
      <c r="CV1" s="2" t="s">
        <v>14</v>
      </c>
      <c r="CW1" s="2" t="s">
        <v>9</v>
      </c>
      <c r="CX1" s="2" t="s">
        <v>10</v>
      </c>
      <c r="CY1" s="6" t="s">
        <v>45</v>
      </c>
      <c r="CZ1" s="2" t="s">
        <v>14</v>
      </c>
      <c r="DA1" s="2" t="s">
        <v>9</v>
      </c>
      <c r="DB1" s="2" t="s">
        <v>10</v>
      </c>
      <c r="DC1" s="7" t="s">
        <v>46</v>
      </c>
      <c r="DD1" s="2" t="s">
        <v>14</v>
      </c>
      <c r="DE1" s="2" t="s">
        <v>9</v>
      </c>
      <c r="DF1" s="2" t="s">
        <v>10</v>
      </c>
      <c r="DG1" s="6" t="s">
        <v>47</v>
      </c>
      <c r="DH1" s="2" t="s">
        <v>14</v>
      </c>
      <c r="DI1" s="2" t="s">
        <v>9</v>
      </c>
      <c r="DJ1" s="2" t="s">
        <v>10</v>
      </c>
      <c r="DK1" s="2" t="s">
        <v>48</v>
      </c>
      <c r="DL1" s="2" t="s">
        <v>14</v>
      </c>
      <c r="DM1" s="2" t="s">
        <v>9</v>
      </c>
      <c r="DN1" s="2" t="s">
        <v>10</v>
      </c>
      <c r="DO1" s="2" t="s">
        <v>49</v>
      </c>
      <c r="DP1" s="2" t="s">
        <v>14</v>
      </c>
      <c r="DQ1" s="2" t="s">
        <v>9</v>
      </c>
      <c r="DR1" s="2" t="s">
        <v>10</v>
      </c>
    </row>
    <row r="2">
      <c r="A2" s="8">
        <v>1216.0</v>
      </c>
      <c r="B2" s="8" t="s">
        <v>50</v>
      </c>
      <c r="C2" s="9" t="str">
        <f t="shared" ref="C2:C48" si="1">CONCATENATE(D2,"_",F2)</f>
        <v>TK-01_BS VI HSD</v>
      </c>
      <c r="D2" s="10" t="s">
        <v>51</v>
      </c>
      <c r="E2" s="11" t="s">
        <v>52</v>
      </c>
      <c r="F2" s="10" t="s">
        <v>53</v>
      </c>
      <c r="G2" s="12" t="s">
        <v>54</v>
      </c>
      <c r="H2" s="8">
        <v>0.0</v>
      </c>
      <c r="I2" s="13" t="s">
        <v>55</v>
      </c>
      <c r="J2" s="13" t="s">
        <v>14</v>
      </c>
      <c r="K2" s="13"/>
      <c r="L2" s="13"/>
      <c r="M2" s="13" t="s">
        <v>56</v>
      </c>
      <c r="N2" s="13" t="s">
        <v>14</v>
      </c>
      <c r="O2" s="14" t="s">
        <v>57</v>
      </c>
      <c r="P2" s="15"/>
      <c r="Q2" s="9" t="str">
        <f t="shared" ref="Q2:Q48" si="2">MID(O2,6,5)</f>
        <v>TK-01</v>
      </c>
      <c r="R2" s="16" t="s">
        <v>58</v>
      </c>
      <c r="S2" s="14" t="s">
        <v>59</v>
      </c>
      <c r="T2" s="17">
        <v>0.0</v>
      </c>
      <c r="U2" s="9" t="str">
        <f t="shared" ref="U2:U48" si="3">MID(S2,6,5)</f>
        <v>TK-01</v>
      </c>
      <c r="V2" s="16" t="s">
        <v>58</v>
      </c>
      <c r="W2" s="14" t="s">
        <v>60</v>
      </c>
      <c r="X2" s="17">
        <v>0.0</v>
      </c>
      <c r="Y2" s="17" t="str">
        <f t="shared" ref="Y2:Y48" si="4">MID(W2,6,5)</f>
        <v>TK-01</v>
      </c>
      <c r="Z2" s="16" t="s">
        <v>58</v>
      </c>
      <c r="AA2" s="14" t="s">
        <v>61</v>
      </c>
      <c r="AB2" s="17">
        <v>0.0</v>
      </c>
      <c r="AC2" s="9" t="str">
        <f t="shared" ref="AC2:AC48" si="5">MID(AA2,6,5)</f>
        <v>TK-01</v>
      </c>
      <c r="AD2" s="8" t="s">
        <v>58</v>
      </c>
      <c r="AE2" s="14" t="s">
        <v>62</v>
      </c>
      <c r="AF2" s="17">
        <v>0.0</v>
      </c>
      <c r="AG2" s="9" t="str">
        <f t="shared" ref="AG2:AG48" si="6">MID(AE2,13,6)</f>
        <v>LSW-01</v>
      </c>
      <c r="AH2" s="8" t="s">
        <v>63</v>
      </c>
      <c r="AI2" s="14" t="s">
        <v>64</v>
      </c>
      <c r="AJ2" s="17">
        <v>0.0</v>
      </c>
      <c r="AK2" s="9" t="str">
        <f t="shared" ref="AK2:AK48" si="7">MID(AI2,13,6)</f>
        <v>LSW-01</v>
      </c>
      <c r="AL2" s="8" t="s">
        <v>63</v>
      </c>
      <c r="AM2" s="14" t="s">
        <v>65</v>
      </c>
      <c r="AN2" s="17">
        <v>0.0</v>
      </c>
      <c r="AO2" s="9" t="str">
        <f t="shared" ref="AO2:AO48" si="8">MID(AM2,13,6)</f>
        <v>LSW-01</v>
      </c>
      <c r="AP2" s="8" t="s">
        <v>63</v>
      </c>
      <c r="AQ2" s="14" t="s">
        <v>66</v>
      </c>
      <c r="AR2" s="17">
        <v>0.0</v>
      </c>
      <c r="AS2" s="9" t="str">
        <f t="shared" ref="AS2:AS48" si="9">MID(AQ2,13,6)</f>
        <v>RDR-01</v>
      </c>
      <c r="AT2" s="8" t="s">
        <v>67</v>
      </c>
      <c r="AU2" s="14" t="s">
        <v>68</v>
      </c>
      <c r="AV2" s="17">
        <v>0.0</v>
      </c>
      <c r="AW2" s="9" t="str">
        <f t="shared" ref="AW2:AW48" si="10">MID(AU2,13,6)</f>
        <v>RDR-01</v>
      </c>
      <c r="AX2" s="8" t="s">
        <v>67</v>
      </c>
      <c r="AY2" s="14" t="s">
        <v>69</v>
      </c>
      <c r="AZ2" s="17">
        <v>0.0</v>
      </c>
      <c r="BA2" s="9" t="str">
        <f t="shared" ref="BA2:BA48" si="11">MID(AY2,13,6)</f>
        <v>RDR-01</v>
      </c>
      <c r="BB2" s="8" t="s">
        <v>67</v>
      </c>
      <c r="BC2" s="14" t="s">
        <v>70</v>
      </c>
      <c r="BD2" s="17">
        <v>0.0</v>
      </c>
      <c r="BE2" s="9" t="str">
        <f t="shared" ref="BE2:BE29" si="12">MID(BC2,5,8)</f>
        <v>ROSOV-01</v>
      </c>
      <c r="BF2" s="8" t="s">
        <v>71</v>
      </c>
      <c r="BG2" s="14" t="s">
        <v>72</v>
      </c>
      <c r="BH2" s="17">
        <v>0.0</v>
      </c>
      <c r="BI2" s="9" t="str">
        <f t="shared" ref="BI2:BI29" si="13">MID(BG2,5,8)</f>
        <v>ROSOV-01</v>
      </c>
      <c r="BJ2" s="18" t="s">
        <v>73</v>
      </c>
      <c r="BK2" s="9"/>
      <c r="BL2" s="9"/>
      <c r="BM2" s="9"/>
      <c r="BN2" s="19"/>
      <c r="BO2" s="19"/>
      <c r="BP2" s="19"/>
      <c r="BQ2" s="9"/>
      <c r="BR2" s="19"/>
      <c r="BS2" s="10" t="s">
        <v>74</v>
      </c>
      <c r="BT2" s="20">
        <v>0.0</v>
      </c>
      <c r="BU2" s="9" t="str">
        <f t="shared" ref="BU2:BU29" si="14">MID(BS2,5,8)</f>
        <v>ROSOV-02</v>
      </c>
      <c r="BV2" s="8" t="s">
        <v>75</v>
      </c>
      <c r="BW2" s="10" t="s">
        <v>76</v>
      </c>
      <c r="BX2" s="20">
        <v>0.0</v>
      </c>
      <c r="BY2" s="9" t="str">
        <f t="shared" ref="BY2:BY29" si="15">MID(BW2,5,8)</f>
        <v>ROSOV-02</v>
      </c>
      <c r="BZ2" s="18" t="s">
        <v>77</v>
      </c>
      <c r="CA2" s="21" t="s">
        <v>78</v>
      </c>
      <c r="CB2" s="17">
        <v>0.0</v>
      </c>
      <c r="CC2" s="19" t="str">
        <f t="shared" ref="CC2:CC28" si="16">MID(CA2,5,8)</f>
        <v>ROSOV-03</v>
      </c>
      <c r="CD2" s="18" t="s">
        <v>79</v>
      </c>
      <c r="CE2" s="21" t="s">
        <v>80</v>
      </c>
      <c r="CF2" s="17">
        <v>0.0</v>
      </c>
      <c r="CG2" s="19" t="str">
        <f t="shared" ref="CG2:CG28" si="17">MID(CE2,5,8)</f>
        <v>ROSOV-03</v>
      </c>
      <c r="CH2" s="18" t="s">
        <v>81</v>
      </c>
      <c r="CI2" s="21" t="s">
        <v>82</v>
      </c>
      <c r="CJ2" s="17">
        <v>0.0</v>
      </c>
      <c r="CK2" s="19" t="str">
        <f t="shared" ref="CK2:CK28" si="18">MID(CI2,5,8)</f>
        <v>ROSOV-04</v>
      </c>
      <c r="CL2" s="18" t="s">
        <v>83</v>
      </c>
      <c r="CM2" s="21" t="s">
        <v>84</v>
      </c>
      <c r="CN2" s="20">
        <v>0.0</v>
      </c>
      <c r="CO2" s="19" t="str">
        <f t="shared" ref="CO2:CO28" si="19">MID(CM2,5,8)</f>
        <v>ROSOV-04</v>
      </c>
      <c r="CP2" s="8" t="s">
        <v>85</v>
      </c>
      <c r="CQ2" s="21" t="s">
        <v>86</v>
      </c>
      <c r="CR2" s="20">
        <v>1.0</v>
      </c>
      <c r="CS2" s="9" t="str">
        <f t="shared" ref="CS2:CS22" si="20">MID(CQ2,5,7)</f>
        <v>MOV_201</v>
      </c>
      <c r="CT2" s="8" t="s">
        <v>87</v>
      </c>
      <c r="CU2" s="22" t="s">
        <v>88</v>
      </c>
      <c r="CV2" s="20">
        <v>1.0</v>
      </c>
      <c r="CW2" s="9" t="str">
        <f t="shared" ref="CW2:CW48" si="21">MID(CU2,5,8)</f>
        <v>MOV_201A</v>
      </c>
      <c r="CX2" s="8" t="s">
        <v>89</v>
      </c>
      <c r="CY2" s="22" t="s">
        <v>90</v>
      </c>
      <c r="CZ2" s="20">
        <v>1.0</v>
      </c>
      <c r="DA2" s="9" t="str">
        <f t="shared" ref="DA2:DA48" si="22">MID(CY2,5,7)</f>
        <v>MOV_203</v>
      </c>
      <c r="DB2" s="8" t="s">
        <v>91</v>
      </c>
      <c r="DC2" s="21" t="s">
        <v>92</v>
      </c>
      <c r="DD2" s="20">
        <v>0.0</v>
      </c>
      <c r="DE2" s="9" t="str">
        <f t="shared" ref="DE2:DE48" si="23">MID(DC2,5,7)</f>
        <v>MOV_203</v>
      </c>
      <c r="DF2" s="8" t="s">
        <v>93</v>
      </c>
      <c r="DG2" s="22" t="s">
        <v>94</v>
      </c>
      <c r="DH2" s="20">
        <v>0.0</v>
      </c>
      <c r="DI2" s="9" t="str">
        <f t="shared" ref="DI2:DI22" si="24">MID(DG2,5,7)</f>
        <v>MOV_204</v>
      </c>
      <c r="DJ2" s="8" t="s">
        <v>95</v>
      </c>
      <c r="DK2" s="14"/>
      <c r="DL2" s="23"/>
      <c r="DM2" s="15"/>
      <c r="DN2" s="15"/>
      <c r="DO2" s="14"/>
      <c r="DP2" s="23"/>
      <c r="DQ2" s="15"/>
      <c r="DR2" s="15"/>
    </row>
    <row r="3">
      <c r="A3" s="8">
        <v>1216.0</v>
      </c>
      <c r="B3" s="8" t="s">
        <v>50</v>
      </c>
      <c r="C3" s="9" t="str">
        <f t="shared" si="1"/>
        <v>TK-02_BS VI HSD</v>
      </c>
      <c r="D3" s="10" t="s">
        <v>96</v>
      </c>
      <c r="E3" s="24" t="s">
        <v>52</v>
      </c>
      <c r="F3" s="10" t="s">
        <v>53</v>
      </c>
      <c r="G3" s="12" t="s">
        <v>54</v>
      </c>
      <c r="H3" s="8">
        <v>0.0</v>
      </c>
      <c r="I3" s="25" t="s">
        <v>97</v>
      </c>
      <c r="J3" s="26">
        <v>0.0</v>
      </c>
      <c r="K3" s="26"/>
      <c r="L3" s="26"/>
      <c r="M3" s="25" t="s">
        <v>98</v>
      </c>
      <c r="N3" s="26">
        <v>0.0</v>
      </c>
      <c r="O3" s="14" t="s">
        <v>99</v>
      </c>
      <c r="P3" s="27"/>
      <c r="Q3" s="9" t="str">
        <f t="shared" si="2"/>
        <v>TK-02</v>
      </c>
      <c r="R3" s="16" t="s">
        <v>58</v>
      </c>
      <c r="S3" s="14" t="s">
        <v>100</v>
      </c>
      <c r="T3" s="17">
        <v>0.0</v>
      </c>
      <c r="U3" s="9" t="str">
        <f t="shared" si="3"/>
        <v>TK-02</v>
      </c>
      <c r="V3" s="16" t="s">
        <v>58</v>
      </c>
      <c r="W3" s="14" t="s">
        <v>101</v>
      </c>
      <c r="X3" s="17">
        <v>0.0</v>
      </c>
      <c r="Y3" s="17" t="str">
        <f t="shared" si="4"/>
        <v>TK-02</v>
      </c>
      <c r="Z3" s="16" t="s">
        <v>58</v>
      </c>
      <c r="AA3" s="14" t="s">
        <v>102</v>
      </c>
      <c r="AB3" s="17">
        <v>0.0</v>
      </c>
      <c r="AC3" s="9" t="str">
        <f t="shared" si="5"/>
        <v>TK-02</v>
      </c>
      <c r="AD3" s="8" t="s">
        <v>58</v>
      </c>
      <c r="AE3" s="14" t="s">
        <v>103</v>
      </c>
      <c r="AF3" s="17">
        <v>0.0</v>
      </c>
      <c r="AG3" s="9" t="str">
        <f t="shared" si="6"/>
        <v>LSW-02</v>
      </c>
      <c r="AH3" s="8" t="s">
        <v>63</v>
      </c>
      <c r="AI3" s="14" t="s">
        <v>104</v>
      </c>
      <c r="AJ3" s="17">
        <v>0.0</v>
      </c>
      <c r="AK3" s="9" t="str">
        <f t="shared" si="7"/>
        <v>LSW-02</v>
      </c>
      <c r="AL3" s="8" t="s">
        <v>63</v>
      </c>
      <c r="AM3" s="14" t="s">
        <v>105</v>
      </c>
      <c r="AN3" s="17">
        <v>0.0</v>
      </c>
      <c r="AO3" s="9" t="str">
        <f t="shared" si="8"/>
        <v>LSW-02</v>
      </c>
      <c r="AP3" s="8" t="s">
        <v>63</v>
      </c>
      <c r="AQ3" s="14" t="s">
        <v>106</v>
      </c>
      <c r="AR3" s="17">
        <v>0.0</v>
      </c>
      <c r="AS3" s="9" t="str">
        <f t="shared" si="9"/>
        <v>RDR-02</v>
      </c>
      <c r="AT3" s="8" t="s">
        <v>67</v>
      </c>
      <c r="AU3" s="14" t="s">
        <v>107</v>
      </c>
      <c r="AV3" s="17">
        <v>0.0</v>
      </c>
      <c r="AW3" s="9" t="str">
        <f t="shared" si="10"/>
        <v>RDR-02</v>
      </c>
      <c r="AX3" s="8" t="s">
        <v>67</v>
      </c>
      <c r="AY3" s="14" t="s">
        <v>108</v>
      </c>
      <c r="AZ3" s="17">
        <v>0.0</v>
      </c>
      <c r="BA3" s="9" t="str">
        <f t="shared" si="11"/>
        <v>RDR-02</v>
      </c>
      <c r="BB3" s="8" t="s">
        <v>67</v>
      </c>
      <c r="BC3" s="14" t="s">
        <v>109</v>
      </c>
      <c r="BD3" s="17">
        <v>0.0</v>
      </c>
      <c r="BE3" s="9" t="str">
        <f t="shared" si="12"/>
        <v>ROSOV-05</v>
      </c>
      <c r="BF3" s="28" t="s">
        <v>71</v>
      </c>
      <c r="BG3" s="14" t="s">
        <v>110</v>
      </c>
      <c r="BH3" s="17">
        <v>0.0</v>
      </c>
      <c r="BI3" s="9" t="str">
        <f t="shared" si="13"/>
        <v>ROSOV-05</v>
      </c>
      <c r="BJ3" s="18" t="s">
        <v>73</v>
      </c>
      <c r="BK3" s="27"/>
      <c r="BL3" s="27"/>
      <c r="BM3" s="27"/>
      <c r="BN3" s="27"/>
      <c r="BO3" s="27"/>
      <c r="BP3" s="27"/>
      <c r="BQ3" s="27"/>
      <c r="BR3" s="27"/>
      <c r="BS3" s="10" t="s">
        <v>111</v>
      </c>
      <c r="BT3" s="20">
        <v>0.0</v>
      </c>
      <c r="BU3" s="9" t="str">
        <f t="shared" si="14"/>
        <v>ROSOV-06</v>
      </c>
      <c r="BV3" s="8" t="s">
        <v>75</v>
      </c>
      <c r="BW3" s="10" t="s">
        <v>112</v>
      </c>
      <c r="BX3" s="20">
        <v>0.0</v>
      </c>
      <c r="BY3" s="9" t="str">
        <f t="shared" si="15"/>
        <v>ROSOV-06</v>
      </c>
      <c r="BZ3" s="18" t="s">
        <v>77</v>
      </c>
      <c r="CA3" s="21" t="s">
        <v>113</v>
      </c>
      <c r="CB3" s="17">
        <v>0.0</v>
      </c>
      <c r="CC3" s="19" t="str">
        <f t="shared" si="16"/>
        <v>ROSOV-07</v>
      </c>
      <c r="CD3" s="18" t="s">
        <v>79</v>
      </c>
      <c r="CE3" s="21" t="s">
        <v>114</v>
      </c>
      <c r="CF3" s="17">
        <v>0.0</v>
      </c>
      <c r="CG3" s="19" t="str">
        <f t="shared" si="17"/>
        <v>ROSOV-07</v>
      </c>
      <c r="CH3" s="18" t="s">
        <v>81</v>
      </c>
      <c r="CI3" s="21" t="s">
        <v>115</v>
      </c>
      <c r="CJ3" s="17">
        <v>0.0</v>
      </c>
      <c r="CK3" s="19" t="str">
        <f t="shared" si="18"/>
        <v>ROSOV-08</v>
      </c>
      <c r="CL3" s="18" t="s">
        <v>83</v>
      </c>
      <c r="CM3" s="21" t="s">
        <v>116</v>
      </c>
      <c r="CN3" s="20">
        <v>0.0</v>
      </c>
      <c r="CO3" s="19" t="str">
        <f t="shared" si="19"/>
        <v>ROSOV-08</v>
      </c>
      <c r="CP3" s="8" t="s">
        <v>85</v>
      </c>
      <c r="CQ3" s="21" t="s">
        <v>117</v>
      </c>
      <c r="CR3" s="20">
        <v>1.0</v>
      </c>
      <c r="CS3" s="9" t="str">
        <f t="shared" si="20"/>
        <v>MOV_205</v>
      </c>
      <c r="CT3" s="8" t="s">
        <v>87</v>
      </c>
      <c r="CU3" s="22" t="s">
        <v>118</v>
      </c>
      <c r="CV3" s="20">
        <v>1.0</v>
      </c>
      <c r="CW3" s="9" t="str">
        <f t="shared" si="21"/>
        <v>MOV_205A</v>
      </c>
      <c r="CX3" s="8" t="s">
        <v>89</v>
      </c>
      <c r="CY3" s="22" t="s">
        <v>119</v>
      </c>
      <c r="CZ3" s="20">
        <v>1.0</v>
      </c>
      <c r="DA3" s="9" t="str">
        <f t="shared" si="22"/>
        <v>MOV_207</v>
      </c>
      <c r="DB3" s="8" t="s">
        <v>91</v>
      </c>
      <c r="DC3" s="21" t="s">
        <v>120</v>
      </c>
      <c r="DD3" s="20">
        <v>0.0</v>
      </c>
      <c r="DE3" s="9" t="str">
        <f t="shared" si="23"/>
        <v>MOV_207</v>
      </c>
      <c r="DF3" s="8" t="s">
        <v>93</v>
      </c>
      <c r="DG3" s="22" t="s">
        <v>121</v>
      </c>
      <c r="DH3" s="20">
        <v>0.0</v>
      </c>
      <c r="DI3" s="9" t="str">
        <f t="shared" si="24"/>
        <v>MOV_208</v>
      </c>
      <c r="DJ3" s="8" t="s">
        <v>95</v>
      </c>
      <c r="DK3" s="14"/>
      <c r="DL3" s="23"/>
      <c r="DM3" s="27"/>
      <c r="DN3" s="27"/>
      <c r="DO3" s="14"/>
      <c r="DP3" s="23"/>
      <c r="DQ3" s="27"/>
      <c r="DR3" s="27"/>
    </row>
    <row r="4">
      <c r="A4" s="8">
        <v>1216.0</v>
      </c>
      <c r="B4" s="8" t="s">
        <v>50</v>
      </c>
      <c r="C4" s="9" t="str">
        <f t="shared" si="1"/>
        <v>TK-03_BS VI HSD</v>
      </c>
      <c r="D4" s="10" t="s">
        <v>122</v>
      </c>
      <c r="E4" s="24" t="s">
        <v>52</v>
      </c>
      <c r="F4" s="10" t="s">
        <v>53</v>
      </c>
      <c r="G4" s="12" t="s">
        <v>54</v>
      </c>
      <c r="H4" s="8">
        <v>0.0</v>
      </c>
      <c r="I4" s="25" t="s">
        <v>123</v>
      </c>
      <c r="J4" s="26">
        <v>0.0</v>
      </c>
      <c r="K4" s="26"/>
      <c r="L4" s="26"/>
      <c r="M4" s="25" t="s">
        <v>124</v>
      </c>
      <c r="N4" s="26">
        <v>0.0</v>
      </c>
      <c r="O4" s="14" t="s">
        <v>125</v>
      </c>
      <c r="P4" s="27"/>
      <c r="Q4" s="9" t="str">
        <f t="shared" si="2"/>
        <v>TK-03</v>
      </c>
      <c r="R4" s="16" t="s">
        <v>58</v>
      </c>
      <c r="S4" s="14" t="s">
        <v>126</v>
      </c>
      <c r="T4" s="17">
        <v>0.0</v>
      </c>
      <c r="U4" s="9" t="str">
        <f t="shared" si="3"/>
        <v>TK-03</v>
      </c>
      <c r="V4" s="16" t="s">
        <v>58</v>
      </c>
      <c r="W4" s="14" t="s">
        <v>127</v>
      </c>
      <c r="X4" s="17">
        <v>0.0</v>
      </c>
      <c r="Y4" s="17" t="str">
        <f t="shared" si="4"/>
        <v>TK-03</v>
      </c>
      <c r="Z4" s="16" t="s">
        <v>58</v>
      </c>
      <c r="AA4" s="14" t="s">
        <v>128</v>
      </c>
      <c r="AB4" s="17">
        <v>0.0</v>
      </c>
      <c r="AC4" s="9" t="str">
        <f t="shared" si="5"/>
        <v>TK-03</v>
      </c>
      <c r="AD4" s="8" t="s">
        <v>58</v>
      </c>
      <c r="AE4" s="14" t="s">
        <v>129</v>
      </c>
      <c r="AF4" s="17">
        <v>0.0</v>
      </c>
      <c r="AG4" s="9" t="str">
        <f t="shared" si="6"/>
        <v>LSW-03</v>
      </c>
      <c r="AH4" s="8" t="s">
        <v>63</v>
      </c>
      <c r="AI4" s="14" t="s">
        <v>130</v>
      </c>
      <c r="AJ4" s="17">
        <v>0.0</v>
      </c>
      <c r="AK4" s="9" t="str">
        <f t="shared" si="7"/>
        <v>LSW-03</v>
      </c>
      <c r="AL4" s="8" t="s">
        <v>63</v>
      </c>
      <c r="AM4" s="14" t="s">
        <v>131</v>
      </c>
      <c r="AN4" s="17">
        <v>0.0</v>
      </c>
      <c r="AO4" s="9" t="str">
        <f t="shared" si="8"/>
        <v>LSW-03</v>
      </c>
      <c r="AP4" s="8" t="s">
        <v>63</v>
      </c>
      <c r="AQ4" s="14" t="s">
        <v>132</v>
      </c>
      <c r="AR4" s="17">
        <v>0.0</v>
      </c>
      <c r="AS4" s="9" t="str">
        <f t="shared" si="9"/>
        <v>RDR-03</v>
      </c>
      <c r="AT4" s="8" t="s">
        <v>67</v>
      </c>
      <c r="AU4" s="14" t="s">
        <v>133</v>
      </c>
      <c r="AV4" s="17">
        <v>0.0</v>
      </c>
      <c r="AW4" s="9" t="str">
        <f t="shared" si="10"/>
        <v>RDR-03</v>
      </c>
      <c r="AX4" s="8" t="s">
        <v>67</v>
      </c>
      <c r="AY4" s="14" t="s">
        <v>134</v>
      </c>
      <c r="AZ4" s="17">
        <v>0.0</v>
      </c>
      <c r="BA4" s="9" t="str">
        <f t="shared" si="11"/>
        <v>RDR-03</v>
      </c>
      <c r="BB4" s="8" t="s">
        <v>67</v>
      </c>
      <c r="BC4" s="14" t="s">
        <v>135</v>
      </c>
      <c r="BD4" s="17">
        <v>0.0</v>
      </c>
      <c r="BE4" s="9" t="str">
        <f t="shared" si="12"/>
        <v>ROSOV-09</v>
      </c>
      <c r="BF4" s="28" t="s">
        <v>71</v>
      </c>
      <c r="BG4" s="14" t="s">
        <v>136</v>
      </c>
      <c r="BH4" s="17">
        <v>0.0</v>
      </c>
      <c r="BI4" s="9" t="str">
        <f t="shared" si="13"/>
        <v>ROSOV-09</v>
      </c>
      <c r="BJ4" s="18" t="s">
        <v>73</v>
      </c>
      <c r="BK4" s="27"/>
      <c r="BL4" s="27"/>
      <c r="BM4" s="27"/>
      <c r="BN4" s="27"/>
      <c r="BO4" s="27"/>
      <c r="BP4" s="27"/>
      <c r="BQ4" s="27"/>
      <c r="BR4" s="27"/>
      <c r="BS4" s="10" t="s">
        <v>137</v>
      </c>
      <c r="BT4" s="20">
        <v>0.0</v>
      </c>
      <c r="BU4" s="9" t="str">
        <f t="shared" si="14"/>
        <v>ROSOV-10</v>
      </c>
      <c r="BV4" s="8" t="s">
        <v>75</v>
      </c>
      <c r="BW4" s="10" t="s">
        <v>138</v>
      </c>
      <c r="BX4" s="20">
        <v>0.0</v>
      </c>
      <c r="BY4" s="9" t="str">
        <f t="shared" si="15"/>
        <v>ROSOV-10</v>
      </c>
      <c r="BZ4" s="18" t="s">
        <v>77</v>
      </c>
      <c r="CA4" s="21" t="s">
        <v>139</v>
      </c>
      <c r="CB4" s="17">
        <v>0.0</v>
      </c>
      <c r="CC4" s="19" t="str">
        <f t="shared" si="16"/>
        <v>ROSOV-11</v>
      </c>
      <c r="CD4" s="18" t="s">
        <v>79</v>
      </c>
      <c r="CE4" s="21" t="s">
        <v>140</v>
      </c>
      <c r="CF4" s="17">
        <v>0.0</v>
      </c>
      <c r="CG4" s="19" t="str">
        <f t="shared" si="17"/>
        <v>ROSOV-11</v>
      </c>
      <c r="CH4" s="18" t="s">
        <v>81</v>
      </c>
      <c r="CI4" s="21" t="s">
        <v>141</v>
      </c>
      <c r="CJ4" s="17">
        <v>0.0</v>
      </c>
      <c r="CK4" s="19" t="str">
        <f t="shared" si="18"/>
        <v>ROSOV-12</v>
      </c>
      <c r="CL4" s="18" t="s">
        <v>83</v>
      </c>
      <c r="CM4" s="21" t="s">
        <v>142</v>
      </c>
      <c r="CN4" s="20">
        <v>0.0</v>
      </c>
      <c r="CO4" s="19" t="str">
        <f t="shared" si="19"/>
        <v>ROSOV-12</v>
      </c>
      <c r="CP4" s="8" t="s">
        <v>85</v>
      </c>
      <c r="CQ4" s="21" t="s">
        <v>143</v>
      </c>
      <c r="CR4" s="20">
        <v>1.0</v>
      </c>
      <c r="CS4" s="9" t="str">
        <f t="shared" si="20"/>
        <v>MOV_209</v>
      </c>
      <c r="CT4" s="8" t="s">
        <v>87</v>
      </c>
      <c r="CU4" s="22" t="s">
        <v>144</v>
      </c>
      <c r="CV4" s="20">
        <v>1.0</v>
      </c>
      <c r="CW4" s="9" t="str">
        <f t="shared" si="21"/>
        <v>MOV_209A</v>
      </c>
      <c r="CX4" s="8" t="s">
        <v>89</v>
      </c>
      <c r="CY4" s="22" t="s">
        <v>145</v>
      </c>
      <c r="CZ4" s="20">
        <v>1.0</v>
      </c>
      <c r="DA4" s="9" t="str">
        <f t="shared" si="22"/>
        <v>MOV_211</v>
      </c>
      <c r="DB4" s="8" t="s">
        <v>91</v>
      </c>
      <c r="DC4" s="21" t="s">
        <v>146</v>
      </c>
      <c r="DD4" s="20">
        <v>0.0</v>
      </c>
      <c r="DE4" s="9" t="str">
        <f t="shared" si="23"/>
        <v>MOV_211</v>
      </c>
      <c r="DF4" s="8" t="s">
        <v>93</v>
      </c>
      <c r="DG4" s="22" t="s">
        <v>147</v>
      </c>
      <c r="DH4" s="20">
        <v>0.0</v>
      </c>
      <c r="DI4" s="9" t="str">
        <f t="shared" si="24"/>
        <v>MOV_212</v>
      </c>
      <c r="DJ4" s="8" t="s">
        <v>95</v>
      </c>
      <c r="DK4" s="14"/>
      <c r="DL4" s="23"/>
      <c r="DM4" s="27"/>
      <c r="DN4" s="27"/>
      <c r="DO4" s="14"/>
      <c r="DP4" s="23"/>
      <c r="DQ4" s="27"/>
      <c r="DR4" s="27"/>
    </row>
    <row r="5">
      <c r="A5" s="8">
        <v>1216.0</v>
      </c>
      <c r="B5" s="8" t="s">
        <v>50</v>
      </c>
      <c r="C5" s="9" t="str">
        <f t="shared" si="1"/>
        <v>TK-04_BS VI HSD</v>
      </c>
      <c r="D5" s="10" t="s">
        <v>148</v>
      </c>
      <c r="E5" s="24" t="s">
        <v>52</v>
      </c>
      <c r="F5" s="10" t="s">
        <v>53</v>
      </c>
      <c r="G5" s="12" t="s">
        <v>54</v>
      </c>
      <c r="H5" s="8">
        <v>0.0</v>
      </c>
      <c r="I5" s="25" t="s">
        <v>149</v>
      </c>
      <c r="J5" s="26">
        <v>0.0</v>
      </c>
      <c r="K5" s="26"/>
      <c r="L5" s="26"/>
      <c r="M5" s="25" t="s">
        <v>150</v>
      </c>
      <c r="N5" s="26">
        <v>0.0</v>
      </c>
      <c r="O5" s="14" t="s">
        <v>151</v>
      </c>
      <c r="P5" s="27"/>
      <c r="Q5" s="9" t="str">
        <f t="shared" si="2"/>
        <v>TK-04</v>
      </c>
      <c r="R5" s="16" t="s">
        <v>58</v>
      </c>
      <c r="S5" s="14" t="s">
        <v>152</v>
      </c>
      <c r="T5" s="17">
        <v>0.0</v>
      </c>
      <c r="U5" s="9" t="str">
        <f t="shared" si="3"/>
        <v>TK-04</v>
      </c>
      <c r="V5" s="16" t="s">
        <v>58</v>
      </c>
      <c r="W5" s="14" t="s">
        <v>153</v>
      </c>
      <c r="X5" s="17">
        <v>0.0</v>
      </c>
      <c r="Y5" s="17" t="str">
        <f t="shared" si="4"/>
        <v>TK-04</v>
      </c>
      <c r="Z5" s="16" t="s">
        <v>58</v>
      </c>
      <c r="AA5" s="14" t="s">
        <v>154</v>
      </c>
      <c r="AB5" s="17">
        <v>0.0</v>
      </c>
      <c r="AC5" s="9" t="str">
        <f t="shared" si="5"/>
        <v>TK-04</v>
      </c>
      <c r="AD5" s="8" t="s">
        <v>58</v>
      </c>
      <c r="AE5" s="14" t="s">
        <v>155</v>
      </c>
      <c r="AF5" s="17">
        <v>0.0</v>
      </c>
      <c r="AG5" s="9" t="str">
        <f t="shared" si="6"/>
        <v>LSW-04</v>
      </c>
      <c r="AH5" s="8" t="s">
        <v>63</v>
      </c>
      <c r="AI5" s="14" t="s">
        <v>156</v>
      </c>
      <c r="AJ5" s="17">
        <v>0.0</v>
      </c>
      <c r="AK5" s="9" t="str">
        <f t="shared" si="7"/>
        <v>LSW-04</v>
      </c>
      <c r="AL5" s="8" t="s">
        <v>63</v>
      </c>
      <c r="AM5" s="14" t="s">
        <v>157</v>
      </c>
      <c r="AN5" s="17">
        <v>0.0</v>
      </c>
      <c r="AO5" s="9" t="str">
        <f t="shared" si="8"/>
        <v>LSW-04</v>
      </c>
      <c r="AP5" s="8" t="s">
        <v>63</v>
      </c>
      <c r="AQ5" s="14" t="s">
        <v>158</v>
      </c>
      <c r="AR5" s="17">
        <v>0.0</v>
      </c>
      <c r="AS5" s="9" t="str">
        <f t="shared" si="9"/>
        <v>RDR-04</v>
      </c>
      <c r="AT5" s="8" t="s">
        <v>67</v>
      </c>
      <c r="AU5" s="14" t="s">
        <v>159</v>
      </c>
      <c r="AV5" s="17">
        <v>0.0</v>
      </c>
      <c r="AW5" s="9" t="str">
        <f t="shared" si="10"/>
        <v>RDR-04</v>
      </c>
      <c r="AX5" s="8" t="s">
        <v>67</v>
      </c>
      <c r="AY5" s="14" t="s">
        <v>160</v>
      </c>
      <c r="AZ5" s="17">
        <v>0.0</v>
      </c>
      <c r="BA5" s="9" t="str">
        <f t="shared" si="11"/>
        <v>RDR-04</v>
      </c>
      <c r="BB5" s="8" t="s">
        <v>67</v>
      </c>
      <c r="BC5" s="14" t="s">
        <v>161</v>
      </c>
      <c r="BD5" s="17">
        <v>0.0</v>
      </c>
      <c r="BE5" s="9" t="str">
        <f t="shared" si="12"/>
        <v>ROSOV-13</v>
      </c>
      <c r="BF5" s="28" t="s">
        <v>71</v>
      </c>
      <c r="BG5" s="14" t="s">
        <v>162</v>
      </c>
      <c r="BH5" s="17">
        <v>0.0</v>
      </c>
      <c r="BI5" s="9" t="str">
        <f t="shared" si="13"/>
        <v>ROSOV-13</v>
      </c>
      <c r="BJ5" s="18" t="s">
        <v>73</v>
      </c>
      <c r="BK5" s="27"/>
      <c r="BL5" s="27"/>
      <c r="BM5" s="27"/>
      <c r="BN5" s="27"/>
      <c r="BO5" s="27"/>
      <c r="BP5" s="27"/>
      <c r="BQ5" s="27"/>
      <c r="BR5" s="27"/>
      <c r="BS5" s="10" t="s">
        <v>163</v>
      </c>
      <c r="BT5" s="20">
        <v>0.0</v>
      </c>
      <c r="BU5" s="9" t="str">
        <f t="shared" si="14"/>
        <v>ROSOV-14</v>
      </c>
      <c r="BV5" s="8" t="s">
        <v>75</v>
      </c>
      <c r="BW5" s="10" t="s">
        <v>164</v>
      </c>
      <c r="BX5" s="20">
        <v>0.0</v>
      </c>
      <c r="BY5" s="9" t="str">
        <f t="shared" si="15"/>
        <v>ROSOV-14</v>
      </c>
      <c r="BZ5" s="18" t="s">
        <v>77</v>
      </c>
      <c r="CA5" s="21" t="s">
        <v>165</v>
      </c>
      <c r="CB5" s="17">
        <v>0.0</v>
      </c>
      <c r="CC5" s="19" t="str">
        <f t="shared" si="16"/>
        <v>ROSOV-15</v>
      </c>
      <c r="CD5" s="18" t="s">
        <v>79</v>
      </c>
      <c r="CE5" s="21" t="s">
        <v>166</v>
      </c>
      <c r="CF5" s="17">
        <v>0.0</v>
      </c>
      <c r="CG5" s="19" t="str">
        <f t="shared" si="17"/>
        <v>ROSOV-15</v>
      </c>
      <c r="CH5" s="18" t="s">
        <v>81</v>
      </c>
      <c r="CI5" s="21" t="s">
        <v>167</v>
      </c>
      <c r="CJ5" s="17">
        <v>0.0</v>
      </c>
      <c r="CK5" s="19" t="str">
        <f t="shared" si="18"/>
        <v>ROSOV-16</v>
      </c>
      <c r="CL5" s="18" t="s">
        <v>83</v>
      </c>
      <c r="CM5" s="21" t="s">
        <v>168</v>
      </c>
      <c r="CN5" s="20">
        <v>0.0</v>
      </c>
      <c r="CO5" s="19" t="str">
        <f t="shared" si="19"/>
        <v>ROSOV-16</v>
      </c>
      <c r="CP5" s="8" t="s">
        <v>85</v>
      </c>
      <c r="CQ5" s="21" t="s">
        <v>169</v>
      </c>
      <c r="CR5" s="20">
        <v>1.0</v>
      </c>
      <c r="CS5" s="9" t="str">
        <f t="shared" si="20"/>
        <v>MOV_101</v>
      </c>
      <c r="CT5" s="8" t="s">
        <v>87</v>
      </c>
      <c r="CU5" s="22" t="s">
        <v>170</v>
      </c>
      <c r="CV5" s="20">
        <v>1.0</v>
      </c>
      <c r="CW5" s="9" t="str">
        <f t="shared" si="21"/>
        <v>MOV_101A</v>
      </c>
      <c r="CX5" s="8" t="s">
        <v>89</v>
      </c>
      <c r="CY5" s="22"/>
      <c r="CZ5" s="14"/>
      <c r="DA5" s="9" t="str">
        <f t="shared" si="22"/>
        <v/>
      </c>
      <c r="DB5" s="27"/>
      <c r="DC5" s="14"/>
      <c r="DD5" s="14"/>
      <c r="DE5" s="9" t="str">
        <f t="shared" si="23"/>
        <v/>
      </c>
      <c r="DF5" s="27"/>
      <c r="DG5" s="22" t="s">
        <v>171</v>
      </c>
      <c r="DH5" s="20">
        <v>0.0</v>
      </c>
      <c r="DI5" s="9" t="str">
        <f t="shared" si="24"/>
        <v>MOV_104</v>
      </c>
      <c r="DJ5" s="8" t="s">
        <v>95</v>
      </c>
      <c r="DK5" s="14"/>
      <c r="DL5" s="23"/>
      <c r="DM5" s="27"/>
      <c r="DN5" s="27"/>
      <c r="DO5" s="14"/>
      <c r="DP5" s="23"/>
      <c r="DQ5" s="27"/>
      <c r="DR5" s="27"/>
    </row>
    <row r="6">
      <c r="A6" s="8">
        <v>1216.0</v>
      </c>
      <c r="B6" s="8" t="s">
        <v>50</v>
      </c>
      <c r="C6" s="9" t="str">
        <f t="shared" si="1"/>
        <v>TK-05_BS VI HSD</v>
      </c>
      <c r="D6" s="10" t="s">
        <v>172</v>
      </c>
      <c r="E6" s="24" t="s">
        <v>52</v>
      </c>
      <c r="F6" s="10" t="s">
        <v>53</v>
      </c>
      <c r="G6" s="12" t="s">
        <v>54</v>
      </c>
      <c r="H6" s="8">
        <v>0.0</v>
      </c>
      <c r="I6" s="25" t="s">
        <v>173</v>
      </c>
      <c r="J6" s="26">
        <v>0.0</v>
      </c>
      <c r="K6" s="26"/>
      <c r="L6" s="26"/>
      <c r="M6" s="25" t="s">
        <v>174</v>
      </c>
      <c r="N6" s="26">
        <v>0.0</v>
      </c>
      <c r="O6" s="14" t="s">
        <v>175</v>
      </c>
      <c r="P6" s="27"/>
      <c r="Q6" s="9" t="str">
        <f t="shared" si="2"/>
        <v>TK-05</v>
      </c>
      <c r="R6" s="16" t="s">
        <v>58</v>
      </c>
      <c r="S6" s="14" t="s">
        <v>176</v>
      </c>
      <c r="T6" s="17">
        <v>0.0</v>
      </c>
      <c r="U6" s="9" t="str">
        <f t="shared" si="3"/>
        <v>TK-05</v>
      </c>
      <c r="V6" s="16" t="s">
        <v>58</v>
      </c>
      <c r="W6" s="14" t="s">
        <v>177</v>
      </c>
      <c r="X6" s="17">
        <v>0.0</v>
      </c>
      <c r="Y6" s="17" t="str">
        <f t="shared" si="4"/>
        <v>TK-05</v>
      </c>
      <c r="Z6" s="16" t="s">
        <v>58</v>
      </c>
      <c r="AA6" s="14" t="s">
        <v>178</v>
      </c>
      <c r="AB6" s="17">
        <v>0.0</v>
      </c>
      <c r="AC6" s="9" t="str">
        <f t="shared" si="5"/>
        <v>TK-05</v>
      </c>
      <c r="AD6" s="8" t="s">
        <v>58</v>
      </c>
      <c r="AE6" s="14" t="s">
        <v>179</v>
      </c>
      <c r="AF6" s="17">
        <v>0.0</v>
      </c>
      <c r="AG6" s="9" t="str">
        <f t="shared" si="6"/>
        <v>LSW-05</v>
      </c>
      <c r="AH6" s="8" t="s">
        <v>63</v>
      </c>
      <c r="AI6" s="14" t="s">
        <v>180</v>
      </c>
      <c r="AJ6" s="17">
        <v>0.0</v>
      </c>
      <c r="AK6" s="9" t="str">
        <f t="shared" si="7"/>
        <v>LSW-05</v>
      </c>
      <c r="AL6" s="8" t="s">
        <v>63</v>
      </c>
      <c r="AM6" s="14" t="s">
        <v>181</v>
      </c>
      <c r="AN6" s="17">
        <v>0.0</v>
      </c>
      <c r="AO6" s="9" t="str">
        <f t="shared" si="8"/>
        <v>LSW-05</v>
      </c>
      <c r="AP6" s="8" t="s">
        <v>63</v>
      </c>
      <c r="AQ6" s="14" t="s">
        <v>182</v>
      </c>
      <c r="AR6" s="17">
        <v>0.0</v>
      </c>
      <c r="AS6" s="9" t="str">
        <f t="shared" si="9"/>
        <v>RDR-05</v>
      </c>
      <c r="AT6" s="8" t="s">
        <v>67</v>
      </c>
      <c r="AU6" s="14" t="s">
        <v>183</v>
      </c>
      <c r="AV6" s="17">
        <v>0.0</v>
      </c>
      <c r="AW6" s="9" t="str">
        <f t="shared" si="10"/>
        <v>RDR-05</v>
      </c>
      <c r="AX6" s="8" t="s">
        <v>67</v>
      </c>
      <c r="AY6" s="14" t="s">
        <v>184</v>
      </c>
      <c r="AZ6" s="17">
        <v>0.0</v>
      </c>
      <c r="BA6" s="9" t="str">
        <f t="shared" si="11"/>
        <v>RDR-05</v>
      </c>
      <c r="BB6" s="8" t="s">
        <v>67</v>
      </c>
      <c r="BC6" s="14" t="s">
        <v>185</v>
      </c>
      <c r="BD6" s="17">
        <v>0.0</v>
      </c>
      <c r="BE6" s="9" t="str">
        <f t="shared" si="12"/>
        <v>ROSOV-17</v>
      </c>
      <c r="BF6" s="28" t="s">
        <v>71</v>
      </c>
      <c r="BG6" s="14" t="s">
        <v>186</v>
      </c>
      <c r="BH6" s="17">
        <v>0.0</v>
      </c>
      <c r="BI6" s="9" t="str">
        <f t="shared" si="13"/>
        <v>ROSOV-17</v>
      </c>
      <c r="BJ6" s="18" t="s">
        <v>73</v>
      </c>
      <c r="BK6" s="27"/>
      <c r="BL6" s="27"/>
      <c r="BM6" s="27"/>
      <c r="BN6" s="27"/>
      <c r="BO6" s="27"/>
      <c r="BP6" s="27"/>
      <c r="BQ6" s="27"/>
      <c r="BR6" s="27"/>
      <c r="BS6" s="10" t="s">
        <v>187</v>
      </c>
      <c r="BT6" s="20">
        <v>0.0</v>
      </c>
      <c r="BU6" s="9" t="str">
        <f t="shared" si="14"/>
        <v>ROSOV-18</v>
      </c>
      <c r="BV6" s="8" t="s">
        <v>75</v>
      </c>
      <c r="BW6" s="10" t="s">
        <v>188</v>
      </c>
      <c r="BX6" s="20">
        <v>0.0</v>
      </c>
      <c r="BY6" s="9" t="str">
        <f t="shared" si="15"/>
        <v>ROSOV-18</v>
      </c>
      <c r="BZ6" s="18" t="s">
        <v>77</v>
      </c>
      <c r="CA6" s="21" t="s">
        <v>189</v>
      </c>
      <c r="CB6" s="17">
        <v>0.0</v>
      </c>
      <c r="CC6" s="19" t="str">
        <f t="shared" si="16"/>
        <v>ROSOV-19</v>
      </c>
      <c r="CD6" s="18" t="s">
        <v>79</v>
      </c>
      <c r="CE6" s="21" t="s">
        <v>190</v>
      </c>
      <c r="CF6" s="17">
        <v>0.0</v>
      </c>
      <c r="CG6" s="19" t="str">
        <f t="shared" si="17"/>
        <v>ROSOV-19</v>
      </c>
      <c r="CH6" s="18" t="s">
        <v>81</v>
      </c>
      <c r="CI6" s="21" t="s">
        <v>191</v>
      </c>
      <c r="CJ6" s="17">
        <v>0.0</v>
      </c>
      <c r="CK6" s="19" t="str">
        <f t="shared" si="18"/>
        <v>ROSOV-20</v>
      </c>
      <c r="CL6" s="18" t="s">
        <v>83</v>
      </c>
      <c r="CM6" s="21" t="s">
        <v>192</v>
      </c>
      <c r="CN6" s="20">
        <v>0.0</v>
      </c>
      <c r="CO6" s="19" t="str">
        <f t="shared" si="19"/>
        <v>ROSOV-20</v>
      </c>
      <c r="CP6" s="8" t="s">
        <v>85</v>
      </c>
      <c r="CQ6" s="21" t="s">
        <v>193</v>
      </c>
      <c r="CR6" s="20">
        <v>1.0</v>
      </c>
      <c r="CS6" s="9" t="str">
        <f t="shared" si="20"/>
        <v>MOV_105</v>
      </c>
      <c r="CT6" s="8" t="s">
        <v>87</v>
      </c>
      <c r="CU6" s="22" t="s">
        <v>194</v>
      </c>
      <c r="CV6" s="20">
        <v>1.0</v>
      </c>
      <c r="CW6" s="9" t="str">
        <f t="shared" si="21"/>
        <v>MOV_105A</v>
      </c>
      <c r="CX6" s="8" t="s">
        <v>89</v>
      </c>
      <c r="CY6" s="22"/>
      <c r="CZ6" s="14"/>
      <c r="DA6" s="9" t="str">
        <f t="shared" si="22"/>
        <v/>
      </c>
      <c r="DB6" s="27"/>
      <c r="DC6" s="14"/>
      <c r="DD6" s="14"/>
      <c r="DE6" s="9" t="str">
        <f t="shared" si="23"/>
        <v/>
      </c>
      <c r="DF6" s="27"/>
      <c r="DG6" s="22" t="s">
        <v>195</v>
      </c>
      <c r="DH6" s="20">
        <v>0.0</v>
      </c>
      <c r="DI6" s="9" t="str">
        <f t="shared" si="24"/>
        <v>MOV_108</v>
      </c>
      <c r="DJ6" s="8" t="s">
        <v>95</v>
      </c>
      <c r="DK6" s="14"/>
      <c r="DL6" s="23"/>
      <c r="DM6" s="27"/>
      <c r="DN6" s="27"/>
      <c r="DO6" s="14"/>
      <c r="DP6" s="23"/>
      <c r="DQ6" s="27"/>
      <c r="DR6" s="27"/>
    </row>
    <row r="7">
      <c r="A7" s="8">
        <v>1216.0</v>
      </c>
      <c r="B7" s="8" t="s">
        <v>50</v>
      </c>
      <c r="C7" s="9" t="str">
        <f t="shared" si="1"/>
        <v>TK-06_BS VI HSD</v>
      </c>
      <c r="D7" s="10" t="s">
        <v>196</v>
      </c>
      <c r="E7" s="24" t="s">
        <v>52</v>
      </c>
      <c r="F7" s="10" t="s">
        <v>53</v>
      </c>
      <c r="G7" s="12" t="s">
        <v>54</v>
      </c>
      <c r="H7" s="8">
        <v>0.0</v>
      </c>
      <c r="I7" s="25" t="s">
        <v>197</v>
      </c>
      <c r="J7" s="26">
        <v>0.0</v>
      </c>
      <c r="K7" s="26"/>
      <c r="L7" s="26"/>
      <c r="M7" s="25" t="s">
        <v>198</v>
      </c>
      <c r="N7" s="26">
        <v>0.0</v>
      </c>
      <c r="O7" s="14" t="s">
        <v>199</v>
      </c>
      <c r="P7" s="27"/>
      <c r="Q7" s="9" t="str">
        <f t="shared" si="2"/>
        <v>TK-06</v>
      </c>
      <c r="R7" s="16" t="s">
        <v>58</v>
      </c>
      <c r="S7" s="14" t="s">
        <v>200</v>
      </c>
      <c r="T7" s="17">
        <v>0.0</v>
      </c>
      <c r="U7" s="9" t="str">
        <f t="shared" si="3"/>
        <v>TK-06</v>
      </c>
      <c r="V7" s="16" t="s">
        <v>58</v>
      </c>
      <c r="W7" s="14" t="s">
        <v>201</v>
      </c>
      <c r="X7" s="17">
        <v>0.0</v>
      </c>
      <c r="Y7" s="17" t="str">
        <f t="shared" si="4"/>
        <v>TK-06</v>
      </c>
      <c r="Z7" s="16" t="s">
        <v>58</v>
      </c>
      <c r="AA7" s="14" t="s">
        <v>202</v>
      </c>
      <c r="AB7" s="17">
        <v>0.0</v>
      </c>
      <c r="AC7" s="9" t="str">
        <f t="shared" si="5"/>
        <v>TK-06</v>
      </c>
      <c r="AD7" s="8" t="s">
        <v>58</v>
      </c>
      <c r="AE7" s="14" t="s">
        <v>203</v>
      </c>
      <c r="AF7" s="17">
        <v>0.0</v>
      </c>
      <c r="AG7" s="9" t="str">
        <f t="shared" si="6"/>
        <v>LSW-06</v>
      </c>
      <c r="AH7" s="8" t="s">
        <v>63</v>
      </c>
      <c r="AI7" s="14" t="s">
        <v>204</v>
      </c>
      <c r="AJ7" s="17">
        <v>0.0</v>
      </c>
      <c r="AK7" s="9" t="str">
        <f t="shared" si="7"/>
        <v>LSW-06</v>
      </c>
      <c r="AL7" s="8" t="s">
        <v>63</v>
      </c>
      <c r="AM7" s="14" t="s">
        <v>205</v>
      </c>
      <c r="AN7" s="17">
        <v>0.0</v>
      </c>
      <c r="AO7" s="9" t="str">
        <f t="shared" si="8"/>
        <v>LSW-06</v>
      </c>
      <c r="AP7" s="8" t="s">
        <v>63</v>
      </c>
      <c r="AQ7" s="14" t="s">
        <v>206</v>
      </c>
      <c r="AR7" s="17">
        <v>0.0</v>
      </c>
      <c r="AS7" s="9" t="str">
        <f t="shared" si="9"/>
        <v>RDR-06</v>
      </c>
      <c r="AT7" s="8" t="s">
        <v>67</v>
      </c>
      <c r="AU7" s="14" t="s">
        <v>207</v>
      </c>
      <c r="AV7" s="17">
        <v>0.0</v>
      </c>
      <c r="AW7" s="9" t="str">
        <f t="shared" si="10"/>
        <v>RDR-06</v>
      </c>
      <c r="AX7" s="8" t="s">
        <v>67</v>
      </c>
      <c r="AY7" s="14" t="s">
        <v>208</v>
      </c>
      <c r="AZ7" s="17">
        <v>0.0</v>
      </c>
      <c r="BA7" s="9" t="str">
        <f t="shared" si="11"/>
        <v>RDR-06</v>
      </c>
      <c r="BB7" s="8" t="s">
        <v>67</v>
      </c>
      <c r="BC7" s="14" t="s">
        <v>209</v>
      </c>
      <c r="BD7" s="17">
        <v>0.0</v>
      </c>
      <c r="BE7" s="9" t="str">
        <f t="shared" si="12"/>
        <v>ROSOV-21</v>
      </c>
      <c r="BF7" s="28" t="s">
        <v>71</v>
      </c>
      <c r="BG7" s="14" t="s">
        <v>210</v>
      </c>
      <c r="BH7" s="17">
        <v>0.0</v>
      </c>
      <c r="BI7" s="9" t="str">
        <f t="shared" si="13"/>
        <v>ROSOV-21</v>
      </c>
      <c r="BJ7" s="18" t="s">
        <v>73</v>
      </c>
      <c r="BK7" s="27"/>
      <c r="BL7" s="27"/>
      <c r="BM7" s="27"/>
      <c r="BN7" s="27"/>
      <c r="BO7" s="27"/>
      <c r="BP7" s="27"/>
      <c r="BQ7" s="27"/>
      <c r="BR7" s="27"/>
      <c r="BS7" s="10" t="s">
        <v>211</v>
      </c>
      <c r="BT7" s="20">
        <v>0.0</v>
      </c>
      <c r="BU7" s="9" t="str">
        <f t="shared" si="14"/>
        <v>ROSOV-22</v>
      </c>
      <c r="BV7" s="8" t="s">
        <v>75</v>
      </c>
      <c r="BW7" s="10" t="s">
        <v>212</v>
      </c>
      <c r="BX7" s="20">
        <v>0.0</v>
      </c>
      <c r="BY7" s="9" t="str">
        <f t="shared" si="15"/>
        <v>ROSOV-22</v>
      </c>
      <c r="BZ7" s="18" t="s">
        <v>77</v>
      </c>
      <c r="CA7" s="21" t="s">
        <v>213</v>
      </c>
      <c r="CB7" s="17">
        <v>0.0</v>
      </c>
      <c r="CC7" s="19" t="str">
        <f t="shared" si="16"/>
        <v>ROSOV-23</v>
      </c>
      <c r="CD7" s="18" t="s">
        <v>79</v>
      </c>
      <c r="CE7" s="21" t="s">
        <v>214</v>
      </c>
      <c r="CF7" s="17">
        <v>0.0</v>
      </c>
      <c r="CG7" s="19" t="str">
        <f t="shared" si="17"/>
        <v>ROSOV-23</v>
      </c>
      <c r="CH7" s="18" t="s">
        <v>81</v>
      </c>
      <c r="CI7" s="21" t="s">
        <v>215</v>
      </c>
      <c r="CJ7" s="17">
        <v>0.0</v>
      </c>
      <c r="CK7" s="19" t="str">
        <f t="shared" si="18"/>
        <v>ROSOV-24</v>
      </c>
      <c r="CL7" s="18" t="s">
        <v>83</v>
      </c>
      <c r="CM7" s="21" t="s">
        <v>216</v>
      </c>
      <c r="CN7" s="20">
        <v>0.0</v>
      </c>
      <c r="CO7" s="19" t="str">
        <f t="shared" si="19"/>
        <v>ROSOV-24</v>
      </c>
      <c r="CP7" s="8" t="s">
        <v>85</v>
      </c>
      <c r="CQ7" s="21" t="s">
        <v>217</v>
      </c>
      <c r="CR7" s="20">
        <v>1.0</v>
      </c>
      <c r="CS7" s="9" t="str">
        <f t="shared" si="20"/>
        <v>MOV_109</v>
      </c>
      <c r="CT7" s="8" t="s">
        <v>87</v>
      </c>
      <c r="CU7" s="22" t="s">
        <v>218</v>
      </c>
      <c r="CV7" s="20">
        <v>1.0</v>
      </c>
      <c r="CW7" s="9" t="str">
        <f t="shared" si="21"/>
        <v>MOV_109A</v>
      </c>
      <c r="CX7" s="8" t="s">
        <v>89</v>
      </c>
      <c r="CY7" s="22"/>
      <c r="CZ7" s="14"/>
      <c r="DA7" s="9" t="str">
        <f t="shared" si="22"/>
        <v/>
      </c>
      <c r="DB7" s="27"/>
      <c r="DC7" s="14"/>
      <c r="DD7" s="14"/>
      <c r="DE7" s="9" t="str">
        <f t="shared" si="23"/>
        <v/>
      </c>
      <c r="DF7" s="27"/>
      <c r="DG7" s="22" t="s">
        <v>219</v>
      </c>
      <c r="DH7" s="20">
        <v>0.0</v>
      </c>
      <c r="DI7" s="9" t="str">
        <f t="shared" si="24"/>
        <v>MOV_112</v>
      </c>
      <c r="DJ7" s="8" t="s">
        <v>95</v>
      </c>
      <c r="DK7" s="14"/>
      <c r="DL7" s="23"/>
      <c r="DM7" s="27"/>
      <c r="DN7" s="27"/>
      <c r="DO7" s="14"/>
      <c r="DP7" s="23"/>
      <c r="DQ7" s="27"/>
      <c r="DR7" s="27"/>
    </row>
    <row r="8">
      <c r="A8" s="8">
        <v>1216.0</v>
      </c>
      <c r="B8" s="8" t="s">
        <v>50</v>
      </c>
      <c r="C8" s="9" t="str">
        <f t="shared" si="1"/>
        <v>TK-07_BS VI HSD</v>
      </c>
      <c r="D8" s="10" t="s">
        <v>220</v>
      </c>
      <c r="E8" s="24" t="s">
        <v>52</v>
      </c>
      <c r="F8" s="10" t="s">
        <v>53</v>
      </c>
      <c r="G8" s="12" t="s">
        <v>54</v>
      </c>
      <c r="H8" s="8">
        <v>0.0</v>
      </c>
      <c r="I8" s="25" t="s">
        <v>221</v>
      </c>
      <c r="J8" s="26">
        <v>0.0</v>
      </c>
      <c r="K8" s="26"/>
      <c r="L8" s="26"/>
      <c r="M8" s="25" t="s">
        <v>222</v>
      </c>
      <c r="N8" s="26">
        <v>0.0</v>
      </c>
      <c r="O8" s="14" t="s">
        <v>223</v>
      </c>
      <c r="P8" s="27"/>
      <c r="Q8" s="9" t="str">
        <f t="shared" si="2"/>
        <v>TK-07</v>
      </c>
      <c r="R8" s="16" t="s">
        <v>58</v>
      </c>
      <c r="S8" s="14" t="s">
        <v>224</v>
      </c>
      <c r="T8" s="17">
        <v>0.0</v>
      </c>
      <c r="U8" s="9" t="str">
        <f t="shared" si="3"/>
        <v>TK-07</v>
      </c>
      <c r="V8" s="16" t="s">
        <v>58</v>
      </c>
      <c r="W8" s="14" t="s">
        <v>225</v>
      </c>
      <c r="X8" s="17">
        <v>0.0</v>
      </c>
      <c r="Y8" s="17" t="str">
        <f t="shared" si="4"/>
        <v>TK-07</v>
      </c>
      <c r="Z8" s="16" t="s">
        <v>58</v>
      </c>
      <c r="AA8" s="14" t="s">
        <v>226</v>
      </c>
      <c r="AB8" s="17">
        <v>0.0</v>
      </c>
      <c r="AC8" s="9" t="str">
        <f t="shared" si="5"/>
        <v>TK-07</v>
      </c>
      <c r="AD8" s="8" t="s">
        <v>58</v>
      </c>
      <c r="AE8" s="14" t="s">
        <v>227</v>
      </c>
      <c r="AF8" s="17">
        <v>0.0</v>
      </c>
      <c r="AG8" s="9" t="str">
        <f t="shared" si="6"/>
        <v>LSW-07</v>
      </c>
      <c r="AH8" s="8" t="s">
        <v>63</v>
      </c>
      <c r="AI8" s="14" t="s">
        <v>228</v>
      </c>
      <c r="AJ8" s="17">
        <v>0.0</v>
      </c>
      <c r="AK8" s="9" t="str">
        <f t="shared" si="7"/>
        <v>LSW-07</v>
      </c>
      <c r="AL8" s="8" t="s">
        <v>63</v>
      </c>
      <c r="AM8" s="14" t="s">
        <v>229</v>
      </c>
      <c r="AN8" s="17">
        <v>0.0</v>
      </c>
      <c r="AO8" s="9" t="str">
        <f t="shared" si="8"/>
        <v>LSW-07</v>
      </c>
      <c r="AP8" s="8" t="s">
        <v>63</v>
      </c>
      <c r="AQ8" s="14" t="s">
        <v>230</v>
      </c>
      <c r="AR8" s="17">
        <v>0.0</v>
      </c>
      <c r="AS8" s="9" t="str">
        <f t="shared" si="9"/>
        <v>RDR-07</v>
      </c>
      <c r="AT8" s="8" t="s">
        <v>67</v>
      </c>
      <c r="AU8" s="14" t="s">
        <v>231</v>
      </c>
      <c r="AV8" s="17">
        <v>0.0</v>
      </c>
      <c r="AW8" s="9" t="str">
        <f t="shared" si="10"/>
        <v>RDR-07</v>
      </c>
      <c r="AX8" s="8" t="s">
        <v>67</v>
      </c>
      <c r="AY8" s="14" t="s">
        <v>232</v>
      </c>
      <c r="AZ8" s="17">
        <v>0.0</v>
      </c>
      <c r="BA8" s="9" t="str">
        <f t="shared" si="11"/>
        <v>RDR-07</v>
      </c>
      <c r="BB8" s="8" t="s">
        <v>67</v>
      </c>
      <c r="BC8" s="14" t="s">
        <v>233</v>
      </c>
      <c r="BD8" s="17">
        <v>0.0</v>
      </c>
      <c r="BE8" s="9" t="str">
        <f t="shared" si="12"/>
        <v>ROSOV-25</v>
      </c>
      <c r="BF8" s="28" t="s">
        <v>71</v>
      </c>
      <c r="BG8" s="14" t="s">
        <v>234</v>
      </c>
      <c r="BH8" s="17">
        <v>0.0</v>
      </c>
      <c r="BI8" s="9" t="str">
        <f t="shared" si="13"/>
        <v>ROSOV-25</v>
      </c>
      <c r="BJ8" s="18" t="s">
        <v>73</v>
      </c>
      <c r="BK8" s="27"/>
      <c r="BL8" s="27"/>
      <c r="BM8" s="27"/>
      <c r="BN8" s="27"/>
      <c r="BO8" s="27"/>
      <c r="BP8" s="27"/>
      <c r="BQ8" s="27"/>
      <c r="BR8" s="27"/>
      <c r="BS8" s="10" t="s">
        <v>235</v>
      </c>
      <c r="BT8" s="20">
        <v>0.0</v>
      </c>
      <c r="BU8" s="9" t="str">
        <f t="shared" si="14"/>
        <v>ROSOV-26</v>
      </c>
      <c r="BV8" s="8" t="s">
        <v>75</v>
      </c>
      <c r="BW8" s="10" t="s">
        <v>236</v>
      </c>
      <c r="BX8" s="20">
        <v>0.0</v>
      </c>
      <c r="BY8" s="9" t="str">
        <f t="shared" si="15"/>
        <v>ROSOV-26</v>
      </c>
      <c r="BZ8" s="18" t="s">
        <v>77</v>
      </c>
      <c r="CA8" s="21" t="s">
        <v>237</v>
      </c>
      <c r="CB8" s="17">
        <v>0.0</v>
      </c>
      <c r="CC8" s="19" t="str">
        <f t="shared" si="16"/>
        <v>ROSOV-27</v>
      </c>
      <c r="CD8" s="18" t="s">
        <v>79</v>
      </c>
      <c r="CE8" s="21" t="s">
        <v>238</v>
      </c>
      <c r="CF8" s="17">
        <v>0.0</v>
      </c>
      <c r="CG8" s="19" t="str">
        <f t="shared" si="17"/>
        <v>ROSOV-27</v>
      </c>
      <c r="CH8" s="18" t="s">
        <v>81</v>
      </c>
      <c r="CI8" s="21" t="s">
        <v>239</v>
      </c>
      <c r="CJ8" s="17">
        <v>0.0</v>
      </c>
      <c r="CK8" s="19" t="str">
        <f t="shared" si="18"/>
        <v>ROSOV-28</v>
      </c>
      <c r="CL8" s="18" t="s">
        <v>83</v>
      </c>
      <c r="CM8" s="21" t="s">
        <v>240</v>
      </c>
      <c r="CN8" s="20">
        <v>0.0</v>
      </c>
      <c r="CO8" s="19" t="str">
        <f t="shared" si="19"/>
        <v>ROSOV-28</v>
      </c>
      <c r="CP8" s="8" t="s">
        <v>85</v>
      </c>
      <c r="CQ8" s="21" t="s">
        <v>241</v>
      </c>
      <c r="CR8" s="20">
        <v>1.0</v>
      </c>
      <c r="CS8" s="9" t="str">
        <f t="shared" si="20"/>
        <v>MOV_113</v>
      </c>
      <c r="CT8" s="8" t="s">
        <v>87</v>
      </c>
      <c r="CU8" s="22" t="s">
        <v>242</v>
      </c>
      <c r="CV8" s="20">
        <v>1.0</v>
      </c>
      <c r="CW8" s="9" t="str">
        <f t="shared" si="21"/>
        <v>MOV_113A</v>
      </c>
      <c r="CX8" s="8" t="s">
        <v>89</v>
      </c>
      <c r="CY8" s="22"/>
      <c r="CZ8" s="14"/>
      <c r="DA8" s="9" t="str">
        <f t="shared" si="22"/>
        <v/>
      </c>
      <c r="DB8" s="27"/>
      <c r="DC8" s="14"/>
      <c r="DD8" s="14"/>
      <c r="DE8" s="9" t="str">
        <f t="shared" si="23"/>
        <v/>
      </c>
      <c r="DF8" s="27"/>
      <c r="DG8" s="22" t="s">
        <v>243</v>
      </c>
      <c r="DH8" s="20">
        <v>0.0</v>
      </c>
      <c r="DI8" s="9" t="str">
        <f t="shared" si="24"/>
        <v>MOV_116</v>
      </c>
      <c r="DJ8" s="8" t="s">
        <v>95</v>
      </c>
      <c r="DK8" s="14"/>
      <c r="DL8" s="23"/>
      <c r="DM8" s="27"/>
      <c r="DN8" s="27"/>
      <c r="DO8" s="14"/>
      <c r="DP8" s="23"/>
      <c r="DQ8" s="27"/>
      <c r="DR8" s="27"/>
    </row>
    <row r="9">
      <c r="A9" s="8">
        <v>1216.0</v>
      </c>
      <c r="B9" s="8" t="s">
        <v>50</v>
      </c>
      <c r="C9" s="9" t="str">
        <f t="shared" si="1"/>
        <v>TK-08_NAPHTHA</v>
      </c>
      <c r="D9" s="10" t="s">
        <v>244</v>
      </c>
      <c r="E9" s="24" t="s">
        <v>52</v>
      </c>
      <c r="F9" s="10" t="s">
        <v>245</v>
      </c>
      <c r="G9" s="12" t="s">
        <v>54</v>
      </c>
      <c r="H9" s="8">
        <v>0.0</v>
      </c>
      <c r="I9" s="25" t="s">
        <v>246</v>
      </c>
      <c r="J9" s="26">
        <v>0.0</v>
      </c>
      <c r="K9" s="26"/>
      <c r="L9" s="26"/>
      <c r="M9" s="25" t="s">
        <v>247</v>
      </c>
      <c r="N9" s="26">
        <v>0.0</v>
      </c>
      <c r="O9" s="14" t="s">
        <v>248</v>
      </c>
      <c r="P9" s="27"/>
      <c r="Q9" s="9" t="str">
        <f t="shared" si="2"/>
        <v>TK-08</v>
      </c>
      <c r="R9" s="16" t="s">
        <v>58</v>
      </c>
      <c r="S9" s="14" t="s">
        <v>249</v>
      </c>
      <c r="T9" s="17">
        <v>0.0</v>
      </c>
      <c r="U9" s="9" t="str">
        <f t="shared" si="3"/>
        <v>TK-08</v>
      </c>
      <c r="V9" s="16" t="s">
        <v>58</v>
      </c>
      <c r="W9" s="14" t="s">
        <v>250</v>
      </c>
      <c r="X9" s="17">
        <v>0.0</v>
      </c>
      <c r="Y9" s="17" t="str">
        <f t="shared" si="4"/>
        <v>TK-08</v>
      </c>
      <c r="Z9" s="16" t="s">
        <v>58</v>
      </c>
      <c r="AA9" s="14" t="s">
        <v>251</v>
      </c>
      <c r="AB9" s="17">
        <v>0.0</v>
      </c>
      <c r="AC9" s="9" t="str">
        <f t="shared" si="5"/>
        <v>TK-08</v>
      </c>
      <c r="AD9" s="8" t="s">
        <v>58</v>
      </c>
      <c r="AE9" s="14" t="s">
        <v>252</v>
      </c>
      <c r="AF9" s="17">
        <v>0.0</v>
      </c>
      <c r="AG9" s="9" t="str">
        <f t="shared" si="6"/>
        <v>LSW-08</v>
      </c>
      <c r="AH9" s="8" t="s">
        <v>63</v>
      </c>
      <c r="AI9" s="14" t="s">
        <v>253</v>
      </c>
      <c r="AJ9" s="17">
        <v>0.0</v>
      </c>
      <c r="AK9" s="9" t="str">
        <f t="shared" si="7"/>
        <v>LSW-08</v>
      </c>
      <c r="AL9" s="8" t="s">
        <v>63</v>
      </c>
      <c r="AM9" s="14" t="s">
        <v>254</v>
      </c>
      <c r="AN9" s="17">
        <v>0.0</v>
      </c>
      <c r="AO9" s="9" t="str">
        <f t="shared" si="8"/>
        <v>LSW-08</v>
      </c>
      <c r="AP9" s="8" t="s">
        <v>63</v>
      </c>
      <c r="AQ9" s="14" t="s">
        <v>255</v>
      </c>
      <c r="AR9" s="17">
        <v>0.0</v>
      </c>
      <c r="AS9" s="9" t="str">
        <f t="shared" si="9"/>
        <v>RDR-08</v>
      </c>
      <c r="AT9" s="8" t="s">
        <v>67</v>
      </c>
      <c r="AU9" s="14" t="s">
        <v>256</v>
      </c>
      <c r="AV9" s="17">
        <v>0.0</v>
      </c>
      <c r="AW9" s="9" t="str">
        <f t="shared" si="10"/>
        <v>RDR-08</v>
      </c>
      <c r="AX9" s="8" t="s">
        <v>67</v>
      </c>
      <c r="AY9" s="14" t="s">
        <v>257</v>
      </c>
      <c r="AZ9" s="17">
        <v>0.0</v>
      </c>
      <c r="BA9" s="9" t="str">
        <f t="shared" si="11"/>
        <v>RDR-08</v>
      </c>
      <c r="BB9" s="8" t="s">
        <v>67</v>
      </c>
      <c r="BC9" s="14" t="s">
        <v>258</v>
      </c>
      <c r="BD9" s="17">
        <v>0.0</v>
      </c>
      <c r="BE9" s="9" t="str">
        <f t="shared" si="12"/>
        <v>ROSOV-29</v>
      </c>
      <c r="BF9" s="28" t="s">
        <v>71</v>
      </c>
      <c r="BG9" s="14" t="s">
        <v>259</v>
      </c>
      <c r="BH9" s="17">
        <v>0.0</v>
      </c>
      <c r="BI9" s="9" t="str">
        <f t="shared" si="13"/>
        <v>ROSOV-29</v>
      </c>
      <c r="BJ9" s="18" t="s">
        <v>73</v>
      </c>
      <c r="BK9" s="27"/>
      <c r="BL9" s="27"/>
      <c r="BM9" s="27"/>
      <c r="BN9" s="27"/>
      <c r="BO9" s="27"/>
      <c r="BP9" s="27"/>
      <c r="BQ9" s="27"/>
      <c r="BR9" s="27"/>
      <c r="BS9" s="10" t="s">
        <v>260</v>
      </c>
      <c r="BT9" s="20">
        <v>0.0</v>
      </c>
      <c r="BU9" s="9" t="str">
        <f t="shared" si="14"/>
        <v>ROSOV-30</v>
      </c>
      <c r="BV9" s="8" t="s">
        <v>75</v>
      </c>
      <c r="BW9" s="10" t="s">
        <v>261</v>
      </c>
      <c r="BX9" s="20">
        <v>0.0</v>
      </c>
      <c r="BY9" s="9" t="str">
        <f t="shared" si="15"/>
        <v>ROSOV-30</v>
      </c>
      <c r="BZ9" s="18" t="s">
        <v>77</v>
      </c>
      <c r="CA9" s="21" t="s">
        <v>262</v>
      </c>
      <c r="CB9" s="17">
        <v>0.0</v>
      </c>
      <c r="CC9" s="19" t="str">
        <f t="shared" si="16"/>
        <v>ROSOV-31</v>
      </c>
      <c r="CD9" s="18" t="s">
        <v>79</v>
      </c>
      <c r="CE9" s="21" t="s">
        <v>263</v>
      </c>
      <c r="CF9" s="17">
        <v>0.0</v>
      </c>
      <c r="CG9" s="19" t="str">
        <f t="shared" si="17"/>
        <v>ROSOV-31</v>
      </c>
      <c r="CH9" s="18" t="s">
        <v>81</v>
      </c>
      <c r="CI9" s="21" t="s">
        <v>264</v>
      </c>
      <c r="CJ9" s="17">
        <v>0.0</v>
      </c>
      <c r="CK9" s="19" t="str">
        <f t="shared" si="18"/>
        <v>ROSOV-32</v>
      </c>
      <c r="CL9" s="18" t="s">
        <v>83</v>
      </c>
      <c r="CM9" s="21" t="s">
        <v>265</v>
      </c>
      <c r="CN9" s="20">
        <v>0.0</v>
      </c>
      <c r="CO9" s="19" t="str">
        <f t="shared" si="19"/>
        <v>ROSOV-32</v>
      </c>
      <c r="CP9" s="8" t="s">
        <v>85</v>
      </c>
      <c r="CQ9" s="21" t="s">
        <v>266</v>
      </c>
      <c r="CR9" s="20">
        <v>1.0</v>
      </c>
      <c r="CS9" s="9" t="str">
        <f t="shared" si="20"/>
        <v>MOV_301</v>
      </c>
      <c r="CT9" s="8" t="s">
        <v>87</v>
      </c>
      <c r="CU9" s="22" t="s">
        <v>267</v>
      </c>
      <c r="CV9" s="20">
        <v>1.0</v>
      </c>
      <c r="CW9" s="9" t="str">
        <f t="shared" si="21"/>
        <v>MOV_301A</v>
      </c>
      <c r="CX9" s="8" t="s">
        <v>89</v>
      </c>
      <c r="CY9" s="22"/>
      <c r="CZ9" s="14"/>
      <c r="DA9" s="9" t="str">
        <f t="shared" si="22"/>
        <v/>
      </c>
      <c r="DB9" s="27"/>
      <c r="DC9" s="14"/>
      <c r="DD9" s="14"/>
      <c r="DE9" s="9" t="str">
        <f t="shared" si="23"/>
        <v/>
      </c>
      <c r="DF9" s="27"/>
      <c r="DG9" s="22" t="s">
        <v>268</v>
      </c>
      <c r="DH9" s="20">
        <v>0.0</v>
      </c>
      <c r="DI9" s="9" t="str">
        <f t="shared" si="24"/>
        <v>MOV_304</v>
      </c>
      <c r="DJ9" s="8" t="s">
        <v>95</v>
      </c>
      <c r="DK9" s="14" t="s">
        <v>269</v>
      </c>
      <c r="DL9" s="17">
        <v>0.0</v>
      </c>
      <c r="DM9" s="27" t="str">
        <f t="shared" ref="DM9:DM48" si="25">MID(DK9,23,9)</f>
        <v>RIMSEAL01</v>
      </c>
      <c r="DN9" s="28" t="s">
        <v>270</v>
      </c>
      <c r="DO9" s="17" t="s">
        <v>271</v>
      </c>
      <c r="DP9" s="20">
        <v>0.0</v>
      </c>
      <c r="DQ9" s="27" t="str">
        <f t="shared" ref="DQ9:DQ48" si="26">MID(DO9,27,9)</f>
        <v>RIMSEAL01</v>
      </c>
      <c r="DR9" s="28" t="s">
        <v>272</v>
      </c>
    </row>
    <row r="10">
      <c r="A10" s="8">
        <v>1216.0</v>
      </c>
      <c r="B10" s="8" t="s">
        <v>50</v>
      </c>
      <c r="C10" s="9" t="str">
        <f t="shared" si="1"/>
        <v>TK-09_NAPHTHA</v>
      </c>
      <c r="D10" s="10" t="s">
        <v>273</v>
      </c>
      <c r="E10" s="24" t="s">
        <v>52</v>
      </c>
      <c r="F10" s="10" t="s">
        <v>245</v>
      </c>
      <c r="G10" s="12" t="s">
        <v>54</v>
      </c>
      <c r="H10" s="8">
        <v>0.0</v>
      </c>
      <c r="I10" s="29"/>
      <c r="J10" s="29"/>
      <c r="K10" s="29"/>
      <c r="L10" s="29"/>
      <c r="M10" s="29"/>
      <c r="N10" s="29"/>
      <c r="O10" s="14" t="s">
        <v>274</v>
      </c>
      <c r="P10" s="27"/>
      <c r="Q10" s="9" t="str">
        <f t="shared" si="2"/>
        <v>TK-09</v>
      </c>
      <c r="R10" s="16" t="s">
        <v>58</v>
      </c>
      <c r="S10" s="14" t="s">
        <v>275</v>
      </c>
      <c r="T10" s="17">
        <v>0.0</v>
      </c>
      <c r="U10" s="9" t="str">
        <f t="shared" si="3"/>
        <v>TK-09</v>
      </c>
      <c r="V10" s="16" t="s">
        <v>58</v>
      </c>
      <c r="W10" s="14" t="s">
        <v>276</v>
      </c>
      <c r="X10" s="17">
        <v>0.0</v>
      </c>
      <c r="Y10" s="17" t="str">
        <f t="shared" si="4"/>
        <v>TK-09</v>
      </c>
      <c r="Z10" s="16" t="s">
        <v>58</v>
      </c>
      <c r="AA10" s="14" t="s">
        <v>277</v>
      </c>
      <c r="AB10" s="17">
        <v>0.0</v>
      </c>
      <c r="AC10" s="9" t="str">
        <f t="shared" si="5"/>
        <v>TK-09</v>
      </c>
      <c r="AD10" s="8" t="s">
        <v>58</v>
      </c>
      <c r="AE10" s="14" t="s">
        <v>278</v>
      </c>
      <c r="AF10" s="17">
        <v>0.0</v>
      </c>
      <c r="AG10" s="9" t="str">
        <f t="shared" si="6"/>
        <v>LSW-09</v>
      </c>
      <c r="AH10" s="8" t="s">
        <v>63</v>
      </c>
      <c r="AI10" s="14" t="s">
        <v>279</v>
      </c>
      <c r="AJ10" s="17">
        <v>0.0</v>
      </c>
      <c r="AK10" s="9" t="str">
        <f t="shared" si="7"/>
        <v>LSW-09</v>
      </c>
      <c r="AL10" s="8" t="s">
        <v>63</v>
      </c>
      <c r="AM10" s="14" t="s">
        <v>280</v>
      </c>
      <c r="AN10" s="17">
        <v>0.0</v>
      </c>
      <c r="AO10" s="9" t="str">
        <f t="shared" si="8"/>
        <v>LSW-09</v>
      </c>
      <c r="AP10" s="8" t="s">
        <v>63</v>
      </c>
      <c r="AQ10" s="14" t="s">
        <v>281</v>
      </c>
      <c r="AR10" s="17">
        <v>0.0</v>
      </c>
      <c r="AS10" s="9" t="str">
        <f t="shared" si="9"/>
        <v>RDR-09</v>
      </c>
      <c r="AT10" s="8" t="s">
        <v>67</v>
      </c>
      <c r="AU10" s="14" t="s">
        <v>282</v>
      </c>
      <c r="AV10" s="17">
        <v>0.0</v>
      </c>
      <c r="AW10" s="9" t="str">
        <f t="shared" si="10"/>
        <v>RDR-09</v>
      </c>
      <c r="AX10" s="8" t="s">
        <v>67</v>
      </c>
      <c r="AY10" s="14" t="s">
        <v>283</v>
      </c>
      <c r="AZ10" s="17">
        <v>0.0</v>
      </c>
      <c r="BA10" s="9" t="str">
        <f t="shared" si="11"/>
        <v>RDR-09</v>
      </c>
      <c r="BB10" s="8" t="s">
        <v>67</v>
      </c>
      <c r="BC10" s="14" t="s">
        <v>284</v>
      </c>
      <c r="BD10" s="17">
        <v>0.0</v>
      </c>
      <c r="BE10" s="9" t="str">
        <f t="shared" si="12"/>
        <v>ROSOV-33</v>
      </c>
      <c r="BF10" s="28" t="s">
        <v>71</v>
      </c>
      <c r="BG10" s="14" t="s">
        <v>285</v>
      </c>
      <c r="BH10" s="17">
        <v>0.0</v>
      </c>
      <c r="BI10" s="9" t="str">
        <f t="shared" si="13"/>
        <v>ROSOV-33</v>
      </c>
      <c r="BJ10" s="18" t="s">
        <v>73</v>
      </c>
      <c r="BK10" s="27"/>
      <c r="BL10" s="27"/>
      <c r="BM10" s="27"/>
      <c r="BN10" s="27"/>
      <c r="BO10" s="27"/>
      <c r="BP10" s="27"/>
      <c r="BQ10" s="27"/>
      <c r="BR10" s="27"/>
      <c r="BS10" s="10" t="s">
        <v>286</v>
      </c>
      <c r="BT10" s="20">
        <v>0.0</v>
      </c>
      <c r="BU10" s="9" t="str">
        <f t="shared" si="14"/>
        <v>ROSOV-34</v>
      </c>
      <c r="BV10" s="8" t="s">
        <v>75</v>
      </c>
      <c r="BW10" s="10" t="s">
        <v>287</v>
      </c>
      <c r="BX10" s="20">
        <v>0.0</v>
      </c>
      <c r="BY10" s="9" t="str">
        <f t="shared" si="15"/>
        <v>ROSOV-34</v>
      </c>
      <c r="BZ10" s="18" t="s">
        <v>77</v>
      </c>
      <c r="CA10" s="21" t="s">
        <v>288</v>
      </c>
      <c r="CB10" s="17">
        <v>0.0</v>
      </c>
      <c r="CC10" s="19" t="str">
        <f t="shared" si="16"/>
        <v>ROSOV-35</v>
      </c>
      <c r="CD10" s="18" t="s">
        <v>79</v>
      </c>
      <c r="CE10" s="21" t="s">
        <v>289</v>
      </c>
      <c r="CF10" s="17">
        <v>0.0</v>
      </c>
      <c r="CG10" s="19" t="str">
        <f t="shared" si="17"/>
        <v>ROSOV-35</v>
      </c>
      <c r="CH10" s="18" t="s">
        <v>81</v>
      </c>
      <c r="CI10" s="21" t="s">
        <v>290</v>
      </c>
      <c r="CJ10" s="17">
        <v>0.0</v>
      </c>
      <c r="CK10" s="19" t="str">
        <f t="shared" si="18"/>
        <v>ROSOV-36</v>
      </c>
      <c r="CL10" s="18" t="s">
        <v>83</v>
      </c>
      <c r="CM10" s="21" t="s">
        <v>291</v>
      </c>
      <c r="CN10" s="20">
        <v>0.0</v>
      </c>
      <c r="CO10" s="19" t="str">
        <f t="shared" si="19"/>
        <v>ROSOV-36</v>
      </c>
      <c r="CP10" s="8" t="s">
        <v>85</v>
      </c>
      <c r="CQ10" s="21" t="s">
        <v>292</v>
      </c>
      <c r="CR10" s="20">
        <v>1.0</v>
      </c>
      <c r="CS10" s="9" t="str">
        <f t="shared" si="20"/>
        <v>MOV_305</v>
      </c>
      <c r="CT10" s="8" t="s">
        <v>87</v>
      </c>
      <c r="CU10" s="22" t="s">
        <v>293</v>
      </c>
      <c r="CV10" s="20">
        <v>1.0</v>
      </c>
      <c r="CW10" s="9" t="str">
        <f t="shared" si="21"/>
        <v>MOV_305A</v>
      </c>
      <c r="CX10" s="8" t="s">
        <v>89</v>
      </c>
      <c r="CY10" s="22"/>
      <c r="CZ10" s="14"/>
      <c r="DA10" s="9" t="str">
        <f t="shared" si="22"/>
        <v/>
      </c>
      <c r="DB10" s="27"/>
      <c r="DC10" s="14"/>
      <c r="DD10" s="14"/>
      <c r="DE10" s="9" t="str">
        <f t="shared" si="23"/>
        <v/>
      </c>
      <c r="DF10" s="27"/>
      <c r="DG10" s="22" t="s">
        <v>294</v>
      </c>
      <c r="DH10" s="20">
        <v>0.0</v>
      </c>
      <c r="DI10" s="9" t="str">
        <f t="shared" si="24"/>
        <v>MOV_308</v>
      </c>
      <c r="DJ10" s="8" t="s">
        <v>95</v>
      </c>
      <c r="DK10" s="14" t="s">
        <v>295</v>
      </c>
      <c r="DL10" s="17">
        <v>0.0</v>
      </c>
      <c r="DM10" s="27" t="str">
        <f t="shared" si="25"/>
        <v>RIMSEAL02</v>
      </c>
      <c r="DN10" s="28" t="s">
        <v>270</v>
      </c>
      <c r="DO10" s="14" t="s">
        <v>296</v>
      </c>
      <c r="DP10" s="20">
        <v>0.0</v>
      </c>
      <c r="DQ10" s="27" t="str">
        <f t="shared" si="26"/>
        <v>RIMSEAL02</v>
      </c>
      <c r="DR10" s="28" t="s">
        <v>272</v>
      </c>
    </row>
    <row r="11">
      <c r="A11" s="8">
        <v>1216.0</v>
      </c>
      <c r="B11" s="8" t="s">
        <v>50</v>
      </c>
      <c r="C11" s="9" t="str">
        <f t="shared" si="1"/>
        <v>TK-10_NAPHTHA</v>
      </c>
      <c r="D11" s="10" t="s">
        <v>297</v>
      </c>
      <c r="E11" s="24" t="s">
        <v>52</v>
      </c>
      <c r="F11" s="10" t="s">
        <v>245</v>
      </c>
      <c r="G11" s="12" t="s">
        <v>54</v>
      </c>
      <c r="H11" s="8">
        <v>0.0</v>
      </c>
      <c r="I11" s="29"/>
      <c r="J11" s="29"/>
      <c r="K11" s="29"/>
      <c r="L11" s="29"/>
      <c r="M11" s="29"/>
      <c r="N11" s="29"/>
      <c r="O11" s="14" t="s">
        <v>298</v>
      </c>
      <c r="P11" s="27"/>
      <c r="Q11" s="9" t="str">
        <f t="shared" si="2"/>
        <v>TK-10</v>
      </c>
      <c r="R11" s="16" t="s">
        <v>58</v>
      </c>
      <c r="S11" s="14" t="s">
        <v>299</v>
      </c>
      <c r="T11" s="17">
        <v>0.0</v>
      </c>
      <c r="U11" s="9" t="str">
        <f t="shared" si="3"/>
        <v>TK-10</v>
      </c>
      <c r="V11" s="16" t="s">
        <v>58</v>
      </c>
      <c r="W11" s="14" t="s">
        <v>300</v>
      </c>
      <c r="X11" s="17">
        <v>0.0</v>
      </c>
      <c r="Y11" s="17" t="str">
        <f t="shared" si="4"/>
        <v>TK-10</v>
      </c>
      <c r="Z11" s="16" t="s">
        <v>58</v>
      </c>
      <c r="AA11" s="14" t="s">
        <v>301</v>
      </c>
      <c r="AB11" s="17">
        <v>0.0</v>
      </c>
      <c r="AC11" s="9" t="str">
        <f t="shared" si="5"/>
        <v>TK-10</v>
      </c>
      <c r="AD11" s="8" t="s">
        <v>58</v>
      </c>
      <c r="AE11" s="14" t="s">
        <v>302</v>
      </c>
      <c r="AF11" s="17">
        <v>0.0</v>
      </c>
      <c r="AG11" s="9" t="str">
        <f t="shared" si="6"/>
        <v>LSW-10</v>
      </c>
      <c r="AH11" s="8" t="s">
        <v>63</v>
      </c>
      <c r="AI11" s="14" t="s">
        <v>303</v>
      </c>
      <c r="AJ11" s="17">
        <v>0.0</v>
      </c>
      <c r="AK11" s="9" t="str">
        <f t="shared" si="7"/>
        <v>LSW-10</v>
      </c>
      <c r="AL11" s="8" t="s">
        <v>63</v>
      </c>
      <c r="AM11" s="14" t="s">
        <v>304</v>
      </c>
      <c r="AN11" s="17">
        <v>0.0</v>
      </c>
      <c r="AO11" s="9" t="str">
        <f t="shared" si="8"/>
        <v>LSW-10</v>
      </c>
      <c r="AP11" s="8" t="s">
        <v>63</v>
      </c>
      <c r="AQ11" s="14" t="s">
        <v>305</v>
      </c>
      <c r="AR11" s="17">
        <v>0.0</v>
      </c>
      <c r="AS11" s="9" t="str">
        <f t="shared" si="9"/>
        <v>RDR-10</v>
      </c>
      <c r="AT11" s="8" t="s">
        <v>67</v>
      </c>
      <c r="AU11" s="14" t="s">
        <v>306</v>
      </c>
      <c r="AV11" s="17">
        <v>0.0</v>
      </c>
      <c r="AW11" s="9" t="str">
        <f t="shared" si="10"/>
        <v>RDR-10</v>
      </c>
      <c r="AX11" s="8" t="s">
        <v>67</v>
      </c>
      <c r="AY11" s="14" t="s">
        <v>307</v>
      </c>
      <c r="AZ11" s="17">
        <v>0.0</v>
      </c>
      <c r="BA11" s="9" t="str">
        <f t="shared" si="11"/>
        <v>RDR-10</v>
      </c>
      <c r="BB11" s="8" t="s">
        <v>67</v>
      </c>
      <c r="BC11" s="14" t="s">
        <v>308</v>
      </c>
      <c r="BD11" s="17">
        <v>0.0</v>
      </c>
      <c r="BE11" s="9" t="str">
        <f t="shared" si="12"/>
        <v>ROSOV-37</v>
      </c>
      <c r="BF11" s="28" t="s">
        <v>71</v>
      </c>
      <c r="BG11" s="14" t="s">
        <v>309</v>
      </c>
      <c r="BH11" s="17">
        <v>0.0</v>
      </c>
      <c r="BI11" s="9" t="str">
        <f t="shared" si="13"/>
        <v>ROSOV-37</v>
      </c>
      <c r="BJ11" s="18" t="s">
        <v>73</v>
      </c>
      <c r="BK11" s="27"/>
      <c r="BL11" s="27"/>
      <c r="BM11" s="27"/>
      <c r="BN11" s="27"/>
      <c r="BO11" s="27"/>
      <c r="BP11" s="27"/>
      <c r="BQ11" s="27"/>
      <c r="BR11" s="27"/>
      <c r="BS11" s="10" t="s">
        <v>310</v>
      </c>
      <c r="BT11" s="20">
        <v>0.0</v>
      </c>
      <c r="BU11" s="9" t="str">
        <f t="shared" si="14"/>
        <v>ROSOV-38</v>
      </c>
      <c r="BV11" s="8" t="s">
        <v>75</v>
      </c>
      <c r="BW11" s="10" t="s">
        <v>311</v>
      </c>
      <c r="BX11" s="20">
        <v>0.0</v>
      </c>
      <c r="BY11" s="9" t="str">
        <f t="shared" si="15"/>
        <v>ROSOV-38</v>
      </c>
      <c r="BZ11" s="18" t="s">
        <v>77</v>
      </c>
      <c r="CA11" s="21" t="s">
        <v>312</v>
      </c>
      <c r="CB11" s="17">
        <v>0.0</v>
      </c>
      <c r="CC11" s="19" t="str">
        <f t="shared" si="16"/>
        <v>ROSOV-39</v>
      </c>
      <c r="CD11" s="18" t="s">
        <v>79</v>
      </c>
      <c r="CE11" s="21" t="s">
        <v>313</v>
      </c>
      <c r="CF11" s="17">
        <v>0.0</v>
      </c>
      <c r="CG11" s="19" t="str">
        <f t="shared" si="17"/>
        <v>ROSOV-39</v>
      </c>
      <c r="CH11" s="18" t="s">
        <v>81</v>
      </c>
      <c r="CI11" s="21" t="s">
        <v>314</v>
      </c>
      <c r="CJ11" s="17">
        <v>0.0</v>
      </c>
      <c r="CK11" s="19" t="str">
        <f t="shared" si="18"/>
        <v>ROSOV-40</v>
      </c>
      <c r="CL11" s="18" t="s">
        <v>83</v>
      </c>
      <c r="CM11" s="21" t="s">
        <v>315</v>
      </c>
      <c r="CN11" s="20">
        <v>0.0</v>
      </c>
      <c r="CO11" s="19" t="str">
        <f t="shared" si="19"/>
        <v>ROSOV-40</v>
      </c>
      <c r="CP11" s="8" t="s">
        <v>85</v>
      </c>
      <c r="CQ11" s="21" t="s">
        <v>316</v>
      </c>
      <c r="CR11" s="20">
        <v>1.0</v>
      </c>
      <c r="CS11" s="9" t="str">
        <f t="shared" si="20"/>
        <v>MOV_309</v>
      </c>
      <c r="CT11" s="8" t="s">
        <v>87</v>
      </c>
      <c r="CU11" s="22" t="s">
        <v>317</v>
      </c>
      <c r="CV11" s="20">
        <v>1.0</v>
      </c>
      <c r="CW11" s="9" t="str">
        <f t="shared" si="21"/>
        <v>MOV_309A</v>
      </c>
      <c r="CX11" s="8" t="s">
        <v>89</v>
      </c>
      <c r="CY11" s="22"/>
      <c r="CZ11" s="14"/>
      <c r="DA11" s="9" t="str">
        <f t="shared" si="22"/>
        <v/>
      </c>
      <c r="DB11" s="27"/>
      <c r="DC11" s="14"/>
      <c r="DD11" s="14"/>
      <c r="DE11" s="9" t="str">
        <f t="shared" si="23"/>
        <v/>
      </c>
      <c r="DF11" s="27"/>
      <c r="DG11" s="22" t="s">
        <v>318</v>
      </c>
      <c r="DH11" s="20">
        <v>0.0</v>
      </c>
      <c r="DI11" s="9" t="str">
        <f t="shared" si="24"/>
        <v>MOV_312</v>
      </c>
      <c r="DJ11" s="8" t="s">
        <v>95</v>
      </c>
      <c r="DK11" s="14" t="s">
        <v>319</v>
      </c>
      <c r="DL11" s="17">
        <v>0.0</v>
      </c>
      <c r="DM11" s="27" t="str">
        <f t="shared" si="25"/>
        <v>RIMSEAL03</v>
      </c>
      <c r="DN11" s="28" t="s">
        <v>270</v>
      </c>
      <c r="DO11" s="14" t="s">
        <v>320</v>
      </c>
      <c r="DP11" s="20">
        <v>0.0</v>
      </c>
      <c r="DQ11" s="27" t="str">
        <f t="shared" si="26"/>
        <v>RIMSEAL03</v>
      </c>
      <c r="DR11" s="28" t="s">
        <v>272</v>
      </c>
    </row>
    <row r="12">
      <c r="A12" s="8">
        <v>1216.0</v>
      </c>
      <c r="B12" s="8" t="s">
        <v>50</v>
      </c>
      <c r="C12" s="9" t="str">
        <f t="shared" si="1"/>
        <v>TK-11_BS VI MS</v>
      </c>
      <c r="D12" s="10" t="s">
        <v>321</v>
      </c>
      <c r="E12" s="24" t="s">
        <v>52</v>
      </c>
      <c r="F12" s="10" t="s">
        <v>322</v>
      </c>
      <c r="G12" s="12" t="s">
        <v>54</v>
      </c>
      <c r="H12" s="8">
        <v>0.0</v>
      </c>
      <c r="I12" s="29"/>
      <c r="J12" s="29"/>
      <c r="K12" s="29"/>
      <c r="L12" s="29"/>
      <c r="M12" s="29"/>
      <c r="N12" s="29"/>
      <c r="O12" s="14" t="s">
        <v>323</v>
      </c>
      <c r="P12" s="27"/>
      <c r="Q12" s="9" t="str">
        <f t="shared" si="2"/>
        <v>TK-11</v>
      </c>
      <c r="R12" s="16" t="s">
        <v>58</v>
      </c>
      <c r="S12" s="14" t="s">
        <v>324</v>
      </c>
      <c r="T12" s="17">
        <v>0.0</v>
      </c>
      <c r="U12" s="9" t="str">
        <f t="shared" si="3"/>
        <v>TK-11</v>
      </c>
      <c r="V12" s="16" t="s">
        <v>58</v>
      </c>
      <c r="W12" s="14" t="s">
        <v>325</v>
      </c>
      <c r="X12" s="17">
        <v>0.0</v>
      </c>
      <c r="Y12" s="17" t="str">
        <f t="shared" si="4"/>
        <v>TK-11</v>
      </c>
      <c r="Z12" s="16" t="s">
        <v>58</v>
      </c>
      <c r="AA12" s="14" t="s">
        <v>326</v>
      </c>
      <c r="AB12" s="17">
        <v>0.0</v>
      </c>
      <c r="AC12" s="9" t="str">
        <f t="shared" si="5"/>
        <v>TK-11</v>
      </c>
      <c r="AD12" s="8" t="s">
        <v>58</v>
      </c>
      <c r="AE12" s="14" t="s">
        <v>327</v>
      </c>
      <c r="AF12" s="17">
        <v>0.0</v>
      </c>
      <c r="AG12" s="9" t="str">
        <f t="shared" si="6"/>
        <v>LSW-11</v>
      </c>
      <c r="AH12" s="8" t="s">
        <v>63</v>
      </c>
      <c r="AI12" s="14" t="s">
        <v>328</v>
      </c>
      <c r="AJ12" s="17">
        <v>0.0</v>
      </c>
      <c r="AK12" s="9" t="str">
        <f t="shared" si="7"/>
        <v>LSW-11</v>
      </c>
      <c r="AL12" s="8" t="s">
        <v>63</v>
      </c>
      <c r="AM12" s="14" t="s">
        <v>329</v>
      </c>
      <c r="AN12" s="17">
        <v>0.0</v>
      </c>
      <c r="AO12" s="9" t="str">
        <f t="shared" si="8"/>
        <v>LSW-11</v>
      </c>
      <c r="AP12" s="8" t="s">
        <v>63</v>
      </c>
      <c r="AQ12" s="14" t="s">
        <v>330</v>
      </c>
      <c r="AR12" s="17">
        <v>0.0</v>
      </c>
      <c r="AS12" s="9" t="str">
        <f t="shared" si="9"/>
        <v>RDR-11</v>
      </c>
      <c r="AT12" s="8" t="s">
        <v>67</v>
      </c>
      <c r="AU12" s="14" t="s">
        <v>331</v>
      </c>
      <c r="AV12" s="17">
        <v>0.0</v>
      </c>
      <c r="AW12" s="9" t="str">
        <f t="shared" si="10"/>
        <v>RDR-11</v>
      </c>
      <c r="AX12" s="8" t="s">
        <v>67</v>
      </c>
      <c r="AY12" s="14" t="s">
        <v>332</v>
      </c>
      <c r="AZ12" s="17">
        <v>0.0</v>
      </c>
      <c r="BA12" s="9" t="str">
        <f t="shared" si="11"/>
        <v>RDR-11</v>
      </c>
      <c r="BB12" s="8" t="s">
        <v>67</v>
      </c>
      <c r="BC12" s="14" t="s">
        <v>333</v>
      </c>
      <c r="BD12" s="17">
        <v>0.0</v>
      </c>
      <c r="BE12" s="9" t="str">
        <f t="shared" si="12"/>
        <v>ROSOV-41</v>
      </c>
      <c r="BF12" s="28" t="s">
        <v>71</v>
      </c>
      <c r="BG12" s="14" t="s">
        <v>334</v>
      </c>
      <c r="BH12" s="17">
        <v>0.0</v>
      </c>
      <c r="BI12" s="9" t="str">
        <f t="shared" si="13"/>
        <v>ROSOV-41</v>
      </c>
      <c r="BJ12" s="18" t="s">
        <v>73</v>
      </c>
      <c r="BK12" s="27"/>
      <c r="BL12" s="27"/>
      <c r="BM12" s="27"/>
      <c r="BN12" s="27"/>
      <c r="BO12" s="27"/>
      <c r="BP12" s="27"/>
      <c r="BQ12" s="27"/>
      <c r="BR12" s="27"/>
      <c r="BS12" s="10" t="s">
        <v>335</v>
      </c>
      <c r="BT12" s="20">
        <v>0.0</v>
      </c>
      <c r="BU12" s="9" t="str">
        <f t="shared" si="14"/>
        <v>ROSOV-42</v>
      </c>
      <c r="BV12" s="8" t="s">
        <v>75</v>
      </c>
      <c r="BW12" s="10" t="s">
        <v>336</v>
      </c>
      <c r="BX12" s="20">
        <v>0.0</v>
      </c>
      <c r="BY12" s="9" t="str">
        <f t="shared" si="15"/>
        <v>ROSOV-42</v>
      </c>
      <c r="BZ12" s="18" t="s">
        <v>77</v>
      </c>
      <c r="CA12" s="21" t="s">
        <v>337</v>
      </c>
      <c r="CB12" s="17">
        <v>0.0</v>
      </c>
      <c r="CC12" s="19" t="str">
        <f t="shared" si="16"/>
        <v>ROSOV-43</v>
      </c>
      <c r="CD12" s="18" t="s">
        <v>79</v>
      </c>
      <c r="CE12" s="21" t="s">
        <v>338</v>
      </c>
      <c r="CF12" s="17">
        <v>0.0</v>
      </c>
      <c r="CG12" s="19" t="str">
        <f t="shared" si="17"/>
        <v>ROSOV-43</v>
      </c>
      <c r="CH12" s="18" t="s">
        <v>81</v>
      </c>
      <c r="CI12" s="21" t="s">
        <v>339</v>
      </c>
      <c r="CJ12" s="17">
        <v>0.0</v>
      </c>
      <c r="CK12" s="19" t="str">
        <f t="shared" si="18"/>
        <v>ROSOV-44</v>
      </c>
      <c r="CL12" s="18" t="s">
        <v>83</v>
      </c>
      <c r="CM12" s="21" t="s">
        <v>340</v>
      </c>
      <c r="CN12" s="20">
        <v>0.0</v>
      </c>
      <c r="CO12" s="19" t="str">
        <f t="shared" si="19"/>
        <v>ROSOV-44</v>
      </c>
      <c r="CP12" s="8" t="s">
        <v>85</v>
      </c>
      <c r="CQ12" s="21" t="s">
        <v>341</v>
      </c>
      <c r="CR12" s="20">
        <v>1.0</v>
      </c>
      <c r="CS12" s="9" t="str">
        <f t="shared" si="20"/>
        <v>MOV_401</v>
      </c>
      <c r="CT12" s="8" t="s">
        <v>87</v>
      </c>
      <c r="CU12" s="22" t="s">
        <v>342</v>
      </c>
      <c r="CV12" s="20">
        <v>1.0</v>
      </c>
      <c r="CW12" s="9" t="str">
        <f t="shared" si="21"/>
        <v>MOV_401A</v>
      </c>
      <c r="CX12" s="8" t="s">
        <v>89</v>
      </c>
      <c r="CY12" s="22" t="s">
        <v>343</v>
      </c>
      <c r="CZ12" s="20">
        <v>1.0</v>
      </c>
      <c r="DA12" s="9" t="str">
        <f t="shared" si="22"/>
        <v>MOV_403</v>
      </c>
      <c r="DB12" s="8" t="s">
        <v>91</v>
      </c>
      <c r="DC12" s="21" t="s">
        <v>344</v>
      </c>
      <c r="DD12" s="20">
        <v>0.0</v>
      </c>
      <c r="DE12" s="9" t="str">
        <f t="shared" si="23"/>
        <v>MOV_403</v>
      </c>
      <c r="DF12" s="8" t="s">
        <v>93</v>
      </c>
      <c r="DG12" s="22" t="s">
        <v>345</v>
      </c>
      <c r="DH12" s="20">
        <v>0.0</v>
      </c>
      <c r="DI12" s="9" t="str">
        <f t="shared" si="24"/>
        <v>MOV_404</v>
      </c>
      <c r="DJ12" s="8" t="s">
        <v>95</v>
      </c>
      <c r="DK12" s="14" t="s">
        <v>346</v>
      </c>
      <c r="DL12" s="17">
        <v>0.0</v>
      </c>
      <c r="DM12" s="27" t="str">
        <f t="shared" si="25"/>
        <v>RIMSEAL04</v>
      </c>
      <c r="DN12" s="28" t="s">
        <v>270</v>
      </c>
      <c r="DO12" s="14" t="s">
        <v>347</v>
      </c>
      <c r="DP12" s="20">
        <v>0.0</v>
      </c>
      <c r="DQ12" s="27" t="str">
        <f t="shared" si="26"/>
        <v>RIMSEAL04</v>
      </c>
      <c r="DR12" s="28" t="s">
        <v>272</v>
      </c>
    </row>
    <row r="13">
      <c r="A13" s="8">
        <v>1216.0</v>
      </c>
      <c r="B13" s="8" t="s">
        <v>50</v>
      </c>
      <c r="C13" s="9" t="str">
        <f t="shared" si="1"/>
        <v>TK-12_BS VI MS</v>
      </c>
      <c r="D13" s="10" t="s">
        <v>348</v>
      </c>
      <c r="E13" s="24" t="s">
        <v>52</v>
      </c>
      <c r="F13" s="10" t="s">
        <v>322</v>
      </c>
      <c r="G13" s="12" t="s">
        <v>54</v>
      </c>
      <c r="H13" s="8">
        <v>0.0</v>
      </c>
      <c r="I13" s="25" t="s">
        <v>349</v>
      </c>
      <c r="J13" s="26">
        <v>0.0</v>
      </c>
      <c r="K13" s="26"/>
      <c r="L13" s="26"/>
      <c r="M13" s="25" t="s">
        <v>350</v>
      </c>
      <c r="N13" s="26">
        <v>0.0</v>
      </c>
      <c r="O13" s="14" t="s">
        <v>351</v>
      </c>
      <c r="P13" s="27"/>
      <c r="Q13" s="9" t="str">
        <f t="shared" si="2"/>
        <v>TK-12</v>
      </c>
      <c r="R13" s="16" t="s">
        <v>58</v>
      </c>
      <c r="S13" s="14" t="s">
        <v>352</v>
      </c>
      <c r="T13" s="17">
        <v>0.0</v>
      </c>
      <c r="U13" s="9" t="str">
        <f t="shared" si="3"/>
        <v>TK-12</v>
      </c>
      <c r="V13" s="16" t="s">
        <v>58</v>
      </c>
      <c r="W13" s="14" t="s">
        <v>353</v>
      </c>
      <c r="X13" s="17">
        <v>0.0</v>
      </c>
      <c r="Y13" s="17" t="str">
        <f t="shared" si="4"/>
        <v>TK-12</v>
      </c>
      <c r="Z13" s="16" t="s">
        <v>58</v>
      </c>
      <c r="AA13" s="14" t="s">
        <v>354</v>
      </c>
      <c r="AB13" s="17">
        <v>0.0</v>
      </c>
      <c r="AC13" s="9" t="str">
        <f t="shared" si="5"/>
        <v>TK-12</v>
      </c>
      <c r="AD13" s="8" t="s">
        <v>58</v>
      </c>
      <c r="AE13" s="14" t="s">
        <v>355</v>
      </c>
      <c r="AF13" s="17">
        <v>0.0</v>
      </c>
      <c r="AG13" s="9" t="str">
        <f t="shared" si="6"/>
        <v>LSW-12</v>
      </c>
      <c r="AH13" s="8" t="s">
        <v>63</v>
      </c>
      <c r="AI13" s="14" t="s">
        <v>356</v>
      </c>
      <c r="AJ13" s="17">
        <v>0.0</v>
      </c>
      <c r="AK13" s="9" t="str">
        <f t="shared" si="7"/>
        <v>LSW-12</v>
      </c>
      <c r="AL13" s="8" t="s">
        <v>63</v>
      </c>
      <c r="AM13" s="14" t="s">
        <v>357</v>
      </c>
      <c r="AN13" s="17">
        <v>0.0</v>
      </c>
      <c r="AO13" s="9" t="str">
        <f t="shared" si="8"/>
        <v>LSW-12</v>
      </c>
      <c r="AP13" s="8" t="s">
        <v>63</v>
      </c>
      <c r="AQ13" s="14" t="s">
        <v>358</v>
      </c>
      <c r="AR13" s="17">
        <v>0.0</v>
      </c>
      <c r="AS13" s="9" t="str">
        <f t="shared" si="9"/>
        <v>RDR-12</v>
      </c>
      <c r="AT13" s="8" t="s">
        <v>67</v>
      </c>
      <c r="AU13" s="14" t="s">
        <v>359</v>
      </c>
      <c r="AV13" s="17">
        <v>0.0</v>
      </c>
      <c r="AW13" s="9" t="str">
        <f t="shared" si="10"/>
        <v>RDR-12</v>
      </c>
      <c r="AX13" s="8" t="s">
        <v>67</v>
      </c>
      <c r="AY13" s="14" t="s">
        <v>360</v>
      </c>
      <c r="AZ13" s="17">
        <v>0.0</v>
      </c>
      <c r="BA13" s="9" t="str">
        <f t="shared" si="11"/>
        <v>RDR-12</v>
      </c>
      <c r="BB13" s="8" t="s">
        <v>67</v>
      </c>
      <c r="BC13" s="14" t="s">
        <v>361</v>
      </c>
      <c r="BD13" s="17">
        <v>0.0</v>
      </c>
      <c r="BE13" s="9" t="str">
        <f t="shared" si="12"/>
        <v>ROSOV-45</v>
      </c>
      <c r="BF13" s="28" t="s">
        <v>71</v>
      </c>
      <c r="BG13" s="14" t="s">
        <v>362</v>
      </c>
      <c r="BH13" s="17">
        <v>0.0</v>
      </c>
      <c r="BI13" s="9" t="str">
        <f t="shared" si="13"/>
        <v>ROSOV-45</v>
      </c>
      <c r="BJ13" s="18" t="s">
        <v>73</v>
      </c>
      <c r="BK13" s="27"/>
      <c r="BL13" s="27"/>
      <c r="BM13" s="27"/>
      <c r="BN13" s="27"/>
      <c r="BO13" s="27"/>
      <c r="BP13" s="27"/>
      <c r="BQ13" s="27"/>
      <c r="BR13" s="27"/>
      <c r="BS13" s="10" t="s">
        <v>363</v>
      </c>
      <c r="BT13" s="20">
        <v>0.0</v>
      </c>
      <c r="BU13" s="9" t="str">
        <f t="shared" si="14"/>
        <v>ROSOV-46</v>
      </c>
      <c r="BV13" s="8" t="s">
        <v>75</v>
      </c>
      <c r="BW13" s="10" t="s">
        <v>364</v>
      </c>
      <c r="BX13" s="20">
        <v>0.0</v>
      </c>
      <c r="BY13" s="9" t="str">
        <f t="shared" si="15"/>
        <v>ROSOV-46</v>
      </c>
      <c r="BZ13" s="18" t="s">
        <v>77</v>
      </c>
      <c r="CA13" s="21" t="s">
        <v>365</v>
      </c>
      <c r="CB13" s="17">
        <v>0.0</v>
      </c>
      <c r="CC13" s="19" t="str">
        <f t="shared" si="16"/>
        <v>ROSOV-47</v>
      </c>
      <c r="CD13" s="18" t="s">
        <v>79</v>
      </c>
      <c r="CE13" s="21" t="s">
        <v>366</v>
      </c>
      <c r="CF13" s="17">
        <v>0.0</v>
      </c>
      <c r="CG13" s="19" t="str">
        <f t="shared" si="17"/>
        <v>ROSOV-47</v>
      </c>
      <c r="CH13" s="18" t="s">
        <v>81</v>
      </c>
      <c r="CI13" s="21" t="s">
        <v>367</v>
      </c>
      <c r="CJ13" s="17">
        <v>0.0</v>
      </c>
      <c r="CK13" s="19" t="str">
        <f t="shared" si="18"/>
        <v>ROSOV-48</v>
      </c>
      <c r="CL13" s="18" t="s">
        <v>83</v>
      </c>
      <c r="CM13" s="21" t="s">
        <v>368</v>
      </c>
      <c r="CN13" s="20">
        <v>0.0</v>
      </c>
      <c r="CO13" s="19" t="str">
        <f t="shared" si="19"/>
        <v>ROSOV-48</v>
      </c>
      <c r="CP13" s="8" t="s">
        <v>85</v>
      </c>
      <c r="CQ13" s="21" t="s">
        <v>369</v>
      </c>
      <c r="CR13" s="20">
        <v>1.0</v>
      </c>
      <c r="CS13" s="9" t="str">
        <f t="shared" si="20"/>
        <v>MOV_405</v>
      </c>
      <c r="CT13" s="8" t="s">
        <v>87</v>
      </c>
      <c r="CU13" s="22" t="s">
        <v>370</v>
      </c>
      <c r="CV13" s="20">
        <v>1.0</v>
      </c>
      <c r="CW13" s="9" t="str">
        <f t="shared" si="21"/>
        <v>MOV_405A</v>
      </c>
      <c r="CX13" s="8" t="s">
        <v>89</v>
      </c>
      <c r="CY13" s="22" t="s">
        <v>371</v>
      </c>
      <c r="CZ13" s="20">
        <v>1.0</v>
      </c>
      <c r="DA13" s="9" t="str">
        <f t="shared" si="22"/>
        <v>MOV_407</v>
      </c>
      <c r="DB13" s="8" t="s">
        <v>91</v>
      </c>
      <c r="DC13" s="21" t="s">
        <v>372</v>
      </c>
      <c r="DD13" s="20">
        <v>0.0</v>
      </c>
      <c r="DE13" s="9" t="str">
        <f t="shared" si="23"/>
        <v>MOV_407</v>
      </c>
      <c r="DF13" s="8" t="s">
        <v>93</v>
      </c>
      <c r="DG13" s="22" t="s">
        <v>373</v>
      </c>
      <c r="DH13" s="20">
        <v>0.0</v>
      </c>
      <c r="DI13" s="9" t="str">
        <f t="shared" si="24"/>
        <v>MOV_408</v>
      </c>
      <c r="DJ13" s="8" t="s">
        <v>95</v>
      </c>
      <c r="DK13" s="14" t="s">
        <v>374</v>
      </c>
      <c r="DL13" s="17">
        <v>0.0</v>
      </c>
      <c r="DM13" s="27" t="str">
        <f t="shared" si="25"/>
        <v>RIMSEAL05</v>
      </c>
      <c r="DN13" s="28" t="s">
        <v>270</v>
      </c>
      <c r="DO13" s="14" t="s">
        <v>375</v>
      </c>
      <c r="DP13" s="20">
        <v>0.0</v>
      </c>
      <c r="DQ13" s="27" t="str">
        <f t="shared" si="26"/>
        <v>RIMSEAL05</v>
      </c>
      <c r="DR13" s="28" t="s">
        <v>272</v>
      </c>
    </row>
    <row r="14">
      <c r="A14" s="8">
        <v>1216.0</v>
      </c>
      <c r="B14" s="8" t="s">
        <v>50</v>
      </c>
      <c r="C14" s="9" t="str">
        <f t="shared" si="1"/>
        <v>TK-13_BS VI MS</v>
      </c>
      <c r="D14" s="10" t="s">
        <v>376</v>
      </c>
      <c r="E14" s="24" t="s">
        <v>52</v>
      </c>
      <c r="F14" s="10" t="s">
        <v>322</v>
      </c>
      <c r="G14" s="12" t="s">
        <v>54</v>
      </c>
      <c r="H14" s="8">
        <v>0.0</v>
      </c>
      <c r="I14" s="25" t="s">
        <v>377</v>
      </c>
      <c r="J14" s="26">
        <v>0.0</v>
      </c>
      <c r="K14" s="26"/>
      <c r="L14" s="26"/>
      <c r="M14" s="25" t="s">
        <v>378</v>
      </c>
      <c r="N14" s="26">
        <v>0.0</v>
      </c>
      <c r="O14" s="14" t="s">
        <v>379</v>
      </c>
      <c r="P14" s="27"/>
      <c r="Q14" s="9" t="str">
        <f t="shared" si="2"/>
        <v>TK-13</v>
      </c>
      <c r="R14" s="16" t="s">
        <v>58</v>
      </c>
      <c r="S14" s="14" t="s">
        <v>380</v>
      </c>
      <c r="T14" s="17">
        <v>0.0</v>
      </c>
      <c r="U14" s="9" t="str">
        <f t="shared" si="3"/>
        <v>TK-13</v>
      </c>
      <c r="V14" s="16" t="s">
        <v>58</v>
      </c>
      <c r="W14" s="14" t="s">
        <v>381</v>
      </c>
      <c r="X14" s="17">
        <v>0.0</v>
      </c>
      <c r="Y14" s="17" t="str">
        <f t="shared" si="4"/>
        <v>TK-13</v>
      </c>
      <c r="Z14" s="16" t="s">
        <v>58</v>
      </c>
      <c r="AA14" s="14" t="s">
        <v>382</v>
      </c>
      <c r="AB14" s="17">
        <v>0.0</v>
      </c>
      <c r="AC14" s="9" t="str">
        <f t="shared" si="5"/>
        <v>TK-13</v>
      </c>
      <c r="AD14" s="8" t="s">
        <v>58</v>
      </c>
      <c r="AE14" s="14" t="s">
        <v>383</v>
      </c>
      <c r="AF14" s="17">
        <v>0.0</v>
      </c>
      <c r="AG14" s="9" t="str">
        <f t="shared" si="6"/>
        <v>LSW-13</v>
      </c>
      <c r="AH14" s="8" t="s">
        <v>63</v>
      </c>
      <c r="AI14" s="14" t="s">
        <v>384</v>
      </c>
      <c r="AJ14" s="17">
        <v>0.0</v>
      </c>
      <c r="AK14" s="9" t="str">
        <f t="shared" si="7"/>
        <v>LSW-13</v>
      </c>
      <c r="AL14" s="8" t="s">
        <v>63</v>
      </c>
      <c r="AM14" s="14" t="s">
        <v>385</v>
      </c>
      <c r="AN14" s="17">
        <v>0.0</v>
      </c>
      <c r="AO14" s="9" t="str">
        <f t="shared" si="8"/>
        <v>LSW-13</v>
      </c>
      <c r="AP14" s="8" t="s">
        <v>63</v>
      </c>
      <c r="AQ14" s="14" t="s">
        <v>386</v>
      </c>
      <c r="AR14" s="17">
        <v>0.0</v>
      </c>
      <c r="AS14" s="9" t="str">
        <f t="shared" si="9"/>
        <v>RDR-13</v>
      </c>
      <c r="AT14" s="8" t="s">
        <v>67</v>
      </c>
      <c r="AU14" s="14" t="s">
        <v>387</v>
      </c>
      <c r="AV14" s="17">
        <v>0.0</v>
      </c>
      <c r="AW14" s="9" t="str">
        <f t="shared" si="10"/>
        <v>RDR-13</v>
      </c>
      <c r="AX14" s="8" t="s">
        <v>67</v>
      </c>
      <c r="AY14" s="14" t="s">
        <v>388</v>
      </c>
      <c r="AZ14" s="17">
        <v>0.0</v>
      </c>
      <c r="BA14" s="9" t="str">
        <f t="shared" si="11"/>
        <v>RDR-13</v>
      </c>
      <c r="BB14" s="8" t="s">
        <v>67</v>
      </c>
      <c r="BC14" s="14" t="s">
        <v>389</v>
      </c>
      <c r="BD14" s="17">
        <v>0.0</v>
      </c>
      <c r="BE14" s="9" t="str">
        <f t="shared" si="12"/>
        <v>ROSOV-49</v>
      </c>
      <c r="BF14" s="28" t="s">
        <v>71</v>
      </c>
      <c r="BG14" s="14" t="s">
        <v>390</v>
      </c>
      <c r="BH14" s="17">
        <v>0.0</v>
      </c>
      <c r="BI14" s="9" t="str">
        <f t="shared" si="13"/>
        <v>ROSOV-49</v>
      </c>
      <c r="BJ14" s="18" t="s">
        <v>73</v>
      </c>
      <c r="BK14" s="27"/>
      <c r="BL14" s="27"/>
      <c r="BM14" s="27"/>
      <c r="BN14" s="27"/>
      <c r="BO14" s="27"/>
      <c r="BP14" s="27"/>
      <c r="BQ14" s="27"/>
      <c r="BR14" s="27"/>
      <c r="BS14" s="10" t="s">
        <v>391</v>
      </c>
      <c r="BT14" s="20">
        <v>0.0</v>
      </c>
      <c r="BU14" s="9" t="str">
        <f t="shared" si="14"/>
        <v>ROSOV-50</v>
      </c>
      <c r="BV14" s="8" t="s">
        <v>75</v>
      </c>
      <c r="BW14" s="10" t="s">
        <v>392</v>
      </c>
      <c r="BX14" s="20">
        <v>0.0</v>
      </c>
      <c r="BY14" s="9" t="str">
        <f t="shared" si="15"/>
        <v>ROSOV-50</v>
      </c>
      <c r="BZ14" s="18" t="s">
        <v>77</v>
      </c>
      <c r="CA14" s="21" t="s">
        <v>393</v>
      </c>
      <c r="CB14" s="17">
        <v>0.0</v>
      </c>
      <c r="CC14" s="19" t="str">
        <f t="shared" si="16"/>
        <v>ROSOV-51</v>
      </c>
      <c r="CD14" s="18" t="s">
        <v>79</v>
      </c>
      <c r="CE14" s="21" t="s">
        <v>394</v>
      </c>
      <c r="CF14" s="17">
        <v>0.0</v>
      </c>
      <c r="CG14" s="19" t="str">
        <f t="shared" si="17"/>
        <v>ROSOV-51</v>
      </c>
      <c r="CH14" s="18" t="s">
        <v>81</v>
      </c>
      <c r="CI14" s="21" t="s">
        <v>395</v>
      </c>
      <c r="CJ14" s="17">
        <v>0.0</v>
      </c>
      <c r="CK14" s="19" t="str">
        <f t="shared" si="18"/>
        <v>ROSOV-52</v>
      </c>
      <c r="CL14" s="18" t="s">
        <v>83</v>
      </c>
      <c r="CM14" s="21" t="s">
        <v>396</v>
      </c>
      <c r="CN14" s="20">
        <v>0.0</v>
      </c>
      <c r="CO14" s="19" t="str">
        <f t="shared" si="19"/>
        <v>ROSOV-52</v>
      </c>
      <c r="CP14" s="8" t="s">
        <v>85</v>
      </c>
      <c r="CQ14" s="21" t="s">
        <v>397</v>
      </c>
      <c r="CR14" s="20">
        <v>1.0</v>
      </c>
      <c r="CS14" s="9" t="str">
        <f t="shared" si="20"/>
        <v>MOV_409</v>
      </c>
      <c r="CT14" s="8" t="s">
        <v>87</v>
      </c>
      <c r="CU14" s="22" t="s">
        <v>398</v>
      </c>
      <c r="CV14" s="20">
        <v>1.0</v>
      </c>
      <c r="CW14" s="9" t="str">
        <f t="shared" si="21"/>
        <v>MOV_409A</v>
      </c>
      <c r="CX14" s="8" t="s">
        <v>89</v>
      </c>
      <c r="CY14" s="22" t="s">
        <v>399</v>
      </c>
      <c r="CZ14" s="20">
        <v>1.0</v>
      </c>
      <c r="DA14" s="9" t="str">
        <f t="shared" si="22"/>
        <v>MOV_411</v>
      </c>
      <c r="DB14" s="8" t="s">
        <v>91</v>
      </c>
      <c r="DC14" s="21" t="s">
        <v>400</v>
      </c>
      <c r="DD14" s="20">
        <v>0.0</v>
      </c>
      <c r="DE14" s="9" t="str">
        <f t="shared" si="23"/>
        <v>MOV_411</v>
      </c>
      <c r="DF14" s="8" t="s">
        <v>93</v>
      </c>
      <c r="DG14" s="22" t="s">
        <v>401</v>
      </c>
      <c r="DH14" s="20">
        <v>0.0</v>
      </c>
      <c r="DI14" s="9" t="str">
        <f t="shared" si="24"/>
        <v>MOV_412</v>
      </c>
      <c r="DJ14" s="8" t="s">
        <v>95</v>
      </c>
      <c r="DK14" s="14" t="s">
        <v>402</v>
      </c>
      <c r="DL14" s="17">
        <v>0.0</v>
      </c>
      <c r="DM14" s="27" t="str">
        <f t="shared" si="25"/>
        <v>RIMSEAL06</v>
      </c>
      <c r="DN14" s="28" t="s">
        <v>270</v>
      </c>
      <c r="DO14" s="14" t="s">
        <v>403</v>
      </c>
      <c r="DP14" s="20">
        <v>0.0</v>
      </c>
      <c r="DQ14" s="27" t="str">
        <f t="shared" si="26"/>
        <v>RIMSEAL06</v>
      </c>
      <c r="DR14" s="28" t="s">
        <v>272</v>
      </c>
    </row>
    <row r="15">
      <c r="A15" s="8">
        <v>1216.0</v>
      </c>
      <c r="B15" s="8" t="s">
        <v>50</v>
      </c>
      <c r="C15" s="9" t="str">
        <f t="shared" si="1"/>
        <v>TK-14_ETHANOL</v>
      </c>
      <c r="D15" s="10" t="s">
        <v>404</v>
      </c>
      <c r="E15" s="24" t="s">
        <v>52</v>
      </c>
      <c r="F15" s="10" t="s">
        <v>405</v>
      </c>
      <c r="G15" s="12" t="s">
        <v>54</v>
      </c>
      <c r="H15" s="8">
        <v>0.0</v>
      </c>
      <c r="I15" s="25" t="s">
        <v>406</v>
      </c>
      <c r="J15" s="26">
        <v>0.0</v>
      </c>
      <c r="K15" s="26"/>
      <c r="L15" s="26"/>
      <c r="M15" s="25" t="s">
        <v>407</v>
      </c>
      <c r="N15" s="26">
        <v>0.0</v>
      </c>
      <c r="O15" s="14" t="s">
        <v>408</v>
      </c>
      <c r="P15" s="27"/>
      <c r="Q15" s="9" t="str">
        <f t="shared" si="2"/>
        <v>TK-14</v>
      </c>
      <c r="R15" s="16" t="s">
        <v>58</v>
      </c>
      <c r="S15" s="14" t="s">
        <v>409</v>
      </c>
      <c r="T15" s="17">
        <v>0.0</v>
      </c>
      <c r="U15" s="9" t="str">
        <f t="shared" si="3"/>
        <v>TK-14</v>
      </c>
      <c r="V15" s="16" t="s">
        <v>58</v>
      </c>
      <c r="W15" s="14" t="s">
        <v>410</v>
      </c>
      <c r="X15" s="17">
        <v>0.0</v>
      </c>
      <c r="Y15" s="17" t="str">
        <f t="shared" si="4"/>
        <v>TK-14</v>
      </c>
      <c r="Z15" s="16" t="s">
        <v>58</v>
      </c>
      <c r="AA15" s="14" t="s">
        <v>411</v>
      </c>
      <c r="AB15" s="17">
        <v>0.0</v>
      </c>
      <c r="AC15" s="9" t="str">
        <f t="shared" si="5"/>
        <v>TK-14</v>
      </c>
      <c r="AD15" s="8" t="s">
        <v>58</v>
      </c>
      <c r="AE15" s="14" t="s">
        <v>412</v>
      </c>
      <c r="AF15" s="17">
        <v>0.0</v>
      </c>
      <c r="AG15" s="9" t="str">
        <f t="shared" si="6"/>
        <v>LSW-14</v>
      </c>
      <c r="AH15" s="8" t="s">
        <v>63</v>
      </c>
      <c r="AI15" s="14" t="s">
        <v>413</v>
      </c>
      <c r="AJ15" s="17">
        <v>0.0</v>
      </c>
      <c r="AK15" s="9" t="str">
        <f t="shared" si="7"/>
        <v>LSW-14</v>
      </c>
      <c r="AL15" s="8" t="s">
        <v>63</v>
      </c>
      <c r="AM15" s="14" t="s">
        <v>414</v>
      </c>
      <c r="AN15" s="17">
        <v>0.0</v>
      </c>
      <c r="AO15" s="9" t="str">
        <f t="shared" si="8"/>
        <v>LSW-14</v>
      </c>
      <c r="AP15" s="8" t="s">
        <v>63</v>
      </c>
      <c r="AQ15" s="14" t="s">
        <v>415</v>
      </c>
      <c r="AR15" s="17">
        <v>0.0</v>
      </c>
      <c r="AS15" s="9" t="str">
        <f t="shared" si="9"/>
        <v>RDR-14</v>
      </c>
      <c r="AT15" s="8" t="s">
        <v>67</v>
      </c>
      <c r="AU15" s="14" t="s">
        <v>416</v>
      </c>
      <c r="AV15" s="17">
        <v>0.0</v>
      </c>
      <c r="AW15" s="9" t="str">
        <f t="shared" si="10"/>
        <v>RDR-14</v>
      </c>
      <c r="AX15" s="8" t="s">
        <v>67</v>
      </c>
      <c r="AY15" s="14" t="s">
        <v>417</v>
      </c>
      <c r="AZ15" s="17">
        <v>0.0</v>
      </c>
      <c r="BA15" s="9" t="str">
        <f t="shared" si="11"/>
        <v>RDR-14</v>
      </c>
      <c r="BB15" s="8" t="s">
        <v>67</v>
      </c>
      <c r="BC15" s="14" t="s">
        <v>418</v>
      </c>
      <c r="BD15" s="17">
        <v>0.0</v>
      </c>
      <c r="BE15" s="9" t="str">
        <f t="shared" si="12"/>
        <v>ROSOV-53</v>
      </c>
      <c r="BF15" s="28" t="s">
        <v>71</v>
      </c>
      <c r="BG15" s="14" t="s">
        <v>419</v>
      </c>
      <c r="BH15" s="17">
        <v>0.0</v>
      </c>
      <c r="BI15" s="9" t="str">
        <f t="shared" si="13"/>
        <v>ROSOV-53</v>
      </c>
      <c r="BJ15" s="18" t="s">
        <v>73</v>
      </c>
      <c r="BK15" s="27"/>
      <c r="BL15" s="27"/>
      <c r="BM15" s="27"/>
      <c r="BN15" s="27"/>
      <c r="BO15" s="27"/>
      <c r="BP15" s="27"/>
      <c r="BQ15" s="27"/>
      <c r="BR15" s="27"/>
      <c r="BS15" s="10" t="s">
        <v>420</v>
      </c>
      <c r="BT15" s="20">
        <v>0.0</v>
      </c>
      <c r="BU15" s="9" t="str">
        <f t="shared" si="14"/>
        <v>ROSOV-54</v>
      </c>
      <c r="BV15" s="8" t="s">
        <v>75</v>
      </c>
      <c r="BW15" s="10" t="s">
        <v>421</v>
      </c>
      <c r="BX15" s="20">
        <v>0.0</v>
      </c>
      <c r="BY15" s="9" t="str">
        <f t="shared" si="15"/>
        <v>ROSOV-54</v>
      </c>
      <c r="BZ15" s="18" t="s">
        <v>77</v>
      </c>
      <c r="CA15" s="21" t="s">
        <v>422</v>
      </c>
      <c r="CB15" s="17">
        <v>0.0</v>
      </c>
      <c r="CC15" s="19" t="str">
        <f t="shared" si="16"/>
        <v>ROSOV-55</v>
      </c>
      <c r="CD15" s="18" t="s">
        <v>79</v>
      </c>
      <c r="CE15" s="21" t="s">
        <v>423</v>
      </c>
      <c r="CF15" s="17">
        <v>0.0</v>
      </c>
      <c r="CG15" s="19" t="str">
        <f t="shared" si="17"/>
        <v>ROSOV-55</v>
      </c>
      <c r="CH15" s="18" t="s">
        <v>81</v>
      </c>
      <c r="CI15" s="21" t="s">
        <v>424</v>
      </c>
      <c r="CJ15" s="17">
        <v>0.0</v>
      </c>
      <c r="CK15" s="19" t="str">
        <f t="shared" si="18"/>
        <v>ROSOV-56</v>
      </c>
      <c r="CL15" s="18" t="s">
        <v>83</v>
      </c>
      <c r="CM15" s="21" t="s">
        <v>425</v>
      </c>
      <c r="CN15" s="20">
        <v>0.0</v>
      </c>
      <c r="CO15" s="19" t="str">
        <f t="shared" si="19"/>
        <v>ROSOV-56</v>
      </c>
      <c r="CP15" s="8" t="s">
        <v>85</v>
      </c>
      <c r="CQ15" s="21" t="s">
        <v>426</v>
      </c>
      <c r="CR15" s="20">
        <v>1.0</v>
      </c>
      <c r="CS15" s="9" t="str">
        <f t="shared" si="20"/>
        <v>MOV_501</v>
      </c>
      <c r="CT15" s="8" t="s">
        <v>87</v>
      </c>
      <c r="CU15" s="22" t="s">
        <v>427</v>
      </c>
      <c r="CV15" s="20">
        <v>1.0</v>
      </c>
      <c r="CW15" s="9" t="str">
        <f t="shared" si="21"/>
        <v>MOV_501A</v>
      </c>
      <c r="CX15" s="8" t="s">
        <v>89</v>
      </c>
      <c r="CY15" s="22" t="s">
        <v>428</v>
      </c>
      <c r="CZ15" s="20">
        <v>1.0</v>
      </c>
      <c r="DA15" s="9" t="str">
        <f t="shared" si="22"/>
        <v>MOV_503</v>
      </c>
      <c r="DB15" s="8" t="s">
        <v>91</v>
      </c>
      <c r="DC15" s="21" t="s">
        <v>429</v>
      </c>
      <c r="DD15" s="20">
        <v>0.0</v>
      </c>
      <c r="DE15" s="9" t="str">
        <f t="shared" si="23"/>
        <v>MOV_503</v>
      </c>
      <c r="DF15" s="8" t="s">
        <v>93</v>
      </c>
      <c r="DG15" s="22" t="s">
        <v>430</v>
      </c>
      <c r="DH15" s="20">
        <v>0.0</v>
      </c>
      <c r="DI15" s="9" t="str">
        <f t="shared" si="24"/>
        <v>MOV_504</v>
      </c>
      <c r="DJ15" s="8" t="s">
        <v>95</v>
      </c>
      <c r="DK15" s="14"/>
      <c r="DL15" s="14"/>
      <c r="DM15" s="27" t="str">
        <f t="shared" si="25"/>
        <v/>
      </c>
      <c r="DN15" s="27"/>
      <c r="DO15" s="14"/>
      <c r="DP15" s="23"/>
      <c r="DQ15" s="27" t="str">
        <f t="shared" si="26"/>
        <v/>
      </c>
      <c r="DR15" s="27"/>
    </row>
    <row r="16">
      <c r="A16" s="8">
        <v>1216.0</v>
      </c>
      <c r="B16" s="8" t="s">
        <v>50</v>
      </c>
      <c r="C16" s="9" t="str">
        <f t="shared" si="1"/>
        <v>TK-15_MTO</v>
      </c>
      <c r="D16" s="10" t="s">
        <v>431</v>
      </c>
      <c r="E16" s="24" t="s">
        <v>52</v>
      </c>
      <c r="F16" s="10" t="s">
        <v>432</v>
      </c>
      <c r="G16" s="12" t="s">
        <v>54</v>
      </c>
      <c r="H16" s="8">
        <v>0.0</v>
      </c>
      <c r="I16" s="29"/>
      <c r="J16" s="29"/>
      <c r="K16" s="29"/>
      <c r="L16" s="29"/>
      <c r="M16" s="29"/>
      <c r="N16" s="29"/>
      <c r="O16" s="14" t="s">
        <v>433</v>
      </c>
      <c r="P16" s="27"/>
      <c r="Q16" s="9" t="str">
        <f t="shared" si="2"/>
        <v>TK-15</v>
      </c>
      <c r="R16" s="16" t="s">
        <v>58</v>
      </c>
      <c r="S16" s="14" t="s">
        <v>434</v>
      </c>
      <c r="T16" s="17">
        <v>0.0</v>
      </c>
      <c r="U16" s="9" t="str">
        <f t="shared" si="3"/>
        <v>TK-15</v>
      </c>
      <c r="V16" s="16" t="s">
        <v>58</v>
      </c>
      <c r="W16" s="14" t="s">
        <v>435</v>
      </c>
      <c r="X16" s="17">
        <v>0.0</v>
      </c>
      <c r="Y16" s="17" t="str">
        <f t="shared" si="4"/>
        <v>TK-15</v>
      </c>
      <c r="Z16" s="16" t="s">
        <v>58</v>
      </c>
      <c r="AA16" s="14" t="s">
        <v>436</v>
      </c>
      <c r="AB16" s="17">
        <v>0.0</v>
      </c>
      <c r="AC16" s="9" t="str">
        <f t="shared" si="5"/>
        <v>TK-15</v>
      </c>
      <c r="AD16" s="8" t="s">
        <v>58</v>
      </c>
      <c r="AE16" s="14" t="s">
        <v>437</v>
      </c>
      <c r="AF16" s="17">
        <v>0.0</v>
      </c>
      <c r="AG16" s="9" t="str">
        <f t="shared" si="6"/>
        <v>LSW-15</v>
      </c>
      <c r="AH16" s="8" t="s">
        <v>63</v>
      </c>
      <c r="AI16" s="14" t="s">
        <v>438</v>
      </c>
      <c r="AJ16" s="17">
        <v>0.0</v>
      </c>
      <c r="AK16" s="9" t="str">
        <f t="shared" si="7"/>
        <v>LSW-15</v>
      </c>
      <c r="AL16" s="8" t="s">
        <v>63</v>
      </c>
      <c r="AM16" s="14" t="s">
        <v>439</v>
      </c>
      <c r="AN16" s="17">
        <v>0.0</v>
      </c>
      <c r="AO16" s="9" t="str">
        <f t="shared" si="8"/>
        <v>LSW-15</v>
      </c>
      <c r="AP16" s="8" t="s">
        <v>63</v>
      </c>
      <c r="AQ16" s="14" t="s">
        <v>440</v>
      </c>
      <c r="AR16" s="17">
        <v>0.0</v>
      </c>
      <c r="AS16" s="9" t="str">
        <f t="shared" si="9"/>
        <v>RDR-15</v>
      </c>
      <c r="AT16" s="8" t="s">
        <v>67</v>
      </c>
      <c r="AU16" s="14" t="s">
        <v>441</v>
      </c>
      <c r="AV16" s="17">
        <v>0.0</v>
      </c>
      <c r="AW16" s="9" t="str">
        <f t="shared" si="10"/>
        <v>RDR-15</v>
      </c>
      <c r="AX16" s="8" t="s">
        <v>67</v>
      </c>
      <c r="AY16" s="14" t="s">
        <v>442</v>
      </c>
      <c r="AZ16" s="17">
        <v>0.0</v>
      </c>
      <c r="BA16" s="9" t="str">
        <f t="shared" si="11"/>
        <v>RDR-15</v>
      </c>
      <c r="BB16" s="8" t="s">
        <v>67</v>
      </c>
      <c r="BC16" s="14" t="s">
        <v>443</v>
      </c>
      <c r="BD16" s="17">
        <v>0.0</v>
      </c>
      <c r="BE16" s="9" t="str">
        <f t="shared" si="12"/>
        <v>ROSOV-57</v>
      </c>
      <c r="BF16" s="28" t="s">
        <v>71</v>
      </c>
      <c r="BG16" s="14" t="s">
        <v>444</v>
      </c>
      <c r="BH16" s="17">
        <v>0.0</v>
      </c>
      <c r="BI16" s="9" t="str">
        <f t="shared" si="13"/>
        <v>ROSOV-57</v>
      </c>
      <c r="BJ16" s="18" t="s">
        <v>73</v>
      </c>
      <c r="BK16" s="27"/>
      <c r="BL16" s="27"/>
      <c r="BM16" s="27"/>
      <c r="BN16" s="27"/>
      <c r="BO16" s="27"/>
      <c r="BP16" s="27"/>
      <c r="BQ16" s="27"/>
      <c r="BR16" s="27"/>
      <c r="BS16" s="10" t="s">
        <v>445</v>
      </c>
      <c r="BT16" s="20">
        <v>0.0</v>
      </c>
      <c r="BU16" s="9" t="str">
        <f t="shared" si="14"/>
        <v>ROSOV-58</v>
      </c>
      <c r="BV16" s="8" t="s">
        <v>75</v>
      </c>
      <c r="BW16" s="10" t="s">
        <v>446</v>
      </c>
      <c r="BX16" s="20">
        <v>0.0</v>
      </c>
      <c r="BY16" s="9" t="str">
        <f t="shared" si="15"/>
        <v>ROSOV-58</v>
      </c>
      <c r="BZ16" s="18" t="s">
        <v>77</v>
      </c>
      <c r="CA16" s="21" t="s">
        <v>447</v>
      </c>
      <c r="CB16" s="17">
        <v>0.0</v>
      </c>
      <c r="CC16" s="19" t="str">
        <f t="shared" si="16"/>
        <v>ROSOV-59</v>
      </c>
      <c r="CD16" s="18" t="s">
        <v>79</v>
      </c>
      <c r="CE16" s="21" t="s">
        <v>448</v>
      </c>
      <c r="CF16" s="17">
        <v>0.0</v>
      </c>
      <c r="CG16" s="19" t="str">
        <f t="shared" si="17"/>
        <v>ROSOV-59</v>
      </c>
      <c r="CH16" s="18" t="s">
        <v>81</v>
      </c>
      <c r="CI16" s="21" t="s">
        <v>449</v>
      </c>
      <c r="CJ16" s="17">
        <v>0.0</v>
      </c>
      <c r="CK16" s="19" t="str">
        <f t="shared" si="18"/>
        <v>ROSOV-60</v>
      </c>
      <c r="CL16" s="18" t="s">
        <v>83</v>
      </c>
      <c r="CM16" s="21" t="s">
        <v>450</v>
      </c>
      <c r="CN16" s="20">
        <v>0.0</v>
      </c>
      <c r="CO16" s="19" t="str">
        <f t="shared" si="19"/>
        <v>ROSOV-60</v>
      </c>
      <c r="CP16" s="8" t="s">
        <v>85</v>
      </c>
      <c r="CQ16" s="21" t="s">
        <v>451</v>
      </c>
      <c r="CR16" s="20">
        <v>1.0</v>
      </c>
      <c r="CS16" s="9" t="str">
        <f t="shared" si="20"/>
        <v>MOV_505</v>
      </c>
      <c r="CT16" s="8" t="s">
        <v>87</v>
      </c>
      <c r="CU16" s="22" t="s">
        <v>452</v>
      </c>
      <c r="CV16" s="20">
        <v>1.0</v>
      </c>
      <c r="CW16" s="9" t="str">
        <f t="shared" si="21"/>
        <v>MOV_505A</v>
      </c>
      <c r="CX16" s="8" t="s">
        <v>89</v>
      </c>
      <c r="CY16" s="22" t="s">
        <v>453</v>
      </c>
      <c r="CZ16" s="20">
        <v>1.0</v>
      </c>
      <c r="DA16" s="9" t="str">
        <f t="shared" si="22"/>
        <v>MOV_507</v>
      </c>
      <c r="DB16" s="8" t="s">
        <v>91</v>
      </c>
      <c r="DC16" s="21" t="s">
        <v>454</v>
      </c>
      <c r="DD16" s="20">
        <v>0.0</v>
      </c>
      <c r="DE16" s="9" t="str">
        <f t="shared" si="23"/>
        <v>MOV_507</v>
      </c>
      <c r="DF16" s="8" t="s">
        <v>93</v>
      </c>
      <c r="DG16" s="22" t="s">
        <v>455</v>
      </c>
      <c r="DH16" s="20">
        <v>0.0</v>
      </c>
      <c r="DI16" s="9" t="str">
        <f t="shared" si="24"/>
        <v>MOV_508</v>
      </c>
      <c r="DJ16" s="8" t="s">
        <v>95</v>
      </c>
      <c r="DK16" s="14"/>
      <c r="DL16" s="14"/>
      <c r="DM16" s="27" t="str">
        <f t="shared" si="25"/>
        <v/>
      </c>
      <c r="DN16" s="27"/>
      <c r="DO16" s="14"/>
      <c r="DP16" s="23"/>
      <c r="DQ16" s="27" t="str">
        <f t="shared" si="26"/>
        <v/>
      </c>
      <c r="DR16" s="27"/>
    </row>
    <row r="17">
      <c r="A17" s="8">
        <v>1216.0</v>
      </c>
      <c r="B17" s="8" t="s">
        <v>50</v>
      </c>
      <c r="C17" s="9" t="str">
        <f t="shared" si="1"/>
        <v>TK-16_MTO</v>
      </c>
      <c r="D17" s="10" t="s">
        <v>456</v>
      </c>
      <c r="E17" s="24" t="s">
        <v>52</v>
      </c>
      <c r="F17" s="10" t="s">
        <v>432</v>
      </c>
      <c r="G17" s="12" t="s">
        <v>54</v>
      </c>
      <c r="H17" s="8">
        <v>0.0</v>
      </c>
      <c r="I17" s="29"/>
      <c r="J17" s="29"/>
      <c r="K17" s="29"/>
      <c r="L17" s="29"/>
      <c r="M17" s="29"/>
      <c r="N17" s="29"/>
      <c r="O17" s="14" t="s">
        <v>457</v>
      </c>
      <c r="P17" s="27"/>
      <c r="Q17" s="9" t="str">
        <f t="shared" si="2"/>
        <v>TK-16</v>
      </c>
      <c r="R17" s="16" t="s">
        <v>58</v>
      </c>
      <c r="S17" s="14" t="s">
        <v>458</v>
      </c>
      <c r="T17" s="17">
        <v>0.0</v>
      </c>
      <c r="U17" s="9" t="str">
        <f t="shared" si="3"/>
        <v>TK-16</v>
      </c>
      <c r="V17" s="16" t="s">
        <v>58</v>
      </c>
      <c r="W17" s="14" t="s">
        <v>459</v>
      </c>
      <c r="X17" s="17">
        <v>0.0</v>
      </c>
      <c r="Y17" s="17" t="str">
        <f t="shared" si="4"/>
        <v>TK-16</v>
      </c>
      <c r="Z17" s="16" t="s">
        <v>58</v>
      </c>
      <c r="AA17" s="14" t="s">
        <v>460</v>
      </c>
      <c r="AB17" s="17">
        <v>0.0</v>
      </c>
      <c r="AC17" s="9" t="str">
        <f t="shared" si="5"/>
        <v>TK-16</v>
      </c>
      <c r="AD17" s="8" t="s">
        <v>58</v>
      </c>
      <c r="AE17" s="14" t="s">
        <v>461</v>
      </c>
      <c r="AF17" s="17">
        <v>0.0</v>
      </c>
      <c r="AG17" s="9" t="str">
        <f t="shared" si="6"/>
        <v>LSW-16</v>
      </c>
      <c r="AH17" s="8" t="s">
        <v>63</v>
      </c>
      <c r="AI17" s="14" t="s">
        <v>462</v>
      </c>
      <c r="AJ17" s="17">
        <v>0.0</v>
      </c>
      <c r="AK17" s="9" t="str">
        <f t="shared" si="7"/>
        <v>LSW-16</v>
      </c>
      <c r="AL17" s="8" t="s">
        <v>63</v>
      </c>
      <c r="AM17" s="14" t="s">
        <v>463</v>
      </c>
      <c r="AN17" s="17">
        <v>0.0</v>
      </c>
      <c r="AO17" s="9" t="str">
        <f t="shared" si="8"/>
        <v>LSW-16</v>
      </c>
      <c r="AP17" s="8" t="s">
        <v>63</v>
      </c>
      <c r="AQ17" s="14" t="s">
        <v>464</v>
      </c>
      <c r="AR17" s="17">
        <v>0.0</v>
      </c>
      <c r="AS17" s="9" t="str">
        <f t="shared" si="9"/>
        <v>RDR-16</v>
      </c>
      <c r="AT17" s="8" t="s">
        <v>67</v>
      </c>
      <c r="AU17" s="14" t="s">
        <v>465</v>
      </c>
      <c r="AV17" s="17">
        <v>0.0</v>
      </c>
      <c r="AW17" s="9" t="str">
        <f t="shared" si="10"/>
        <v>RDR-16</v>
      </c>
      <c r="AX17" s="8" t="s">
        <v>67</v>
      </c>
      <c r="AY17" s="14" t="s">
        <v>466</v>
      </c>
      <c r="AZ17" s="17">
        <v>0.0</v>
      </c>
      <c r="BA17" s="9" t="str">
        <f t="shared" si="11"/>
        <v>RDR-16</v>
      </c>
      <c r="BB17" s="8" t="s">
        <v>67</v>
      </c>
      <c r="BC17" s="14" t="s">
        <v>467</v>
      </c>
      <c r="BD17" s="17">
        <v>0.0</v>
      </c>
      <c r="BE17" s="9" t="str">
        <f t="shared" si="12"/>
        <v>ROSOV-61</v>
      </c>
      <c r="BF17" s="28" t="s">
        <v>71</v>
      </c>
      <c r="BG17" s="14" t="s">
        <v>468</v>
      </c>
      <c r="BH17" s="17">
        <v>0.0</v>
      </c>
      <c r="BI17" s="9" t="str">
        <f t="shared" si="13"/>
        <v>ROSOV-61</v>
      </c>
      <c r="BJ17" s="18" t="s">
        <v>73</v>
      </c>
      <c r="BK17" s="27"/>
      <c r="BL17" s="27"/>
      <c r="BM17" s="27"/>
      <c r="BN17" s="27"/>
      <c r="BO17" s="27"/>
      <c r="BP17" s="27"/>
      <c r="BQ17" s="27"/>
      <c r="BR17" s="27"/>
      <c r="BS17" s="10" t="s">
        <v>469</v>
      </c>
      <c r="BT17" s="20">
        <v>0.0</v>
      </c>
      <c r="BU17" s="9" t="str">
        <f t="shared" si="14"/>
        <v>ROSOV-62</v>
      </c>
      <c r="BV17" s="8" t="s">
        <v>75</v>
      </c>
      <c r="BW17" s="10" t="s">
        <v>470</v>
      </c>
      <c r="BX17" s="20">
        <v>0.0</v>
      </c>
      <c r="BY17" s="9" t="str">
        <f t="shared" si="15"/>
        <v>ROSOV-62</v>
      </c>
      <c r="BZ17" s="18" t="s">
        <v>77</v>
      </c>
      <c r="CA17" s="21" t="s">
        <v>471</v>
      </c>
      <c r="CB17" s="17">
        <v>0.0</v>
      </c>
      <c r="CC17" s="19" t="str">
        <f t="shared" si="16"/>
        <v>ROSOV-63</v>
      </c>
      <c r="CD17" s="18" t="s">
        <v>79</v>
      </c>
      <c r="CE17" s="21" t="s">
        <v>472</v>
      </c>
      <c r="CF17" s="17">
        <v>0.0</v>
      </c>
      <c r="CG17" s="19" t="str">
        <f t="shared" si="17"/>
        <v>ROSOV-63</v>
      </c>
      <c r="CH17" s="18" t="s">
        <v>81</v>
      </c>
      <c r="CI17" s="21" t="s">
        <v>473</v>
      </c>
      <c r="CJ17" s="17">
        <v>0.0</v>
      </c>
      <c r="CK17" s="19" t="str">
        <f t="shared" si="18"/>
        <v>ROSOV-64</v>
      </c>
      <c r="CL17" s="18" t="s">
        <v>83</v>
      </c>
      <c r="CM17" s="21" t="s">
        <v>474</v>
      </c>
      <c r="CN17" s="20">
        <v>0.0</v>
      </c>
      <c r="CO17" s="19" t="str">
        <f t="shared" si="19"/>
        <v>ROSOV-64</v>
      </c>
      <c r="CP17" s="8" t="s">
        <v>85</v>
      </c>
      <c r="CQ17" s="21" t="s">
        <v>475</v>
      </c>
      <c r="CR17" s="20">
        <v>1.0</v>
      </c>
      <c r="CS17" s="9" t="str">
        <f t="shared" si="20"/>
        <v>MOV_509</v>
      </c>
      <c r="CT17" s="8" t="s">
        <v>87</v>
      </c>
      <c r="CU17" s="22" t="s">
        <v>476</v>
      </c>
      <c r="CV17" s="20">
        <v>1.0</v>
      </c>
      <c r="CW17" s="9" t="str">
        <f t="shared" si="21"/>
        <v>MOV_509A</v>
      </c>
      <c r="CX17" s="8" t="s">
        <v>89</v>
      </c>
      <c r="CY17" s="22" t="s">
        <v>477</v>
      </c>
      <c r="CZ17" s="20">
        <v>1.0</v>
      </c>
      <c r="DA17" s="9" t="str">
        <f t="shared" si="22"/>
        <v>MOV_511</v>
      </c>
      <c r="DB17" s="8" t="s">
        <v>91</v>
      </c>
      <c r="DC17" s="21" t="s">
        <v>478</v>
      </c>
      <c r="DD17" s="20">
        <v>0.0</v>
      </c>
      <c r="DE17" s="9" t="str">
        <f t="shared" si="23"/>
        <v>MOV_511</v>
      </c>
      <c r="DF17" s="8" t="s">
        <v>93</v>
      </c>
      <c r="DG17" s="22" t="s">
        <v>479</v>
      </c>
      <c r="DH17" s="20">
        <v>0.0</v>
      </c>
      <c r="DI17" s="9" t="str">
        <f t="shared" si="24"/>
        <v>MOV_512</v>
      </c>
      <c r="DJ17" s="8" t="s">
        <v>95</v>
      </c>
      <c r="DK17" s="14"/>
      <c r="DL17" s="14"/>
      <c r="DM17" s="27" t="str">
        <f t="shared" si="25"/>
        <v/>
      </c>
      <c r="DN17" s="27"/>
      <c r="DO17" s="14"/>
      <c r="DP17" s="23"/>
      <c r="DQ17" s="27" t="str">
        <f t="shared" si="26"/>
        <v/>
      </c>
      <c r="DR17" s="27"/>
    </row>
    <row r="18">
      <c r="A18" s="8">
        <v>1216.0</v>
      </c>
      <c r="B18" s="8" t="s">
        <v>50</v>
      </c>
      <c r="C18" s="9" t="str">
        <f t="shared" si="1"/>
        <v>TK-17_INTERFACE</v>
      </c>
      <c r="D18" s="10" t="s">
        <v>480</v>
      </c>
      <c r="E18" s="24" t="s">
        <v>52</v>
      </c>
      <c r="F18" s="10" t="s">
        <v>481</v>
      </c>
      <c r="G18" s="12" t="s">
        <v>54</v>
      </c>
      <c r="H18" s="8">
        <v>0.0</v>
      </c>
      <c r="I18" s="29"/>
      <c r="J18" s="29"/>
      <c r="K18" s="29"/>
      <c r="L18" s="29"/>
      <c r="M18" s="29"/>
      <c r="N18" s="29"/>
      <c r="O18" s="14" t="s">
        <v>482</v>
      </c>
      <c r="P18" s="27"/>
      <c r="Q18" s="9" t="str">
        <f t="shared" si="2"/>
        <v>TK-17</v>
      </c>
      <c r="R18" s="16" t="s">
        <v>58</v>
      </c>
      <c r="S18" s="14" t="s">
        <v>483</v>
      </c>
      <c r="T18" s="17">
        <v>0.0</v>
      </c>
      <c r="U18" s="9" t="str">
        <f t="shared" si="3"/>
        <v>TK-17</v>
      </c>
      <c r="V18" s="16" t="s">
        <v>58</v>
      </c>
      <c r="W18" s="14" t="s">
        <v>484</v>
      </c>
      <c r="X18" s="17">
        <v>0.0</v>
      </c>
      <c r="Y18" s="17" t="str">
        <f t="shared" si="4"/>
        <v>TK-17</v>
      </c>
      <c r="Z18" s="16" t="s">
        <v>58</v>
      </c>
      <c r="AA18" s="14" t="s">
        <v>485</v>
      </c>
      <c r="AB18" s="17">
        <v>0.0</v>
      </c>
      <c r="AC18" s="9" t="str">
        <f t="shared" si="5"/>
        <v>TK-17</v>
      </c>
      <c r="AD18" s="8" t="s">
        <v>58</v>
      </c>
      <c r="AE18" s="14" t="s">
        <v>486</v>
      </c>
      <c r="AF18" s="17">
        <v>0.0</v>
      </c>
      <c r="AG18" s="9" t="str">
        <f t="shared" si="6"/>
        <v>LSW-17</v>
      </c>
      <c r="AH18" s="8" t="s">
        <v>63</v>
      </c>
      <c r="AI18" s="14" t="s">
        <v>487</v>
      </c>
      <c r="AJ18" s="17">
        <v>0.0</v>
      </c>
      <c r="AK18" s="9" t="str">
        <f t="shared" si="7"/>
        <v>LSW-17</v>
      </c>
      <c r="AL18" s="8" t="s">
        <v>63</v>
      </c>
      <c r="AM18" s="14" t="s">
        <v>488</v>
      </c>
      <c r="AN18" s="17">
        <v>0.0</v>
      </c>
      <c r="AO18" s="9" t="str">
        <f t="shared" si="8"/>
        <v>LSW-17</v>
      </c>
      <c r="AP18" s="8" t="s">
        <v>63</v>
      </c>
      <c r="AQ18" s="14" t="s">
        <v>489</v>
      </c>
      <c r="AR18" s="17">
        <v>0.0</v>
      </c>
      <c r="AS18" s="9" t="str">
        <f t="shared" si="9"/>
        <v>RDR-17</v>
      </c>
      <c r="AT18" s="8" t="s">
        <v>67</v>
      </c>
      <c r="AU18" s="14" t="s">
        <v>490</v>
      </c>
      <c r="AV18" s="17">
        <v>0.0</v>
      </c>
      <c r="AW18" s="9" t="str">
        <f t="shared" si="10"/>
        <v>RDR-17</v>
      </c>
      <c r="AX18" s="8" t="s">
        <v>67</v>
      </c>
      <c r="AY18" s="14" t="s">
        <v>491</v>
      </c>
      <c r="AZ18" s="17">
        <v>0.0</v>
      </c>
      <c r="BA18" s="9" t="str">
        <f t="shared" si="11"/>
        <v>RDR-17</v>
      </c>
      <c r="BB18" s="8" t="s">
        <v>67</v>
      </c>
      <c r="BC18" s="14" t="s">
        <v>492</v>
      </c>
      <c r="BD18" s="17">
        <v>0.0</v>
      </c>
      <c r="BE18" s="9" t="str">
        <f t="shared" si="12"/>
        <v>ROSOV-65</v>
      </c>
      <c r="BF18" s="28" t="s">
        <v>71</v>
      </c>
      <c r="BG18" s="14" t="s">
        <v>493</v>
      </c>
      <c r="BH18" s="17">
        <v>0.0</v>
      </c>
      <c r="BI18" s="9" t="str">
        <f t="shared" si="13"/>
        <v>ROSOV-65</v>
      </c>
      <c r="BJ18" s="18" t="s">
        <v>73</v>
      </c>
      <c r="BK18" s="27"/>
      <c r="BL18" s="27"/>
      <c r="BM18" s="27"/>
      <c r="BN18" s="27"/>
      <c r="BO18" s="27"/>
      <c r="BP18" s="27"/>
      <c r="BQ18" s="27"/>
      <c r="BR18" s="27"/>
      <c r="BS18" s="14"/>
      <c r="BT18" s="14"/>
      <c r="BU18" s="9" t="str">
        <f t="shared" si="14"/>
        <v/>
      </c>
      <c r="BV18" s="27"/>
      <c r="BW18" s="14"/>
      <c r="BX18" s="14"/>
      <c r="BY18" s="9" t="str">
        <f t="shared" si="15"/>
        <v/>
      </c>
      <c r="BZ18" s="27"/>
      <c r="CA18" s="21" t="s">
        <v>494</v>
      </c>
      <c r="CB18" s="17">
        <v>0.0</v>
      </c>
      <c r="CC18" s="19" t="str">
        <f t="shared" si="16"/>
        <v>ROSOV-66</v>
      </c>
      <c r="CD18" s="18" t="s">
        <v>79</v>
      </c>
      <c r="CE18" s="21" t="s">
        <v>495</v>
      </c>
      <c r="CF18" s="17">
        <v>0.0</v>
      </c>
      <c r="CG18" s="19" t="str">
        <f t="shared" si="17"/>
        <v>ROSOV-66</v>
      </c>
      <c r="CH18" s="18" t="s">
        <v>81</v>
      </c>
      <c r="CI18" s="21" t="s">
        <v>496</v>
      </c>
      <c r="CJ18" s="17">
        <v>0.0</v>
      </c>
      <c r="CK18" s="19" t="str">
        <f t="shared" si="18"/>
        <v>ROSOV-67</v>
      </c>
      <c r="CL18" s="18" t="s">
        <v>83</v>
      </c>
      <c r="CM18" s="21" t="s">
        <v>497</v>
      </c>
      <c r="CN18" s="20">
        <v>0.0</v>
      </c>
      <c r="CO18" s="19" t="str">
        <f t="shared" si="19"/>
        <v>ROSOV-67</v>
      </c>
      <c r="CP18" s="8" t="s">
        <v>85</v>
      </c>
      <c r="CQ18" s="21" t="s">
        <v>498</v>
      </c>
      <c r="CR18" s="20">
        <v>1.0</v>
      </c>
      <c r="CS18" s="9" t="str">
        <f t="shared" si="20"/>
        <v>MOV_601</v>
      </c>
      <c r="CT18" s="8" t="s">
        <v>87</v>
      </c>
      <c r="CU18" s="30"/>
      <c r="CV18" s="14"/>
      <c r="CW18" s="9" t="str">
        <f t="shared" si="21"/>
        <v/>
      </c>
      <c r="CX18" s="27"/>
      <c r="CY18" s="22"/>
      <c r="CZ18" s="14"/>
      <c r="DA18" s="9" t="str">
        <f t="shared" si="22"/>
        <v/>
      </c>
      <c r="DB18" s="27"/>
      <c r="DC18" s="14"/>
      <c r="DD18" s="14"/>
      <c r="DE18" s="9" t="str">
        <f t="shared" si="23"/>
        <v/>
      </c>
      <c r="DF18" s="27"/>
      <c r="DG18" s="30"/>
      <c r="DH18" s="14"/>
      <c r="DI18" s="9" t="str">
        <f t="shared" si="24"/>
        <v/>
      </c>
      <c r="DJ18" s="27"/>
      <c r="DK18" s="14"/>
      <c r="DL18" s="14"/>
      <c r="DM18" s="27" t="str">
        <f t="shared" si="25"/>
        <v/>
      </c>
      <c r="DN18" s="27"/>
      <c r="DO18" s="14"/>
      <c r="DP18" s="23"/>
      <c r="DQ18" s="27" t="str">
        <f t="shared" si="26"/>
        <v/>
      </c>
      <c r="DR18" s="27"/>
    </row>
    <row r="19">
      <c r="A19" s="8">
        <v>1216.0</v>
      </c>
      <c r="B19" s="8" t="s">
        <v>50</v>
      </c>
      <c r="C19" s="9" t="str">
        <f t="shared" si="1"/>
        <v>TK-18_INTERFACE</v>
      </c>
      <c r="D19" s="10" t="s">
        <v>499</v>
      </c>
      <c r="E19" s="24" t="s">
        <v>52</v>
      </c>
      <c r="F19" s="10" t="s">
        <v>481</v>
      </c>
      <c r="G19" s="12" t="s">
        <v>54</v>
      </c>
      <c r="H19" s="8">
        <v>0.0</v>
      </c>
      <c r="I19" s="29"/>
      <c r="J19" s="29"/>
      <c r="K19" s="29"/>
      <c r="L19" s="29"/>
      <c r="M19" s="29"/>
      <c r="N19" s="29"/>
      <c r="O19" s="14" t="s">
        <v>500</v>
      </c>
      <c r="P19" s="27"/>
      <c r="Q19" s="9" t="str">
        <f t="shared" si="2"/>
        <v>TK-18</v>
      </c>
      <c r="R19" s="16" t="s">
        <v>58</v>
      </c>
      <c r="S19" s="14" t="s">
        <v>501</v>
      </c>
      <c r="T19" s="17">
        <v>0.0</v>
      </c>
      <c r="U19" s="9" t="str">
        <f t="shared" si="3"/>
        <v>TK-18</v>
      </c>
      <c r="V19" s="16" t="s">
        <v>58</v>
      </c>
      <c r="W19" s="14" t="s">
        <v>502</v>
      </c>
      <c r="X19" s="17">
        <v>0.0</v>
      </c>
      <c r="Y19" s="17" t="str">
        <f t="shared" si="4"/>
        <v>TK-18</v>
      </c>
      <c r="Z19" s="16" t="s">
        <v>58</v>
      </c>
      <c r="AA19" s="14" t="s">
        <v>503</v>
      </c>
      <c r="AB19" s="17">
        <v>0.0</v>
      </c>
      <c r="AC19" s="9" t="str">
        <f t="shared" si="5"/>
        <v>TK-18</v>
      </c>
      <c r="AD19" s="8" t="s">
        <v>58</v>
      </c>
      <c r="AE19" s="14" t="s">
        <v>504</v>
      </c>
      <c r="AF19" s="17">
        <v>0.0</v>
      </c>
      <c r="AG19" s="9" t="str">
        <f t="shared" si="6"/>
        <v>LSW-18</v>
      </c>
      <c r="AH19" s="8" t="s">
        <v>63</v>
      </c>
      <c r="AI19" s="14" t="s">
        <v>505</v>
      </c>
      <c r="AJ19" s="17">
        <v>0.0</v>
      </c>
      <c r="AK19" s="9" t="str">
        <f t="shared" si="7"/>
        <v>LSW-18</v>
      </c>
      <c r="AL19" s="8" t="s">
        <v>63</v>
      </c>
      <c r="AM19" s="14" t="s">
        <v>506</v>
      </c>
      <c r="AN19" s="17">
        <v>0.0</v>
      </c>
      <c r="AO19" s="9" t="str">
        <f t="shared" si="8"/>
        <v>LSW-18</v>
      </c>
      <c r="AP19" s="8" t="s">
        <v>63</v>
      </c>
      <c r="AQ19" s="14" t="s">
        <v>507</v>
      </c>
      <c r="AR19" s="17">
        <v>0.0</v>
      </c>
      <c r="AS19" s="9" t="str">
        <f t="shared" si="9"/>
        <v>RDR-18</v>
      </c>
      <c r="AT19" s="8" t="s">
        <v>67</v>
      </c>
      <c r="AU19" s="14" t="s">
        <v>508</v>
      </c>
      <c r="AV19" s="17">
        <v>0.0</v>
      </c>
      <c r="AW19" s="9" t="str">
        <f t="shared" si="10"/>
        <v>RDR-18</v>
      </c>
      <c r="AX19" s="8" t="s">
        <v>67</v>
      </c>
      <c r="AY19" s="14" t="s">
        <v>509</v>
      </c>
      <c r="AZ19" s="17">
        <v>0.0</v>
      </c>
      <c r="BA19" s="9" t="str">
        <f t="shared" si="11"/>
        <v>RDR-18</v>
      </c>
      <c r="BB19" s="8" t="s">
        <v>67</v>
      </c>
      <c r="BC19" s="14" t="s">
        <v>510</v>
      </c>
      <c r="BD19" s="17">
        <v>0.0</v>
      </c>
      <c r="BE19" s="9" t="str">
        <f t="shared" si="12"/>
        <v>ROSOV-68</v>
      </c>
      <c r="BF19" s="28" t="s">
        <v>71</v>
      </c>
      <c r="BG19" s="14" t="s">
        <v>511</v>
      </c>
      <c r="BH19" s="17">
        <v>0.0</v>
      </c>
      <c r="BI19" s="9" t="str">
        <f t="shared" si="13"/>
        <v>ROSOV-68</v>
      </c>
      <c r="BJ19" s="18" t="s">
        <v>73</v>
      </c>
      <c r="BK19" s="27"/>
      <c r="BL19" s="27"/>
      <c r="BM19" s="27"/>
      <c r="BN19" s="27"/>
      <c r="BO19" s="27"/>
      <c r="BP19" s="27"/>
      <c r="BQ19" s="27"/>
      <c r="BR19" s="27"/>
      <c r="BS19" s="14"/>
      <c r="BT19" s="14"/>
      <c r="BU19" s="9" t="str">
        <f t="shared" si="14"/>
        <v/>
      </c>
      <c r="BV19" s="27"/>
      <c r="BW19" s="14"/>
      <c r="BX19" s="14"/>
      <c r="BY19" s="9" t="str">
        <f t="shared" si="15"/>
        <v/>
      </c>
      <c r="BZ19" s="27"/>
      <c r="CA19" s="21" t="s">
        <v>512</v>
      </c>
      <c r="CB19" s="17">
        <v>0.0</v>
      </c>
      <c r="CC19" s="19" t="str">
        <f t="shared" si="16"/>
        <v>ROSOV-70</v>
      </c>
      <c r="CD19" s="18" t="s">
        <v>79</v>
      </c>
      <c r="CE19" s="21" t="s">
        <v>513</v>
      </c>
      <c r="CF19" s="17">
        <v>0.0</v>
      </c>
      <c r="CG19" s="19" t="str">
        <f t="shared" si="17"/>
        <v>ROSOV-70</v>
      </c>
      <c r="CH19" s="18" t="s">
        <v>81</v>
      </c>
      <c r="CI19" s="21" t="s">
        <v>514</v>
      </c>
      <c r="CJ19" s="17">
        <v>0.0</v>
      </c>
      <c r="CK19" s="19" t="str">
        <f t="shared" si="18"/>
        <v>ROSOV-71</v>
      </c>
      <c r="CL19" s="18" t="s">
        <v>83</v>
      </c>
      <c r="CM19" s="21" t="s">
        <v>515</v>
      </c>
      <c r="CN19" s="20">
        <v>0.0</v>
      </c>
      <c r="CO19" s="19" t="str">
        <f t="shared" si="19"/>
        <v>ROSOV-71</v>
      </c>
      <c r="CP19" s="8" t="s">
        <v>85</v>
      </c>
      <c r="CQ19" s="21" t="s">
        <v>516</v>
      </c>
      <c r="CR19" s="20">
        <v>1.0</v>
      </c>
      <c r="CS19" s="9" t="str">
        <f t="shared" si="20"/>
        <v>MOV_604</v>
      </c>
      <c r="CT19" s="8" t="s">
        <v>87</v>
      </c>
      <c r="CU19" s="30"/>
      <c r="CV19" s="14"/>
      <c r="CW19" s="9" t="str">
        <f t="shared" si="21"/>
        <v/>
      </c>
      <c r="CX19" s="27"/>
      <c r="CY19" s="22"/>
      <c r="CZ19" s="14"/>
      <c r="DA19" s="9" t="str">
        <f t="shared" si="22"/>
        <v/>
      </c>
      <c r="DB19" s="27"/>
      <c r="DC19" s="14"/>
      <c r="DD19" s="14"/>
      <c r="DE19" s="9" t="str">
        <f t="shared" si="23"/>
        <v/>
      </c>
      <c r="DF19" s="27"/>
      <c r="DG19" s="30"/>
      <c r="DH19" s="14"/>
      <c r="DI19" s="9" t="str">
        <f t="shared" si="24"/>
        <v/>
      </c>
      <c r="DJ19" s="27"/>
      <c r="DK19" s="14"/>
      <c r="DL19" s="14"/>
      <c r="DM19" s="27" t="str">
        <f t="shared" si="25"/>
        <v/>
      </c>
      <c r="DN19" s="27"/>
      <c r="DO19" s="14"/>
      <c r="DP19" s="23"/>
      <c r="DQ19" s="27" t="str">
        <f t="shared" si="26"/>
        <v/>
      </c>
      <c r="DR19" s="27"/>
    </row>
    <row r="20">
      <c r="A20" s="8">
        <v>1216.0</v>
      </c>
      <c r="B20" s="8" t="s">
        <v>50</v>
      </c>
      <c r="C20" s="9" t="str">
        <f t="shared" si="1"/>
        <v>TK-19_ETHANOL</v>
      </c>
      <c r="D20" s="10" t="s">
        <v>517</v>
      </c>
      <c r="E20" s="24" t="s">
        <v>52</v>
      </c>
      <c r="F20" s="10" t="s">
        <v>405</v>
      </c>
      <c r="G20" s="12" t="s">
        <v>54</v>
      </c>
      <c r="H20" s="8">
        <v>0.0</v>
      </c>
      <c r="I20" s="29"/>
      <c r="J20" s="29"/>
      <c r="K20" s="29"/>
      <c r="L20" s="29"/>
      <c r="M20" s="29"/>
      <c r="N20" s="29"/>
      <c r="O20" s="14" t="s">
        <v>518</v>
      </c>
      <c r="P20" s="27"/>
      <c r="Q20" s="9" t="str">
        <f t="shared" si="2"/>
        <v>TK-19</v>
      </c>
      <c r="R20" s="16" t="s">
        <v>58</v>
      </c>
      <c r="S20" s="14" t="s">
        <v>519</v>
      </c>
      <c r="T20" s="17">
        <v>0.0</v>
      </c>
      <c r="U20" s="9" t="str">
        <f t="shared" si="3"/>
        <v>TK-19</v>
      </c>
      <c r="V20" s="16" t="s">
        <v>58</v>
      </c>
      <c r="W20" s="14" t="s">
        <v>520</v>
      </c>
      <c r="X20" s="17">
        <v>0.0</v>
      </c>
      <c r="Y20" s="17" t="str">
        <f t="shared" si="4"/>
        <v>TK-19</v>
      </c>
      <c r="Z20" s="16" t="s">
        <v>58</v>
      </c>
      <c r="AA20" s="14" t="s">
        <v>521</v>
      </c>
      <c r="AB20" s="17">
        <v>0.0</v>
      </c>
      <c r="AC20" s="9" t="str">
        <f t="shared" si="5"/>
        <v>TK-19</v>
      </c>
      <c r="AD20" s="8" t="s">
        <v>58</v>
      </c>
      <c r="AE20" s="14" t="s">
        <v>522</v>
      </c>
      <c r="AF20" s="17">
        <v>0.0</v>
      </c>
      <c r="AG20" s="9" t="str">
        <f t="shared" si="6"/>
        <v>LSW-19</v>
      </c>
      <c r="AH20" s="8" t="s">
        <v>63</v>
      </c>
      <c r="AI20" s="14" t="s">
        <v>523</v>
      </c>
      <c r="AJ20" s="17">
        <v>0.0</v>
      </c>
      <c r="AK20" s="9" t="str">
        <f t="shared" si="7"/>
        <v>LSW-19</v>
      </c>
      <c r="AL20" s="8" t="s">
        <v>63</v>
      </c>
      <c r="AM20" s="14" t="s">
        <v>524</v>
      </c>
      <c r="AN20" s="17">
        <v>0.0</v>
      </c>
      <c r="AO20" s="9" t="str">
        <f t="shared" si="8"/>
        <v>LSW-19</v>
      </c>
      <c r="AP20" s="8" t="s">
        <v>63</v>
      </c>
      <c r="AQ20" s="14" t="s">
        <v>525</v>
      </c>
      <c r="AR20" s="17">
        <v>0.0</v>
      </c>
      <c r="AS20" s="9" t="str">
        <f t="shared" si="9"/>
        <v>RDR-19</v>
      </c>
      <c r="AT20" s="8" t="s">
        <v>67</v>
      </c>
      <c r="AU20" s="14" t="s">
        <v>526</v>
      </c>
      <c r="AV20" s="17">
        <v>0.0</v>
      </c>
      <c r="AW20" s="9" t="str">
        <f t="shared" si="10"/>
        <v>RDR-19</v>
      </c>
      <c r="AX20" s="8" t="s">
        <v>67</v>
      </c>
      <c r="AY20" s="14" t="s">
        <v>527</v>
      </c>
      <c r="AZ20" s="17">
        <v>0.0</v>
      </c>
      <c r="BA20" s="9" t="str">
        <f t="shared" si="11"/>
        <v>RDR-19</v>
      </c>
      <c r="BB20" s="8" t="s">
        <v>67</v>
      </c>
      <c r="BC20" s="14" t="s">
        <v>528</v>
      </c>
      <c r="BD20" s="17">
        <v>0.0</v>
      </c>
      <c r="BE20" s="9" t="str">
        <f t="shared" si="12"/>
        <v>ROSOV-72</v>
      </c>
      <c r="BF20" s="28" t="s">
        <v>71</v>
      </c>
      <c r="BG20" s="14" t="s">
        <v>529</v>
      </c>
      <c r="BH20" s="17">
        <v>0.0</v>
      </c>
      <c r="BI20" s="9" t="str">
        <f t="shared" si="13"/>
        <v>ROSOV-72</v>
      </c>
      <c r="BJ20" s="18" t="s">
        <v>73</v>
      </c>
      <c r="BK20" s="27"/>
      <c r="BL20" s="27"/>
      <c r="BM20" s="27"/>
      <c r="BN20" s="27"/>
      <c r="BO20" s="27"/>
      <c r="BP20" s="27"/>
      <c r="BQ20" s="27"/>
      <c r="BR20" s="27"/>
      <c r="BS20" s="14"/>
      <c r="BT20" s="14"/>
      <c r="BU20" s="9" t="str">
        <f t="shared" si="14"/>
        <v/>
      </c>
      <c r="BV20" s="27"/>
      <c r="BW20" s="14"/>
      <c r="BX20" s="14"/>
      <c r="BY20" s="9" t="str">
        <f t="shared" si="15"/>
        <v/>
      </c>
      <c r="BZ20" s="27"/>
      <c r="CA20" s="14"/>
      <c r="CB20" s="17"/>
      <c r="CC20" s="19" t="str">
        <f t="shared" si="16"/>
        <v/>
      </c>
      <c r="CD20" s="27"/>
      <c r="CE20" s="14"/>
      <c r="CF20" s="14"/>
      <c r="CG20" s="19" t="str">
        <f t="shared" si="17"/>
        <v/>
      </c>
      <c r="CH20" s="27"/>
      <c r="CI20" s="14"/>
      <c r="CJ20" s="14"/>
      <c r="CK20" s="19" t="str">
        <f t="shared" si="18"/>
        <v/>
      </c>
      <c r="CL20" s="27"/>
      <c r="CM20" s="14"/>
      <c r="CN20" s="14"/>
      <c r="CO20" s="19" t="str">
        <f t="shared" si="19"/>
        <v/>
      </c>
      <c r="CP20" s="27"/>
      <c r="CQ20" s="21" t="s">
        <v>530</v>
      </c>
      <c r="CR20" s="17">
        <v>1.0</v>
      </c>
      <c r="CS20" s="9" t="str">
        <f t="shared" si="20"/>
        <v>MOV_701</v>
      </c>
      <c r="CT20" s="8" t="s">
        <v>87</v>
      </c>
      <c r="CU20" s="30"/>
      <c r="CV20" s="14"/>
      <c r="CW20" s="9" t="str">
        <f t="shared" si="21"/>
        <v/>
      </c>
      <c r="CX20" s="27"/>
      <c r="CY20" s="22"/>
      <c r="CZ20" s="14"/>
      <c r="DA20" s="9" t="str">
        <f t="shared" si="22"/>
        <v/>
      </c>
      <c r="DB20" s="27"/>
      <c r="DC20" s="14"/>
      <c r="DD20" s="14"/>
      <c r="DE20" s="9" t="str">
        <f t="shared" si="23"/>
        <v/>
      </c>
      <c r="DF20" s="27"/>
      <c r="DG20" s="30"/>
      <c r="DH20" s="14"/>
      <c r="DI20" s="9" t="str">
        <f t="shared" si="24"/>
        <v/>
      </c>
      <c r="DJ20" s="27"/>
      <c r="DK20" s="14"/>
      <c r="DL20" s="14"/>
      <c r="DM20" s="27" t="str">
        <f t="shared" si="25"/>
        <v/>
      </c>
      <c r="DN20" s="27"/>
      <c r="DO20" s="14"/>
      <c r="DP20" s="14"/>
      <c r="DQ20" s="27" t="str">
        <f t="shared" si="26"/>
        <v/>
      </c>
      <c r="DR20" s="27"/>
    </row>
    <row r="21">
      <c r="A21" s="8">
        <v>1216.0</v>
      </c>
      <c r="B21" s="8" t="s">
        <v>50</v>
      </c>
      <c r="C21" s="9" t="str">
        <f t="shared" si="1"/>
        <v>TK-20_INTERFACE</v>
      </c>
      <c r="D21" s="10" t="s">
        <v>531</v>
      </c>
      <c r="E21" s="24" t="s">
        <v>52</v>
      </c>
      <c r="F21" s="10" t="s">
        <v>481</v>
      </c>
      <c r="G21" s="12" t="s">
        <v>54</v>
      </c>
      <c r="H21" s="8">
        <v>0.0</v>
      </c>
      <c r="I21" s="29"/>
      <c r="J21" s="29"/>
      <c r="K21" s="29"/>
      <c r="L21" s="29"/>
      <c r="M21" s="29"/>
      <c r="N21" s="29"/>
      <c r="O21" s="14" t="s">
        <v>532</v>
      </c>
      <c r="P21" s="27"/>
      <c r="Q21" s="9" t="str">
        <f t="shared" si="2"/>
        <v>TK-20</v>
      </c>
      <c r="R21" s="16" t="s">
        <v>58</v>
      </c>
      <c r="S21" s="14" t="s">
        <v>533</v>
      </c>
      <c r="T21" s="17">
        <v>0.0</v>
      </c>
      <c r="U21" s="9" t="str">
        <f t="shared" si="3"/>
        <v>TK-20</v>
      </c>
      <c r="V21" s="16" t="s">
        <v>58</v>
      </c>
      <c r="W21" s="14" t="s">
        <v>534</v>
      </c>
      <c r="X21" s="17">
        <v>0.0</v>
      </c>
      <c r="Y21" s="17" t="str">
        <f t="shared" si="4"/>
        <v>TK-20</v>
      </c>
      <c r="Z21" s="16" t="s">
        <v>58</v>
      </c>
      <c r="AA21" s="14" t="s">
        <v>535</v>
      </c>
      <c r="AB21" s="17">
        <v>0.0</v>
      </c>
      <c r="AC21" s="9" t="str">
        <f t="shared" si="5"/>
        <v>TK-20</v>
      </c>
      <c r="AD21" s="8" t="s">
        <v>58</v>
      </c>
      <c r="AE21" s="14" t="s">
        <v>536</v>
      </c>
      <c r="AF21" s="17">
        <v>0.0</v>
      </c>
      <c r="AG21" s="9" t="str">
        <f t="shared" si="6"/>
        <v>LSW-20</v>
      </c>
      <c r="AH21" s="8" t="s">
        <v>63</v>
      </c>
      <c r="AI21" s="14" t="s">
        <v>537</v>
      </c>
      <c r="AJ21" s="17">
        <v>0.0</v>
      </c>
      <c r="AK21" s="9" t="str">
        <f t="shared" si="7"/>
        <v>LSW-20</v>
      </c>
      <c r="AL21" s="8" t="s">
        <v>63</v>
      </c>
      <c r="AM21" s="14" t="s">
        <v>538</v>
      </c>
      <c r="AN21" s="17">
        <v>0.0</v>
      </c>
      <c r="AO21" s="9" t="str">
        <f t="shared" si="8"/>
        <v>LSW-20</v>
      </c>
      <c r="AP21" s="8" t="s">
        <v>63</v>
      </c>
      <c r="AQ21" s="14" t="s">
        <v>539</v>
      </c>
      <c r="AR21" s="17">
        <v>0.0</v>
      </c>
      <c r="AS21" s="9" t="str">
        <f t="shared" si="9"/>
        <v>RDR-20</v>
      </c>
      <c r="AT21" s="8" t="s">
        <v>67</v>
      </c>
      <c r="AU21" s="14" t="s">
        <v>540</v>
      </c>
      <c r="AV21" s="17">
        <v>0.0</v>
      </c>
      <c r="AW21" s="9" t="str">
        <f t="shared" si="10"/>
        <v>RDR-20</v>
      </c>
      <c r="AX21" s="8" t="s">
        <v>67</v>
      </c>
      <c r="AY21" s="14" t="s">
        <v>541</v>
      </c>
      <c r="AZ21" s="17">
        <v>0.0</v>
      </c>
      <c r="BA21" s="9" t="str">
        <f t="shared" si="11"/>
        <v>RDR-20</v>
      </c>
      <c r="BB21" s="8" t="s">
        <v>67</v>
      </c>
      <c r="BC21" s="14" t="s">
        <v>542</v>
      </c>
      <c r="BD21" s="17">
        <v>0.0</v>
      </c>
      <c r="BE21" s="9" t="str">
        <f t="shared" si="12"/>
        <v>ROSOV-74</v>
      </c>
      <c r="BF21" s="28" t="s">
        <v>71</v>
      </c>
      <c r="BG21" s="14" t="s">
        <v>543</v>
      </c>
      <c r="BH21" s="17">
        <v>0.0</v>
      </c>
      <c r="BI21" s="9" t="str">
        <f t="shared" si="13"/>
        <v>ROSOV-74</v>
      </c>
      <c r="BJ21" s="18" t="s">
        <v>73</v>
      </c>
      <c r="BK21" s="27"/>
      <c r="BL21" s="27"/>
      <c r="BM21" s="27"/>
      <c r="BN21" s="27"/>
      <c r="BO21" s="27"/>
      <c r="BP21" s="27"/>
      <c r="BQ21" s="27"/>
      <c r="BR21" s="27"/>
      <c r="BS21" s="14"/>
      <c r="BT21" s="14"/>
      <c r="BU21" s="9" t="str">
        <f t="shared" si="14"/>
        <v/>
      </c>
      <c r="BV21" s="27"/>
      <c r="BW21" s="14"/>
      <c r="BX21" s="14"/>
      <c r="BY21" s="9" t="str">
        <f t="shared" si="15"/>
        <v/>
      </c>
      <c r="BZ21" s="27"/>
      <c r="CA21" s="14"/>
      <c r="CB21" s="17"/>
      <c r="CC21" s="19" t="str">
        <f t="shared" si="16"/>
        <v/>
      </c>
      <c r="CD21" s="27"/>
      <c r="CE21" s="14"/>
      <c r="CF21" s="14"/>
      <c r="CG21" s="19" t="str">
        <f t="shared" si="17"/>
        <v/>
      </c>
      <c r="CH21" s="27"/>
      <c r="CI21" s="21" t="s">
        <v>544</v>
      </c>
      <c r="CJ21" s="17">
        <v>0.0</v>
      </c>
      <c r="CK21" s="19" t="str">
        <f t="shared" si="18"/>
        <v>ROSOV-75</v>
      </c>
      <c r="CL21" s="18" t="s">
        <v>83</v>
      </c>
      <c r="CM21" s="21" t="s">
        <v>545</v>
      </c>
      <c r="CN21" s="20">
        <v>0.0</v>
      </c>
      <c r="CO21" s="19" t="str">
        <f t="shared" si="19"/>
        <v>ROSOV-75</v>
      </c>
      <c r="CP21" s="8" t="s">
        <v>85</v>
      </c>
      <c r="CQ21" s="14"/>
      <c r="CR21" s="14"/>
      <c r="CS21" s="9" t="str">
        <f t="shared" si="20"/>
        <v/>
      </c>
      <c r="CT21" s="27"/>
      <c r="CU21" s="30"/>
      <c r="CV21" s="14"/>
      <c r="CW21" s="9" t="str">
        <f t="shared" si="21"/>
        <v/>
      </c>
      <c r="CX21" s="27"/>
      <c r="CY21" s="22"/>
      <c r="CZ21" s="14"/>
      <c r="DA21" s="9" t="str">
        <f t="shared" si="22"/>
        <v/>
      </c>
      <c r="DB21" s="27"/>
      <c r="DC21" s="14"/>
      <c r="DD21" s="14"/>
      <c r="DE21" s="9" t="str">
        <f t="shared" si="23"/>
        <v/>
      </c>
      <c r="DF21" s="27"/>
      <c r="DG21" s="30"/>
      <c r="DH21" s="14"/>
      <c r="DI21" s="9" t="str">
        <f t="shared" si="24"/>
        <v/>
      </c>
      <c r="DJ21" s="27"/>
      <c r="DK21" s="14"/>
      <c r="DL21" s="14"/>
      <c r="DM21" s="27" t="str">
        <f t="shared" si="25"/>
        <v/>
      </c>
      <c r="DN21" s="27"/>
      <c r="DO21" s="14"/>
      <c r="DP21" s="14"/>
      <c r="DQ21" s="27" t="str">
        <f t="shared" si="26"/>
        <v/>
      </c>
      <c r="DR21" s="27"/>
    </row>
    <row r="22">
      <c r="A22" s="8">
        <v>1216.0</v>
      </c>
      <c r="B22" s="8" t="s">
        <v>50</v>
      </c>
      <c r="C22" s="9" t="str">
        <f t="shared" si="1"/>
        <v>TK-21_INTERFACE</v>
      </c>
      <c r="D22" s="10" t="s">
        <v>546</v>
      </c>
      <c r="E22" s="24" t="s">
        <v>52</v>
      </c>
      <c r="F22" s="10" t="s">
        <v>481</v>
      </c>
      <c r="G22" s="12" t="s">
        <v>54</v>
      </c>
      <c r="H22" s="8">
        <v>0.0</v>
      </c>
      <c r="I22" s="29"/>
      <c r="J22" s="29"/>
      <c r="K22" s="29"/>
      <c r="L22" s="29"/>
      <c r="M22" s="29"/>
      <c r="N22" s="29"/>
      <c r="O22" s="14" t="s">
        <v>547</v>
      </c>
      <c r="P22" s="27"/>
      <c r="Q22" s="9" t="str">
        <f t="shared" si="2"/>
        <v>TK-21</v>
      </c>
      <c r="R22" s="16" t="s">
        <v>58</v>
      </c>
      <c r="S22" s="14" t="s">
        <v>548</v>
      </c>
      <c r="T22" s="17">
        <v>0.0</v>
      </c>
      <c r="U22" s="9" t="str">
        <f t="shared" si="3"/>
        <v>TK-21</v>
      </c>
      <c r="V22" s="16" t="s">
        <v>58</v>
      </c>
      <c r="W22" s="14" t="s">
        <v>549</v>
      </c>
      <c r="X22" s="17">
        <v>0.0</v>
      </c>
      <c r="Y22" s="17" t="str">
        <f t="shared" si="4"/>
        <v>TK-21</v>
      </c>
      <c r="Z22" s="16" t="s">
        <v>58</v>
      </c>
      <c r="AA22" s="14" t="s">
        <v>550</v>
      </c>
      <c r="AB22" s="17">
        <v>0.0</v>
      </c>
      <c r="AC22" s="9" t="str">
        <f t="shared" si="5"/>
        <v>TK-21</v>
      </c>
      <c r="AD22" s="8" t="s">
        <v>58</v>
      </c>
      <c r="AE22" s="14" t="s">
        <v>551</v>
      </c>
      <c r="AF22" s="17">
        <v>0.0</v>
      </c>
      <c r="AG22" s="9" t="str">
        <f t="shared" si="6"/>
        <v>LSW-21</v>
      </c>
      <c r="AH22" s="8" t="s">
        <v>63</v>
      </c>
      <c r="AI22" s="14" t="s">
        <v>552</v>
      </c>
      <c r="AJ22" s="17">
        <v>0.0</v>
      </c>
      <c r="AK22" s="9" t="str">
        <f t="shared" si="7"/>
        <v>LSW-21</v>
      </c>
      <c r="AL22" s="8" t="s">
        <v>63</v>
      </c>
      <c r="AM22" s="14" t="s">
        <v>553</v>
      </c>
      <c r="AN22" s="17">
        <v>0.0</v>
      </c>
      <c r="AO22" s="9" t="str">
        <f t="shared" si="8"/>
        <v>LSW-21</v>
      </c>
      <c r="AP22" s="8" t="s">
        <v>63</v>
      </c>
      <c r="AQ22" s="14" t="s">
        <v>554</v>
      </c>
      <c r="AR22" s="17">
        <v>0.0</v>
      </c>
      <c r="AS22" s="9" t="str">
        <f t="shared" si="9"/>
        <v>RDR-21</v>
      </c>
      <c r="AT22" s="8" t="s">
        <v>67</v>
      </c>
      <c r="AU22" s="14" t="s">
        <v>555</v>
      </c>
      <c r="AV22" s="17">
        <v>0.0</v>
      </c>
      <c r="AW22" s="9" t="str">
        <f t="shared" si="10"/>
        <v>RDR-21</v>
      </c>
      <c r="AX22" s="8" t="s">
        <v>67</v>
      </c>
      <c r="AY22" s="14" t="s">
        <v>556</v>
      </c>
      <c r="AZ22" s="17">
        <v>0.0</v>
      </c>
      <c r="BA22" s="9" t="str">
        <f t="shared" si="11"/>
        <v>RDR-21</v>
      </c>
      <c r="BB22" s="8" t="s">
        <v>67</v>
      </c>
      <c r="BC22" s="14" t="s">
        <v>557</v>
      </c>
      <c r="BD22" s="17">
        <v>0.0</v>
      </c>
      <c r="BE22" s="9" t="str">
        <f t="shared" si="12"/>
        <v>ROSOV-76</v>
      </c>
      <c r="BF22" s="28" t="s">
        <v>71</v>
      </c>
      <c r="BG22" s="14" t="s">
        <v>558</v>
      </c>
      <c r="BH22" s="17">
        <v>0.0</v>
      </c>
      <c r="BI22" s="9" t="str">
        <f t="shared" si="13"/>
        <v>ROSOV-76</v>
      </c>
      <c r="BJ22" s="18" t="s">
        <v>73</v>
      </c>
      <c r="BK22" s="27"/>
      <c r="BL22" s="27"/>
      <c r="BM22" s="27"/>
      <c r="BN22" s="27"/>
      <c r="BO22" s="27"/>
      <c r="BP22" s="27"/>
      <c r="BQ22" s="27"/>
      <c r="BR22" s="27"/>
      <c r="BS22" s="14"/>
      <c r="BT22" s="14"/>
      <c r="BU22" s="9" t="str">
        <f t="shared" si="14"/>
        <v/>
      </c>
      <c r="BV22" s="27"/>
      <c r="BW22" s="14"/>
      <c r="BX22" s="14"/>
      <c r="BY22" s="9" t="str">
        <f t="shared" si="15"/>
        <v/>
      </c>
      <c r="BZ22" s="27"/>
      <c r="CA22" s="14"/>
      <c r="CB22" s="17"/>
      <c r="CC22" s="19" t="str">
        <f t="shared" si="16"/>
        <v/>
      </c>
      <c r="CD22" s="27"/>
      <c r="CE22" s="14"/>
      <c r="CF22" s="14"/>
      <c r="CG22" s="19" t="str">
        <f t="shared" si="17"/>
        <v/>
      </c>
      <c r="CH22" s="27"/>
      <c r="CI22" s="21" t="s">
        <v>559</v>
      </c>
      <c r="CJ22" s="17">
        <v>0.0</v>
      </c>
      <c r="CK22" s="19" t="str">
        <f t="shared" si="18"/>
        <v>ROSOV-77</v>
      </c>
      <c r="CL22" s="18" t="s">
        <v>83</v>
      </c>
      <c r="CM22" s="21" t="s">
        <v>560</v>
      </c>
      <c r="CN22" s="20">
        <v>0.0</v>
      </c>
      <c r="CO22" s="19" t="str">
        <f t="shared" si="19"/>
        <v>ROSOV-77</v>
      </c>
      <c r="CP22" s="8" t="s">
        <v>85</v>
      </c>
      <c r="CQ22" s="14"/>
      <c r="CR22" s="23"/>
      <c r="CS22" s="9" t="str">
        <f t="shared" si="20"/>
        <v/>
      </c>
      <c r="CT22" s="27"/>
      <c r="CU22" s="30"/>
      <c r="CV22" s="14"/>
      <c r="CW22" s="9" t="str">
        <f t="shared" si="21"/>
        <v/>
      </c>
      <c r="CX22" s="27"/>
      <c r="CY22" s="22"/>
      <c r="CZ22" s="14"/>
      <c r="DA22" s="9" t="str">
        <f t="shared" si="22"/>
        <v/>
      </c>
      <c r="DB22" s="27"/>
      <c r="DC22" s="14"/>
      <c r="DD22" s="14"/>
      <c r="DE22" s="9" t="str">
        <f t="shared" si="23"/>
        <v/>
      </c>
      <c r="DF22" s="27"/>
      <c r="DG22" s="30"/>
      <c r="DH22" s="14"/>
      <c r="DI22" s="9" t="str">
        <f t="shared" si="24"/>
        <v/>
      </c>
      <c r="DJ22" s="27"/>
      <c r="DK22" s="14"/>
      <c r="DL22" s="14"/>
      <c r="DM22" s="27" t="str">
        <f t="shared" si="25"/>
        <v/>
      </c>
      <c r="DN22" s="27"/>
      <c r="DO22" s="14"/>
      <c r="DP22" s="23"/>
      <c r="DQ22" s="27" t="str">
        <f t="shared" si="26"/>
        <v/>
      </c>
      <c r="DR22" s="27"/>
    </row>
    <row r="23">
      <c r="A23" s="8">
        <v>1216.0</v>
      </c>
      <c r="B23" s="8" t="s">
        <v>50</v>
      </c>
      <c r="C23" s="9" t="str">
        <f t="shared" si="1"/>
        <v>TK-22_ATF</v>
      </c>
      <c r="D23" s="10" t="s">
        <v>561</v>
      </c>
      <c r="E23" s="24" t="s">
        <v>52</v>
      </c>
      <c r="F23" s="10" t="s">
        <v>562</v>
      </c>
      <c r="G23" s="12" t="s">
        <v>54</v>
      </c>
      <c r="H23" s="8">
        <v>0.0</v>
      </c>
      <c r="I23" s="29"/>
      <c r="J23" s="29"/>
      <c r="K23" s="29"/>
      <c r="L23" s="29"/>
      <c r="M23" s="29"/>
      <c r="N23" s="29"/>
      <c r="O23" s="14" t="s">
        <v>563</v>
      </c>
      <c r="P23" s="27"/>
      <c r="Q23" s="9" t="str">
        <f t="shared" si="2"/>
        <v>TK-22</v>
      </c>
      <c r="R23" s="16" t="s">
        <v>58</v>
      </c>
      <c r="S23" s="14" t="s">
        <v>564</v>
      </c>
      <c r="T23" s="17">
        <v>0.0</v>
      </c>
      <c r="U23" s="9" t="str">
        <f t="shared" si="3"/>
        <v>TK-22</v>
      </c>
      <c r="V23" s="16" t="s">
        <v>58</v>
      </c>
      <c r="W23" s="14" t="s">
        <v>565</v>
      </c>
      <c r="X23" s="17">
        <v>0.0</v>
      </c>
      <c r="Y23" s="17" t="str">
        <f t="shared" si="4"/>
        <v>TK-22</v>
      </c>
      <c r="Z23" s="16" t="s">
        <v>58</v>
      </c>
      <c r="AA23" s="14" t="s">
        <v>566</v>
      </c>
      <c r="AB23" s="17">
        <v>0.0</v>
      </c>
      <c r="AC23" s="9" t="str">
        <f t="shared" si="5"/>
        <v>TK-22</v>
      </c>
      <c r="AD23" s="8" t="s">
        <v>58</v>
      </c>
      <c r="AE23" s="14" t="s">
        <v>567</v>
      </c>
      <c r="AF23" s="17">
        <v>0.0</v>
      </c>
      <c r="AG23" s="9" t="str">
        <f t="shared" si="6"/>
        <v>LSW-22</v>
      </c>
      <c r="AH23" s="8" t="s">
        <v>63</v>
      </c>
      <c r="AI23" s="14" t="s">
        <v>568</v>
      </c>
      <c r="AJ23" s="17">
        <v>0.0</v>
      </c>
      <c r="AK23" s="9" t="str">
        <f t="shared" si="7"/>
        <v>LSW-22</v>
      </c>
      <c r="AL23" s="8" t="s">
        <v>63</v>
      </c>
      <c r="AM23" s="14" t="s">
        <v>569</v>
      </c>
      <c r="AN23" s="17">
        <v>0.0</v>
      </c>
      <c r="AO23" s="9" t="str">
        <f t="shared" si="8"/>
        <v>LSW-22</v>
      </c>
      <c r="AP23" s="8" t="s">
        <v>63</v>
      </c>
      <c r="AQ23" s="14" t="s">
        <v>570</v>
      </c>
      <c r="AR23" s="17">
        <v>0.0</v>
      </c>
      <c r="AS23" s="9" t="str">
        <f t="shared" si="9"/>
        <v>RDR-22</v>
      </c>
      <c r="AT23" s="8" t="s">
        <v>67</v>
      </c>
      <c r="AU23" s="14" t="s">
        <v>571</v>
      </c>
      <c r="AV23" s="17">
        <v>0.0</v>
      </c>
      <c r="AW23" s="9" t="str">
        <f t="shared" si="10"/>
        <v>RDR-22</v>
      </c>
      <c r="AX23" s="8" t="s">
        <v>67</v>
      </c>
      <c r="AY23" s="14" t="s">
        <v>572</v>
      </c>
      <c r="AZ23" s="17">
        <v>0.0</v>
      </c>
      <c r="BA23" s="9" t="str">
        <f t="shared" si="11"/>
        <v>RDR-22</v>
      </c>
      <c r="BB23" s="8" t="s">
        <v>67</v>
      </c>
      <c r="BC23" s="14" t="s">
        <v>573</v>
      </c>
      <c r="BD23" s="17">
        <v>0.0</v>
      </c>
      <c r="BE23" s="9" t="str">
        <f t="shared" si="12"/>
        <v>ROSOV-78</v>
      </c>
      <c r="BF23" s="28" t="s">
        <v>71</v>
      </c>
      <c r="BG23" s="14" t="s">
        <v>574</v>
      </c>
      <c r="BH23" s="17">
        <v>0.0</v>
      </c>
      <c r="BI23" s="9" t="str">
        <f t="shared" si="13"/>
        <v>ROSOV-78</v>
      </c>
      <c r="BJ23" s="18" t="s">
        <v>73</v>
      </c>
      <c r="BK23" s="27"/>
      <c r="BL23" s="27"/>
      <c r="BM23" s="27"/>
      <c r="BN23" s="27"/>
      <c r="BO23" s="27"/>
      <c r="BP23" s="27"/>
      <c r="BQ23" s="27"/>
      <c r="BR23" s="27"/>
      <c r="BS23" s="14"/>
      <c r="BT23" s="14"/>
      <c r="BU23" s="9" t="str">
        <f t="shared" si="14"/>
        <v/>
      </c>
      <c r="BV23" s="27"/>
      <c r="BW23" s="14"/>
      <c r="BX23" s="14"/>
      <c r="BY23" s="9" t="str">
        <f t="shared" si="15"/>
        <v/>
      </c>
      <c r="BZ23" s="27"/>
      <c r="CA23" s="21" t="s">
        <v>575</v>
      </c>
      <c r="CB23" s="17">
        <v>0.0</v>
      </c>
      <c r="CC23" s="19" t="str">
        <f t="shared" si="16"/>
        <v>ROSOV-79</v>
      </c>
      <c r="CD23" s="18" t="s">
        <v>79</v>
      </c>
      <c r="CE23" s="21" t="s">
        <v>576</v>
      </c>
      <c r="CF23" s="17">
        <v>0.0</v>
      </c>
      <c r="CG23" s="19" t="str">
        <f t="shared" si="17"/>
        <v>ROSOV-79</v>
      </c>
      <c r="CH23" s="18" t="s">
        <v>81</v>
      </c>
      <c r="CI23" s="21" t="s">
        <v>577</v>
      </c>
      <c r="CJ23" s="17">
        <v>0.0</v>
      </c>
      <c r="CK23" s="19" t="str">
        <f t="shared" si="18"/>
        <v>ROSOV-80</v>
      </c>
      <c r="CL23" s="18" t="s">
        <v>83</v>
      </c>
      <c r="CM23" s="21" t="s">
        <v>578</v>
      </c>
      <c r="CN23" s="20">
        <v>0.0</v>
      </c>
      <c r="CO23" s="19" t="str">
        <f t="shared" si="19"/>
        <v>ROSOV-80</v>
      </c>
      <c r="CP23" s="8" t="s">
        <v>85</v>
      </c>
      <c r="CQ23" s="21" t="s">
        <v>579</v>
      </c>
      <c r="CR23" s="20">
        <v>1.0</v>
      </c>
      <c r="CS23" s="9" t="str">
        <f t="shared" ref="CS23:CS32" si="27">MID(CQ23,5,8)</f>
        <v>MOV_701A</v>
      </c>
      <c r="CT23" s="8" t="s">
        <v>87</v>
      </c>
      <c r="CU23" s="30"/>
      <c r="CV23" s="14"/>
      <c r="CW23" s="9" t="str">
        <f t="shared" si="21"/>
        <v/>
      </c>
      <c r="CX23" s="27"/>
      <c r="CY23" s="22"/>
      <c r="CZ23" s="14"/>
      <c r="DA23" s="9" t="str">
        <f t="shared" si="22"/>
        <v/>
      </c>
      <c r="DB23" s="27"/>
      <c r="DC23" s="14"/>
      <c r="DD23" s="14"/>
      <c r="DE23" s="9" t="str">
        <f t="shared" si="23"/>
        <v/>
      </c>
      <c r="DF23" s="27"/>
      <c r="DG23" s="22" t="s">
        <v>580</v>
      </c>
      <c r="DH23" s="20">
        <v>0.0</v>
      </c>
      <c r="DI23" s="9" t="str">
        <f t="shared" ref="DI23:DI32" si="28">MID(DG23,5,8)</f>
        <v>MOV_703A</v>
      </c>
      <c r="DJ23" s="8" t="s">
        <v>95</v>
      </c>
      <c r="DK23" s="14"/>
      <c r="DL23" s="14"/>
      <c r="DM23" s="27" t="str">
        <f t="shared" si="25"/>
        <v/>
      </c>
      <c r="DN23" s="27"/>
      <c r="DO23" s="14"/>
      <c r="DP23" s="23"/>
      <c r="DQ23" s="27" t="str">
        <f t="shared" si="26"/>
        <v/>
      </c>
      <c r="DR23" s="27"/>
    </row>
    <row r="24">
      <c r="A24" s="8">
        <v>1216.0</v>
      </c>
      <c r="B24" s="8" t="s">
        <v>50</v>
      </c>
      <c r="C24" s="9" t="str">
        <f t="shared" si="1"/>
        <v>TK-23_ATF</v>
      </c>
      <c r="D24" s="10" t="s">
        <v>581</v>
      </c>
      <c r="E24" s="24" t="s">
        <v>52</v>
      </c>
      <c r="F24" s="10" t="s">
        <v>562</v>
      </c>
      <c r="G24" s="12" t="s">
        <v>54</v>
      </c>
      <c r="H24" s="8">
        <v>0.0</v>
      </c>
      <c r="I24" s="29"/>
      <c r="J24" s="29"/>
      <c r="K24" s="29"/>
      <c r="L24" s="29"/>
      <c r="M24" s="29"/>
      <c r="N24" s="29"/>
      <c r="O24" s="14" t="s">
        <v>582</v>
      </c>
      <c r="P24" s="27"/>
      <c r="Q24" s="9" t="str">
        <f t="shared" si="2"/>
        <v>TK-23</v>
      </c>
      <c r="R24" s="16" t="s">
        <v>58</v>
      </c>
      <c r="S24" s="14" t="s">
        <v>583</v>
      </c>
      <c r="T24" s="17">
        <v>0.0</v>
      </c>
      <c r="U24" s="9" t="str">
        <f t="shared" si="3"/>
        <v>TK-23</v>
      </c>
      <c r="V24" s="16" t="s">
        <v>58</v>
      </c>
      <c r="W24" s="14" t="s">
        <v>584</v>
      </c>
      <c r="X24" s="17">
        <v>0.0</v>
      </c>
      <c r="Y24" s="17" t="str">
        <f t="shared" si="4"/>
        <v>TK-23</v>
      </c>
      <c r="Z24" s="16" t="s">
        <v>58</v>
      </c>
      <c r="AA24" s="14" t="s">
        <v>585</v>
      </c>
      <c r="AB24" s="17">
        <v>0.0</v>
      </c>
      <c r="AC24" s="9" t="str">
        <f t="shared" si="5"/>
        <v>TK-23</v>
      </c>
      <c r="AD24" s="8" t="s">
        <v>58</v>
      </c>
      <c r="AE24" s="14" t="s">
        <v>586</v>
      </c>
      <c r="AF24" s="17">
        <v>0.0</v>
      </c>
      <c r="AG24" s="9" t="str">
        <f t="shared" si="6"/>
        <v>LSW-23</v>
      </c>
      <c r="AH24" s="8" t="s">
        <v>63</v>
      </c>
      <c r="AI24" s="14" t="s">
        <v>587</v>
      </c>
      <c r="AJ24" s="17">
        <v>0.0</v>
      </c>
      <c r="AK24" s="9" t="str">
        <f t="shared" si="7"/>
        <v>LSW-23</v>
      </c>
      <c r="AL24" s="8" t="s">
        <v>63</v>
      </c>
      <c r="AM24" s="14" t="s">
        <v>588</v>
      </c>
      <c r="AN24" s="17">
        <v>0.0</v>
      </c>
      <c r="AO24" s="9" t="str">
        <f t="shared" si="8"/>
        <v>LSW-23</v>
      </c>
      <c r="AP24" s="8" t="s">
        <v>63</v>
      </c>
      <c r="AQ24" s="14" t="s">
        <v>589</v>
      </c>
      <c r="AR24" s="17">
        <v>0.0</v>
      </c>
      <c r="AS24" s="9" t="str">
        <f t="shared" si="9"/>
        <v>RDR-23</v>
      </c>
      <c r="AT24" s="8" t="s">
        <v>67</v>
      </c>
      <c r="AU24" s="14" t="s">
        <v>590</v>
      </c>
      <c r="AV24" s="17">
        <v>0.0</v>
      </c>
      <c r="AW24" s="9" t="str">
        <f t="shared" si="10"/>
        <v>RDR-23</v>
      </c>
      <c r="AX24" s="8" t="s">
        <v>67</v>
      </c>
      <c r="AY24" s="14" t="s">
        <v>591</v>
      </c>
      <c r="AZ24" s="17">
        <v>0.0</v>
      </c>
      <c r="BA24" s="9" t="str">
        <f t="shared" si="11"/>
        <v>RDR-23</v>
      </c>
      <c r="BB24" s="8" t="s">
        <v>67</v>
      </c>
      <c r="BC24" s="14" t="s">
        <v>592</v>
      </c>
      <c r="BD24" s="17">
        <v>0.0</v>
      </c>
      <c r="BE24" s="9" t="str">
        <f t="shared" si="12"/>
        <v>ROSOV-81</v>
      </c>
      <c r="BF24" s="28" t="s">
        <v>71</v>
      </c>
      <c r="BG24" s="14" t="s">
        <v>593</v>
      </c>
      <c r="BH24" s="17">
        <v>0.0</v>
      </c>
      <c r="BI24" s="9" t="str">
        <f t="shared" si="13"/>
        <v>ROSOV-81</v>
      </c>
      <c r="BJ24" s="18" t="s">
        <v>73</v>
      </c>
      <c r="BK24" s="27"/>
      <c r="BL24" s="27"/>
      <c r="BM24" s="27"/>
      <c r="BN24" s="27"/>
      <c r="BO24" s="27"/>
      <c r="BP24" s="27"/>
      <c r="BQ24" s="27"/>
      <c r="BR24" s="27"/>
      <c r="BS24" s="14"/>
      <c r="BT24" s="14"/>
      <c r="BU24" s="9" t="str">
        <f t="shared" si="14"/>
        <v/>
      </c>
      <c r="BV24" s="27"/>
      <c r="BW24" s="14"/>
      <c r="BX24" s="14"/>
      <c r="BY24" s="9" t="str">
        <f t="shared" si="15"/>
        <v/>
      </c>
      <c r="BZ24" s="27"/>
      <c r="CA24" s="21" t="s">
        <v>594</v>
      </c>
      <c r="CB24" s="17">
        <v>0.0</v>
      </c>
      <c r="CC24" s="19" t="str">
        <f t="shared" si="16"/>
        <v>ROSOV-82</v>
      </c>
      <c r="CD24" s="18" t="s">
        <v>79</v>
      </c>
      <c r="CE24" s="21" t="s">
        <v>595</v>
      </c>
      <c r="CF24" s="17">
        <v>0.0</v>
      </c>
      <c r="CG24" s="19" t="str">
        <f t="shared" si="17"/>
        <v>ROSOV-82</v>
      </c>
      <c r="CH24" s="18" t="s">
        <v>81</v>
      </c>
      <c r="CI24" s="21" t="s">
        <v>596</v>
      </c>
      <c r="CJ24" s="17">
        <v>0.0</v>
      </c>
      <c r="CK24" s="19" t="str">
        <f t="shared" si="18"/>
        <v>ROSOV-83</v>
      </c>
      <c r="CL24" s="18" t="s">
        <v>83</v>
      </c>
      <c r="CM24" s="21" t="s">
        <v>597</v>
      </c>
      <c r="CN24" s="20">
        <v>0.0</v>
      </c>
      <c r="CO24" s="19" t="str">
        <f t="shared" si="19"/>
        <v>ROSOV-83</v>
      </c>
      <c r="CP24" s="8" t="s">
        <v>85</v>
      </c>
      <c r="CQ24" s="21" t="s">
        <v>598</v>
      </c>
      <c r="CR24" s="20">
        <v>1.0</v>
      </c>
      <c r="CS24" s="9" t="str">
        <f t="shared" si="27"/>
        <v>MOV_704A</v>
      </c>
      <c r="CT24" s="8" t="s">
        <v>87</v>
      </c>
      <c r="CU24" s="30"/>
      <c r="CV24" s="14"/>
      <c r="CW24" s="9" t="str">
        <f t="shared" si="21"/>
        <v/>
      </c>
      <c r="CX24" s="27"/>
      <c r="CY24" s="22"/>
      <c r="CZ24" s="14"/>
      <c r="DA24" s="9" t="str">
        <f t="shared" si="22"/>
        <v/>
      </c>
      <c r="DB24" s="27"/>
      <c r="DC24" s="14"/>
      <c r="DD24" s="14"/>
      <c r="DE24" s="9" t="str">
        <f t="shared" si="23"/>
        <v/>
      </c>
      <c r="DF24" s="27"/>
      <c r="DG24" s="22" t="s">
        <v>599</v>
      </c>
      <c r="DH24" s="20">
        <v>0.0</v>
      </c>
      <c r="DI24" s="9" t="str">
        <f t="shared" si="28"/>
        <v>MOV_706A</v>
      </c>
      <c r="DJ24" s="8" t="s">
        <v>95</v>
      </c>
      <c r="DK24" s="14"/>
      <c r="DL24" s="14"/>
      <c r="DM24" s="27" t="str">
        <f t="shared" si="25"/>
        <v/>
      </c>
      <c r="DN24" s="27"/>
      <c r="DO24" s="14"/>
      <c r="DP24" s="14"/>
      <c r="DQ24" s="27" t="str">
        <f t="shared" si="26"/>
        <v/>
      </c>
      <c r="DR24" s="27"/>
    </row>
    <row r="25">
      <c r="A25" s="8">
        <v>1216.0</v>
      </c>
      <c r="B25" s="8" t="s">
        <v>50</v>
      </c>
      <c r="C25" s="9" t="str">
        <f t="shared" si="1"/>
        <v>TK-24_ATF</v>
      </c>
      <c r="D25" s="10" t="s">
        <v>600</v>
      </c>
      <c r="E25" s="24" t="s">
        <v>52</v>
      </c>
      <c r="F25" s="10" t="s">
        <v>562</v>
      </c>
      <c r="G25" s="12" t="s">
        <v>54</v>
      </c>
      <c r="H25" s="8">
        <v>0.0</v>
      </c>
      <c r="I25" s="29"/>
      <c r="J25" s="29"/>
      <c r="K25" s="29"/>
      <c r="L25" s="29"/>
      <c r="M25" s="29"/>
      <c r="N25" s="29"/>
      <c r="O25" s="14" t="s">
        <v>601</v>
      </c>
      <c r="P25" s="27"/>
      <c r="Q25" s="9" t="str">
        <f t="shared" si="2"/>
        <v>TK-24</v>
      </c>
      <c r="R25" s="16" t="s">
        <v>58</v>
      </c>
      <c r="S25" s="14" t="s">
        <v>602</v>
      </c>
      <c r="T25" s="17">
        <v>0.0</v>
      </c>
      <c r="U25" s="9" t="str">
        <f t="shared" si="3"/>
        <v>TK-24</v>
      </c>
      <c r="V25" s="16" t="s">
        <v>58</v>
      </c>
      <c r="W25" s="14" t="s">
        <v>603</v>
      </c>
      <c r="X25" s="17">
        <v>0.0</v>
      </c>
      <c r="Y25" s="17" t="str">
        <f t="shared" si="4"/>
        <v>TK-24</v>
      </c>
      <c r="Z25" s="16" t="s">
        <v>58</v>
      </c>
      <c r="AA25" s="14" t="s">
        <v>604</v>
      </c>
      <c r="AB25" s="17">
        <v>0.0</v>
      </c>
      <c r="AC25" s="9" t="str">
        <f t="shared" si="5"/>
        <v>TK-24</v>
      </c>
      <c r="AD25" s="8" t="s">
        <v>58</v>
      </c>
      <c r="AE25" s="14" t="s">
        <v>605</v>
      </c>
      <c r="AF25" s="17">
        <v>0.0</v>
      </c>
      <c r="AG25" s="9" t="str">
        <f t="shared" si="6"/>
        <v>LSW-24</v>
      </c>
      <c r="AH25" s="8" t="s">
        <v>63</v>
      </c>
      <c r="AI25" s="14" t="s">
        <v>606</v>
      </c>
      <c r="AJ25" s="17">
        <v>0.0</v>
      </c>
      <c r="AK25" s="9" t="str">
        <f t="shared" si="7"/>
        <v>LSW-24</v>
      </c>
      <c r="AL25" s="8" t="s">
        <v>63</v>
      </c>
      <c r="AM25" s="14" t="s">
        <v>607</v>
      </c>
      <c r="AN25" s="17">
        <v>0.0</v>
      </c>
      <c r="AO25" s="9" t="str">
        <f t="shared" si="8"/>
        <v>LSW-24</v>
      </c>
      <c r="AP25" s="8" t="s">
        <v>63</v>
      </c>
      <c r="AQ25" s="14" t="s">
        <v>608</v>
      </c>
      <c r="AR25" s="17">
        <v>0.0</v>
      </c>
      <c r="AS25" s="9" t="str">
        <f t="shared" si="9"/>
        <v>RDR-24</v>
      </c>
      <c r="AT25" s="8" t="s">
        <v>67</v>
      </c>
      <c r="AU25" s="14" t="s">
        <v>609</v>
      </c>
      <c r="AV25" s="17">
        <v>0.0</v>
      </c>
      <c r="AW25" s="9" t="str">
        <f t="shared" si="10"/>
        <v>RDR-24</v>
      </c>
      <c r="AX25" s="8" t="s">
        <v>67</v>
      </c>
      <c r="AY25" s="14" t="s">
        <v>610</v>
      </c>
      <c r="AZ25" s="17">
        <v>0.0</v>
      </c>
      <c r="BA25" s="9" t="str">
        <f t="shared" si="11"/>
        <v>RDR-24</v>
      </c>
      <c r="BB25" s="8" t="s">
        <v>67</v>
      </c>
      <c r="BC25" s="14" t="s">
        <v>611</v>
      </c>
      <c r="BD25" s="17">
        <v>0.0</v>
      </c>
      <c r="BE25" s="9" t="str">
        <f t="shared" si="12"/>
        <v>ROSOV-84</v>
      </c>
      <c r="BF25" s="28" t="s">
        <v>71</v>
      </c>
      <c r="BG25" s="14" t="s">
        <v>612</v>
      </c>
      <c r="BH25" s="17">
        <v>0.0</v>
      </c>
      <c r="BI25" s="9" t="str">
        <f t="shared" si="13"/>
        <v>ROSOV-84</v>
      </c>
      <c r="BJ25" s="18" t="s">
        <v>73</v>
      </c>
      <c r="BK25" s="27"/>
      <c r="BL25" s="27"/>
      <c r="BM25" s="27"/>
      <c r="BN25" s="27"/>
      <c r="BO25" s="27"/>
      <c r="BP25" s="27"/>
      <c r="BQ25" s="27"/>
      <c r="BR25" s="27"/>
      <c r="BS25" s="14"/>
      <c r="BT25" s="14"/>
      <c r="BU25" s="9" t="str">
        <f t="shared" si="14"/>
        <v/>
      </c>
      <c r="BV25" s="27"/>
      <c r="BW25" s="14"/>
      <c r="BX25" s="14"/>
      <c r="BY25" s="9" t="str">
        <f t="shared" si="15"/>
        <v/>
      </c>
      <c r="BZ25" s="27"/>
      <c r="CA25" s="21" t="s">
        <v>613</v>
      </c>
      <c r="CB25" s="17">
        <v>0.0</v>
      </c>
      <c r="CC25" s="19" t="str">
        <f t="shared" si="16"/>
        <v>ROSOV-85</v>
      </c>
      <c r="CD25" s="18" t="s">
        <v>79</v>
      </c>
      <c r="CE25" s="21" t="s">
        <v>614</v>
      </c>
      <c r="CF25" s="17">
        <v>0.0</v>
      </c>
      <c r="CG25" s="19" t="str">
        <f t="shared" si="17"/>
        <v>ROSOV-85</v>
      </c>
      <c r="CH25" s="18" t="s">
        <v>81</v>
      </c>
      <c r="CI25" s="21" t="s">
        <v>615</v>
      </c>
      <c r="CJ25" s="17">
        <v>0.0</v>
      </c>
      <c r="CK25" s="19" t="str">
        <f t="shared" si="18"/>
        <v>ROSOV-86</v>
      </c>
      <c r="CL25" s="18" t="s">
        <v>83</v>
      </c>
      <c r="CM25" s="21" t="s">
        <v>616</v>
      </c>
      <c r="CN25" s="20">
        <v>0.0</v>
      </c>
      <c r="CO25" s="19" t="str">
        <f t="shared" si="19"/>
        <v>ROSOV-86</v>
      </c>
      <c r="CP25" s="8" t="s">
        <v>85</v>
      </c>
      <c r="CQ25" s="21" t="s">
        <v>617</v>
      </c>
      <c r="CR25" s="20">
        <v>1.0</v>
      </c>
      <c r="CS25" s="9" t="str">
        <f t="shared" si="27"/>
        <v>MOV_707A</v>
      </c>
      <c r="CT25" s="8" t="s">
        <v>87</v>
      </c>
      <c r="CU25" s="30"/>
      <c r="CV25" s="14"/>
      <c r="CW25" s="9" t="str">
        <f t="shared" si="21"/>
        <v/>
      </c>
      <c r="CX25" s="27"/>
      <c r="CY25" s="22"/>
      <c r="CZ25" s="14"/>
      <c r="DA25" s="9" t="str">
        <f t="shared" si="22"/>
        <v/>
      </c>
      <c r="DB25" s="27"/>
      <c r="DC25" s="14"/>
      <c r="DD25" s="14"/>
      <c r="DE25" s="9" t="str">
        <f t="shared" si="23"/>
        <v/>
      </c>
      <c r="DF25" s="27"/>
      <c r="DG25" s="22" t="s">
        <v>618</v>
      </c>
      <c r="DH25" s="20">
        <v>0.0</v>
      </c>
      <c r="DI25" s="9" t="str">
        <f t="shared" si="28"/>
        <v>MOV_709A</v>
      </c>
      <c r="DJ25" s="8" t="s">
        <v>95</v>
      </c>
      <c r="DK25" s="14"/>
      <c r="DL25" s="14"/>
      <c r="DM25" s="27" t="str">
        <f t="shared" si="25"/>
        <v/>
      </c>
      <c r="DN25" s="27"/>
      <c r="DO25" s="14"/>
      <c r="DP25" s="14"/>
      <c r="DQ25" s="27" t="str">
        <f t="shared" si="26"/>
        <v/>
      </c>
      <c r="DR25" s="27"/>
    </row>
    <row r="26">
      <c r="A26" s="8">
        <v>1216.0</v>
      </c>
      <c r="B26" s="8" t="s">
        <v>50</v>
      </c>
      <c r="C26" s="9" t="str">
        <f t="shared" si="1"/>
        <v>TK-25_ATF</v>
      </c>
      <c r="D26" s="10" t="s">
        <v>619</v>
      </c>
      <c r="E26" s="24" t="s">
        <v>52</v>
      </c>
      <c r="F26" s="10" t="s">
        <v>562</v>
      </c>
      <c r="G26" s="12" t="s">
        <v>54</v>
      </c>
      <c r="H26" s="8">
        <v>0.0</v>
      </c>
      <c r="I26" s="29"/>
      <c r="J26" s="29"/>
      <c r="K26" s="29"/>
      <c r="L26" s="29"/>
      <c r="M26" s="29"/>
      <c r="N26" s="29"/>
      <c r="O26" s="14" t="s">
        <v>620</v>
      </c>
      <c r="P26" s="27"/>
      <c r="Q26" s="9" t="str">
        <f t="shared" si="2"/>
        <v>TK-25</v>
      </c>
      <c r="R26" s="16" t="s">
        <v>58</v>
      </c>
      <c r="S26" s="14" t="s">
        <v>621</v>
      </c>
      <c r="T26" s="17">
        <v>0.0</v>
      </c>
      <c r="U26" s="9" t="str">
        <f t="shared" si="3"/>
        <v>TK-25</v>
      </c>
      <c r="V26" s="16" t="s">
        <v>58</v>
      </c>
      <c r="W26" s="14" t="s">
        <v>622</v>
      </c>
      <c r="X26" s="17">
        <v>0.0</v>
      </c>
      <c r="Y26" s="17" t="str">
        <f t="shared" si="4"/>
        <v>TK-25</v>
      </c>
      <c r="Z26" s="16" t="s">
        <v>58</v>
      </c>
      <c r="AA26" s="14" t="s">
        <v>623</v>
      </c>
      <c r="AB26" s="17">
        <v>0.0</v>
      </c>
      <c r="AC26" s="9" t="str">
        <f t="shared" si="5"/>
        <v>TK-25</v>
      </c>
      <c r="AD26" s="8" t="s">
        <v>58</v>
      </c>
      <c r="AE26" s="14" t="s">
        <v>624</v>
      </c>
      <c r="AF26" s="17">
        <v>0.0</v>
      </c>
      <c r="AG26" s="9" t="str">
        <f t="shared" si="6"/>
        <v>LSW-25</v>
      </c>
      <c r="AH26" s="8" t="s">
        <v>63</v>
      </c>
      <c r="AI26" s="14" t="s">
        <v>625</v>
      </c>
      <c r="AJ26" s="17">
        <v>0.0</v>
      </c>
      <c r="AK26" s="9" t="str">
        <f t="shared" si="7"/>
        <v>LSW-25</v>
      </c>
      <c r="AL26" s="8" t="s">
        <v>63</v>
      </c>
      <c r="AM26" s="14" t="s">
        <v>626</v>
      </c>
      <c r="AN26" s="17">
        <v>0.0</v>
      </c>
      <c r="AO26" s="9" t="str">
        <f t="shared" si="8"/>
        <v>LSW-25</v>
      </c>
      <c r="AP26" s="8" t="s">
        <v>63</v>
      </c>
      <c r="AQ26" s="14" t="s">
        <v>627</v>
      </c>
      <c r="AR26" s="17">
        <v>0.0</v>
      </c>
      <c r="AS26" s="9" t="str">
        <f t="shared" si="9"/>
        <v>RDR-25</v>
      </c>
      <c r="AT26" s="8" t="s">
        <v>67</v>
      </c>
      <c r="AU26" s="14" t="s">
        <v>628</v>
      </c>
      <c r="AV26" s="17">
        <v>0.0</v>
      </c>
      <c r="AW26" s="9" t="str">
        <f t="shared" si="10"/>
        <v>RDR-25</v>
      </c>
      <c r="AX26" s="8" t="s">
        <v>67</v>
      </c>
      <c r="AY26" s="14" t="s">
        <v>629</v>
      </c>
      <c r="AZ26" s="17">
        <v>0.0</v>
      </c>
      <c r="BA26" s="9" t="str">
        <f t="shared" si="11"/>
        <v>RDR-25</v>
      </c>
      <c r="BB26" s="8" t="s">
        <v>67</v>
      </c>
      <c r="BC26" s="14" t="s">
        <v>630</v>
      </c>
      <c r="BD26" s="17">
        <v>0.0</v>
      </c>
      <c r="BE26" s="9" t="str">
        <f t="shared" si="12"/>
        <v>ROSOV-87</v>
      </c>
      <c r="BF26" s="28" t="s">
        <v>71</v>
      </c>
      <c r="BG26" s="14" t="s">
        <v>631</v>
      </c>
      <c r="BH26" s="17">
        <v>0.0</v>
      </c>
      <c r="BI26" s="9" t="str">
        <f t="shared" si="13"/>
        <v>ROSOV-87</v>
      </c>
      <c r="BJ26" s="18" t="s">
        <v>73</v>
      </c>
      <c r="BK26" s="27"/>
      <c r="BL26" s="27"/>
      <c r="BM26" s="27"/>
      <c r="BN26" s="27"/>
      <c r="BO26" s="27"/>
      <c r="BP26" s="27"/>
      <c r="BQ26" s="27"/>
      <c r="BR26" s="27"/>
      <c r="BS26" s="14"/>
      <c r="BT26" s="14"/>
      <c r="BU26" s="9" t="str">
        <f t="shared" si="14"/>
        <v/>
      </c>
      <c r="BV26" s="27"/>
      <c r="BW26" s="14"/>
      <c r="BX26" s="14"/>
      <c r="BY26" s="9" t="str">
        <f t="shared" si="15"/>
        <v/>
      </c>
      <c r="BZ26" s="27"/>
      <c r="CA26" s="21" t="s">
        <v>632</v>
      </c>
      <c r="CB26" s="17">
        <v>0.0</v>
      </c>
      <c r="CC26" s="19" t="str">
        <f t="shared" si="16"/>
        <v>ROSOV-88</v>
      </c>
      <c r="CD26" s="18" t="s">
        <v>79</v>
      </c>
      <c r="CE26" s="21" t="s">
        <v>633</v>
      </c>
      <c r="CF26" s="17">
        <v>0.0</v>
      </c>
      <c r="CG26" s="19" t="str">
        <f t="shared" si="17"/>
        <v>ROSOV-88</v>
      </c>
      <c r="CH26" s="18" t="s">
        <v>81</v>
      </c>
      <c r="CI26" s="21" t="s">
        <v>634</v>
      </c>
      <c r="CJ26" s="17">
        <v>0.0</v>
      </c>
      <c r="CK26" s="19" t="str">
        <f t="shared" si="18"/>
        <v>ROSOV-89</v>
      </c>
      <c r="CL26" s="18" t="s">
        <v>83</v>
      </c>
      <c r="CM26" s="21" t="s">
        <v>635</v>
      </c>
      <c r="CN26" s="20">
        <v>0.0</v>
      </c>
      <c r="CO26" s="19" t="str">
        <f t="shared" si="19"/>
        <v>ROSOV-89</v>
      </c>
      <c r="CP26" s="8" t="s">
        <v>85</v>
      </c>
      <c r="CQ26" s="21" t="s">
        <v>636</v>
      </c>
      <c r="CR26" s="20">
        <v>1.0</v>
      </c>
      <c r="CS26" s="9" t="str">
        <f t="shared" si="27"/>
        <v>MOV_710A</v>
      </c>
      <c r="CT26" s="8" t="s">
        <v>87</v>
      </c>
      <c r="CU26" s="30"/>
      <c r="CV26" s="14"/>
      <c r="CW26" s="9" t="str">
        <f t="shared" si="21"/>
        <v/>
      </c>
      <c r="CX26" s="27"/>
      <c r="CY26" s="22"/>
      <c r="CZ26" s="14"/>
      <c r="DA26" s="9" t="str">
        <f t="shared" si="22"/>
        <v/>
      </c>
      <c r="DB26" s="27"/>
      <c r="DC26" s="14"/>
      <c r="DD26" s="14"/>
      <c r="DE26" s="9" t="str">
        <f t="shared" si="23"/>
        <v/>
      </c>
      <c r="DF26" s="27"/>
      <c r="DG26" s="22" t="s">
        <v>637</v>
      </c>
      <c r="DH26" s="20">
        <v>0.0</v>
      </c>
      <c r="DI26" s="9" t="str">
        <f t="shared" si="28"/>
        <v>MOV_712A</v>
      </c>
      <c r="DJ26" s="8" t="s">
        <v>95</v>
      </c>
      <c r="DK26" s="14"/>
      <c r="DL26" s="14"/>
      <c r="DM26" s="27" t="str">
        <f t="shared" si="25"/>
        <v/>
      </c>
      <c r="DN26" s="27"/>
      <c r="DO26" s="14"/>
      <c r="DP26" s="14"/>
      <c r="DQ26" s="27" t="str">
        <f t="shared" si="26"/>
        <v/>
      </c>
      <c r="DR26" s="27"/>
    </row>
    <row r="27">
      <c r="A27" s="8">
        <v>1216.0</v>
      </c>
      <c r="B27" s="8" t="s">
        <v>50</v>
      </c>
      <c r="C27" s="9" t="str">
        <f t="shared" si="1"/>
        <v>TK-26_NAPHTHA</v>
      </c>
      <c r="D27" s="10" t="s">
        <v>638</v>
      </c>
      <c r="E27" s="24" t="s">
        <v>52</v>
      </c>
      <c r="F27" s="10" t="s">
        <v>245</v>
      </c>
      <c r="G27" s="12" t="s">
        <v>54</v>
      </c>
      <c r="H27" s="8">
        <v>0.0</v>
      </c>
      <c r="I27" s="29"/>
      <c r="J27" s="29"/>
      <c r="K27" s="29"/>
      <c r="L27" s="29"/>
      <c r="M27" s="29"/>
      <c r="N27" s="29"/>
      <c r="O27" s="14" t="s">
        <v>639</v>
      </c>
      <c r="P27" s="27"/>
      <c r="Q27" s="9" t="str">
        <f t="shared" si="2"/>
        <v>TK-26</v>
      </c>
      <c r="R27" s="16" t="s">
        <v>58</v>
      </c>
      <c r="S27" s="14" t="s">
        <v>640</v>
      </c>
      <c r="T27" s="17">
        <v>0.0</v>
      </c>
      <c r="U27" s="9" t="str">
        <f t="shared" si="3"/>
        <v>TK-26</v>
      </c>
      <c r="V27" s="16" t="s">
        <v>58</v>
      </c>
      <c r="W27" s="14" t="s">
        <v>641</v>
      </c>
      <c r="X27" s="17">
        <v>0.0</v>
      </c>
      <c r="Y27" s="17" t="str">
        <f t="shared" si="4"/>
        <v>TK-26</v>
      </c>
      <c r="Z27" s="16" t="s">
        <v>58</v>
      </c>
      <c r="AA27" s="14" t="s">
        <v>642</v>
      </c>
      <c r="AB27" s="17">
        <v>0.0</v>
      </c>
      <c r="AC27" s="9" t="str">
        <f t="shared" si="5"/>
        <v>TK-26</v>
      </c>
      <c r="AD27" s="8" t="s">
        <v>58</v>
      </c>
      <c r="AE27" s="14" t="s">
        <v>643</v>
      </c>
      <c r="AF27" s="17">
        <v>0.0</v>
      </c>
      <c r="AG27" s="9" t="str">
        <f t="shared" si="6"/>
        <v>LSW-26</v>
      </c>
      <c r="AH27" s="8" t="s">
        <v>63</v>
      </c>
      <c r="AI27" s="14" t="s">
        <v>644</v>
      </c>
      <c r="AJ27" s="17">
        <v>0.0</v>
      </c>
      <c r="AK27" s="9" t="str">
        <f t="shared" si="7"/>
        <v>LSW-26</v>
      </c>
      <c r="AL27" s="8" t="s">
        <v>63</v>
      </c>
      <c r="AM27" s="14" t="s">
        <v>645</v>
      </c>
      <c r="AN27" s="17">
        <v>0.0</v>
      </c>
      <c r="AO27" s="9" t="str">
        <f t="shared" si="8"/>
        <v>LSW-26</v>
      </c>
      <c r="AP27" s="8" t="s">
        <v>63</v>
      </c>
      <c r="AQ27" s="14" t="s">
        <v>646</v>
      </c>
      <c r="AR27" s="17">
        <v>0.0</v>
      </c>
      <c r="AS27" s="9" t="str">
        <f t="shared" si="9"/>
        <v>RDR-26</v>
      </c>
      <c r="AT27" s="8" t="s">
        <v>67</v>
      </c>
      <c r="AU27" s="14" t="s">
        <v>647</v>
      </c>
      <c r="AV27" s="17">
        <v>0.0</v>
      </c>
      <c r="AW27" s="9" t="str">
        <f t="shared" si="10"/>
        <v>RDR-26</v>
      </c>
      <c r="AX27" s="8" t="s">
        <v>67</v>
      </c>
      <c r="AY27" s="14" t="s">
        <v>648</v>
      </c>
      <c r="AZ27" s="17">
        <v>0.0</v>
      </c>
      <c r="BA27" s="9" t="str">
        <f t="shared" si="11"/>
        <v>RDR-26</v>
      </c>
      <c r="BB27" s="8" t="s">
        <v>67</v>
      </c>
      <c r="BC27" s="14" t="s">
        <v>649</v>
      </c>
      <c r="BD27" s="17">
        <v>0.0</v>
      </c>
      <c r="BE27" s="9" t="str">
        <f t="shared" si="12"/>
        <v>ROSOV-90</v>
      </c>
      <c r="BF27" s="28" t="s">
        <v>71</v>
      </c>
      <c r="BG27" s="14" t="s">
        <v>650</v>
      </c>
      <c r="BH27" s="17">
        <v>0.0</v>
      </c>
      <c r="BI27" s="9" t="str">
        <f t="shared" si="13"/>
        <v>ROSOV-90</v>
      </c>
      <c r="BJ27" s="18" t="s">
        <v>73</v>
      </c>
      <c r="BK27" s="27"/>
      <c r="BL27" s="27"/>
      <c r="BM27" s="27"/>
      <c r="BN27" s="27"/>
      <c r="BO27" s="27"/>
      <c r="BP27" s="27"/>
      <c r="BQ27" s="27"/>
      <c r="BR27" s="27"/>
      <c r="BS27" s="10" t="s">
        <v>651</v>
      </c>
      <c r="BT27" s="20">
        <v>0.0</v>
      </c>
      <c r="BU27" s="9" t="str">
        <f t="shared" si="14"/>
        <v>ROSOV-91</v>
      </c>
      <c r="BV27" s="8" t="s">
        <v>75</v>
      </c>
      <c r="BW27" s="10" t="s">
        <v>652</v>
      </c>
      <c r="BX27" s="20">
        <v>0.0</v>
      </c>
      <c r="BY27" s="9" t="str">
        <f t="shared" si="15"/>
        <v>ROSOV-91</v>
      </c>
      <c r="BZ27" s="18" t="s">
        <v>77</v>
      </c>
      <c r="CA27" s="21" t="s">
        <v>653</v>
      </c>
      <c r="CB27" s="17">
        <v>0.0</v>
      </c>
      <c r="CC27" s="19" t="str">
        <f t="shared" si="16"/>
        <v>ROSOV-92</v>
      </c>
      <c r="CD27" s="18" t="s">
        <v>79</v>
      </c>
      <c r="CE27" s="21" t="s">
        <v>654</v>
      </c>
      <c r="CF27" s="17">
        <v>0.0</v>
      </c>
      <c r="CG27" s="19" t="str">
        <f t="shared" si="17"/>
        <v>ROSOV-92</v>
      </c>
      <c r="CH27" s="18" t="s">
        <v>81</v>
      </c>
      <c r="CI27" s="21" t="s">
        <v>655</v>
      </c>
      <c r="CJ27" s="17">
        <v>0.0</v>
      </c>
      <c r="CK27" s="19" t="str">
        <f t="shared" si="18"/>
        <v>ROSOV-93</v>
      </c>
      <c r="CL27" s="18" t="s">
        <v>83</v>
      </c>
      <c r="CM27" s="21" t="s">
        <v>656</v>
      </c>
      <c r="CN27" s="20">
        <v>0.0</v>
      </c>
      <c r="CO27" s="19" t="str">
        <f t="shared" si="19"/>
        <v>ROSOV-93</v>
      </c>
      <c r="CP27" s="8" t="s">
        <v>85</v>
      </c>
      <c r="CQ27" s="14"/>
      <c r="CR27" s="14"/>
      <c r="CS27" s="9" t="str">
        <f t="shared" si="27"/>
        <v/>
      </c>
      <c r="CT27" s="27"/>
      <c r="CU27" s="22" t="s">
        <v>657</v>
      </c>
      <c r="CV27" s="20">
        <v>1.0</v>
      </c>
      <c r="CW27" s="9" t="str">
        <f t="shared" si="21"/>
        <v>MOV_317A</v>
      </c>
      <c r="CX27" s="8" t="s">
        <v>89</v>
      </c>
      <c r="CY27" s="22"/>
      <c r="CZ27" s="14"/>
      <c r="DA27" s="9" t="str">
        <f t="shared" si="22"/>
        <v/>
      </c>
      <c r="DB27" s="27"/>
      <c r="DC27" s="14"/>
      <c r="DD27" s="14"/>
      <c r="DE27" s="9" t="str">
        <f t="shared" si="23"/>
        <v/>
      </c>
      <c r="DF27" s="27"/>
      <c r="DG27" s="22" t="s">
        <v>658</v>
      </c>
      <c r="DH27" s="20">
        <v>0.0</v>
      </c>
      <c r="DI27" s="9" t="str">
        <f t="shared" si="28"/>
        <v>MOV_320A</v>
      </c>
      <c r="DJ27" s="8" t="s">
        <v>95</v>
      </c>
      <c r="DK27" s="14" t="s">
        <v>659</v>
      </c>
      <c r="DL27" s="17">
        <v>0.0</v>
      </c>
      <c r="DM27" s="27" t="str">
        <f t="shared" si="25"/>
        <v>RIMSEAL07</v>
      </c>
      <c r="DN27" s="28" t="s">
        <v>270</v>
      </c>
      <c r="DO27" s="14" t="s">
        <v>660</v>
      </c>
      <c r="DP27" s="20">
        <v>0.0</v>
      </c>
      <c r="DQ27" s="27" t="str">
        <f t="shared" si="26"/>
        <v>RIMSEAL07</v>
      </c>
      <c r="DR27" s="28" t="s">
        <v>272</v>
      </c>
    </row>
    <row r="28">
      <c r="A28" s="8">
        <v>1216.0</v>
      </c>
      <c r="B28" s="8" t="s">
        <v>50</v>
      </c>
      <c r="C28" s="9" t="str">
        <f t="shared" si="1"/>
        <v>TK-27_INTERFACE NAPHTHA RICH</v>
      </c>
      <c r="D28" s="10" t="s">
        <v>661</v>
      </c>
      <c r="E28" s="24" t="s">
        <v>52</v>
      </c>
      <c r="F28" s="10" t="s">
        <v>662</v>
      </c>
      <c r="G28" s="12" t="s">
        <v>54</v>
      </c>
      <c r="H28" s="8">
        <v>0.0</v>
      </c>
      <c r="I28" s="29"/>
      <c r="J28" s="29"/>
      <c r="K28" s="29"/>
      <c r="L28" s="29"/>
      <c r="M28" s="29"/>
      <c r="N28" s="29"/>
      <c r="O28" s="14" t="s">
        <v>663</v>
      </c>
      <c r="P28" s="27"/>
      <c r="Q28" s="9" t="str">
        <f t="shared" si="2"/>
        <v>TK-27</v>
      </c>
      <c r="R28" s="16" t="s">
        <v>58</v>
      </c>
      <c r="S28" s="14" t="s">
        <v>664</v>
      </c>
      <c r="T28" s="17">
        <v>0.0</v>
      </c>
      <c r="U28" s="9" t="str">
        <f t="shared" si="3"/>
        <v>TK-27</v>
      </c>
      <c r="V28" s="16" t="s">
        <v>58</v>
      </c>
      <c r="W28" s="14" t="s">
        <v>665</v>
      </c>
      <c r="X28" s="17">
        <v>0.0</v>
      </c>
      <c r="Y28" s="17" t="str">
        <f t="shared" si="4"/>
        <v>TK-27</v>
      </c>
      <c r="Z28" s="16" t="s">
        <v>58</v>
      </c>
      <c r="AA28" s="14" t="s">
        <v>666</v>
      </c>
      <c r="AB28" s="17">
        <v>0.0</v>
      </c>
      <c r="AC28" s="9" t="str">
        <f t="shared" si="5"/>
        <v>TK-27</v>
      </c>
      <c r="AD28" s="8" t="s">
        <v>58</v>
      </c>
      <c r="AE28" s="14" t="s">
        <v>667</v>
      </c>
      <c r="AF28" s="17">
        <v>0.0</v>
      </c>
      <c r="AG28" s="9" t="str">
        <f t="shared" si="6"/>
        <v>LSW-27</v>
      </c>
      <c r="AH28" s="8" t="s">
        <v>63</v>
      </c>
      <c r="AI28" s="14" t="s">
        <v>668</v>
      </c>
      <c r="AJ28" s="17">
        <v>0.0</v>
      </c>
      <c r="AK28" s="9" t="str">
        <f t="shared" si="7"/>
        <v>LSW-27</v>
      </c>
      <c r="AL28" s="8" t="s">
        <v>63</v>
      </c>
      <c r="AM28" s="14" t="s">
        <v>669</v>
      </c>
      <c r="AN28" s="17">
        <v>0.0</v>
      </c>
      <c r="AO28" s="9" t="str">
        <f t="shared" si="8"/>
        <v>LSW-27</v>
      </c>
      <c r="AP28" s="8" t="s">
        <v>63</v>
      </c>
      <c r="AQ28" s="14" t="s">
        <v>670</v>
      </c>
      <c r="AR28" s="17">
        <v>0.0</v>
      </c>
      <c r="AS28" s="9" t="str">
        <f t="shared" si="9"/>
        <v>RDR-27</v>
      </c>
      <c r="AT28" s="8" t="s">
        <v>67</v>
      </c>
      <c r="AU28" s="14" t="s">
        <v>671</v>
      </c>
      <c r="AV28" s="17">
        <v>0.0</v>
      </c>
      <c r="AW28" s="9" t="str">
        <f t="shared" si="10"/>
        <v>RDR-27</v>
      </c>
      <c r="AX28" s="8" t="s">
        <v>67</v>
      </c>
      <c r="AY28" s="14" t="s">
        <v>672</v>
      </c>
      <c r="AZ28" s="17">
        <v>0.0</v>
      </c>
      <c r="BA28" s="9" t="str">
        <f t="shared" si="11"/>
        <v>RDR-27</v>
      </c>
      <c r="BB28" s="8" t="s">
        <v>67</v>
      </c>
      <c r="BC28" s="14" t="s">
        <v>673</v>
      </c>
      <c r="BD28" s="17">
        <v>0.0</v>
      </c>
      <c r="BE28" s="9" t="str">
        <f t="shared" si="12"/>
        <v>ROSOV-94</v>
      </c>
      <c r="BF28" s="28" t="s">
        <v>71</v>
      </c>
      <c r="BG28" s="14" t="s">
        <v>674</v>
      </c>
      <c r="BH28" s="17">
        <v>0.0</v>
      </c>
      <c r="BI28" s="9" t="str">
        <f t="shared" si="13"/>
        <v>ROSOV-94</v>
      </c>
      <c r="BJ28" s="18" t="s">
        <v>73</v>
      </c>
      <c r="BK28" s="27"/>
      <c r="BL28" s="27"/>
      <c r="BM28" s="27"/>
      <c r="BN28" s="27"/>
      <c r="BO28" s="27"/>
      <c r="BP28" s="27"/>
      <c r="BQ28" s="27"/>
      <c r="BR28" s="27"/>
      <c r="BS28" s="10" t="s">
        <v>675</v>
      </c>
      <c r="BT28" s="20">
        <v>0.0</v>
      </c>
      <c r="BU28" s="9" t="str">
        <f t="shared" si="14"/>
        <v>ROSOV-95</v>
      </c>
      <c r="BV28" s="8" t="s">
        <v>75</v>
      </c>
      <c r="BW28" s="10" t="s">
        <v>676</v>
      </c>
      <c r="BX28" s="20">
        <v>0.0</v>
      </c>
      <c r="BY28" s="9" t="str">
        <f t="shared" si="15"/>
        <v>ROSOV-95</v>
      </c>
      <c r="BZ28" s="18" t="s">
        <v>77</v>
      </c>
      <c r="CA28" s="21" t="s">
        <v>677</v>
      </c>
      <c r="CB28" s="17">
        <v>0.0</v>
      </c>
      <c r="CC28" s="19" t="str">
        <f t="shared" si="16"/>
        <v>ROSOV-96</v>
      </c>
      <c r="CD28" s="18" t="s">
        <v>79</v>
      </c>
      <c r="CE28" s="21" t="s">
        <v>678</v>
      </c>
      <c r="CF28" s="17">
        <v>0.0</v>
      </c>
      <c r="CG28" s="19" t="str">
        <f t="shared" si="17"/>
        <v>ROSOV-96</v>
      </c>
      <c r="CH28" s="18" t="s">
        <v>81</v>
      </c>
      <c r="CI28" s="21" t="s">
        <v>679</v>
      </c>
      <c r="CJ28" s="17">
        <v>0.0</v>
      </c>
      <c r="CK28" s="19" t="str">
        <f t="shared" si="18"/>
        <v>ROSOV-97</v>
      </c>
      <c r="CL28" s="18" t="s">
        <v>83</v>
      </c>
      <c r="CM28" s="21" t="s">
        <v>680</v>
      </c>
      <c r="CN28" s="20">
        <v>0.0</v>
      </c>
      <c r="CO28" s="19" t="str">
        <f t="shared" si="19"/>
        <v>ROSOV-97</v>
      </c>
      <c r="CP28" s="8" t="s">
        <v>85</v>
      </c>
      <c r="CQ28" s="14"/>
      <c r="CR28" s="14"/>
      <c r="CS28" s="9" t="str">
        <f t="shared" si="27"/>
        <v/>
      </c>
      <c r="CT28" s="27"/>
      <c r="CU28" s="22" t="s">
        <v>681</v>
      </c>
      <c r="CV28" s="20">
        <v>1.0</v>
      </c>
      <c r="CW28" s="9" t="str">
        <f t="shared" si="21"/>
        <v>MOV_417A</v>
      </c>
      <c r="CX28" s="8" t="s">
        <v>89</v>
      </c>
      <c r="CY28" s="22" t="s">
        <v>682</v>
      </c>
      <c r="CZ28" s="20">
        <v>1.0</v>
      </c>
      <c r="DA28" s="9" t="str">
        <f t="shared" si="22"/>
        <v>MOV_414</v>
      </c>
      <c r="DB28" s="8" t="s">
        <v>91</v>
      </c>
      <c r="DC28" s="21" t="s">
        <v>683</v>
      </c>
      <c r="DD28" s="20">
        <v>0.0</v>
      </c>
      <c r="DE28" s="9" t="str">
        <f t="shared" si="23"/>
        <v>MOV_414</v>
      </c>
      <c r="DF28" s="8" t="s">
        <v>93</v>
      </c>
      <c r="DG28" s="22" t="s">
        <v>684</v>
      </c>
      <c r="DH28" s="20">
        <v>0.0</v>
      </c>
      <c r="DI28" s="9" t="str">
        <f t="shared" si="28"/>
        <v>MOV_420A</v>
      </c>
      <c r="DJ28" s="8" t="s">
        <v>95</v>
      </c>
      <c r="DK28" s="14" t="s">
        <v>685</v>
      </c>
      <c r="DL28" s="17">
        <v>0.0</v>
      </c>
      <c r="DM28" s="27" t="str">
        <f t="shared" si="25"/>
        <v>RIMSEAL08</v>
      </c>
      <c r="DN28" s="28" t="s">
        <v>270</v>
      </c>
      <c r="DO28" s="14" t="s">
        <v>686</v>
      </c>
      <c r="DP28" s="20">
        <v>0.0</v>
      </c>
      <c r="DQ28" s="27" t="str">
        <f t="shared" si="26"/>
        <v>RIMSEAL08</v>
      </c>
      <c r="DR28" s="28" t="s">
        <v>272</v>
      </c>
    </row>
    <row r="29">
      <c r="A29" s="8">
        <v>1216.0</v>
      </c>
      <c r="B29" s="8" t="s">
        <v>50</v>
      </c>
      <c r="C29" s="9" t="str">
        <f t="shared" si="1"/>
        <v>TK-28_INTERFACE HSD RICH</v>
      </c>
      <c r="D29" s="10" t="s">
        <v>687</v>
      </c>
      <c r="E29" s="24" t="s">
        <v>52</v>
      </c>
      <c r="F29" s="10" t="s">
        <v>688</v>
      </c>
      <c r="G29" s="12" t="s">
        <v>54</v>
      </c>
      <c r="H29" s="8">
        <v>0.0</v>
      </c>
      <c r="I29" s="29"/>
      <c r="J29" s="29"/>
      <c r="K29" s="29"/>
      <c r="L29" s="29"/>
      <c r="M29" s="29"/>
      <c r="N29" s="29"/>
      <c r="O29" s="14" t="s">
        <v>689</v>
      </c>
      <c r="P29" s="27"/>
      <c r="Q29" s="9" t="str">
        <f t="shared" si="2"/>
        <v>TK-28</v>
      </c>
      <c r="R29" s="16" t="s">
        <v>58</v>
      </c>
      <c r="S29" s="14" t="s">
        <v>690</v>
      </c>
      <c r="T29" s="17">
        <v>0.0</v>
      </c>
      <c r="U29" s="9" t="str">
        <f t="shared" si="3"/>
        <v>TK-28</v>
      </c>
      <c r="V29" s="16" t="s">
        <v>58</v>
      </c>
      <c r="W29" s="14" t="s">
        <v>691</v>
      </c>
      <c r="X29" s="17">
        <v>0.0</v>
      </c>
      <c r="Y29" s="17" t="str">
        <f t="shared" si="4"/>
        <v>TK-28</v>
      </c>
      <c r="Z29" s="16" t="s">
        <v>58</v>
      </c>
      <c r="AA29" s="14" t="s">
        <v>692</v>
      </c>
      <c r="AB29" s="17">
        <v>0.0</v>
      </c>
      <c r="AC29" s="9" t="str">
        <f t="shared" si="5"/>
        <v>TK-28</v>
      </c>
      <c r="AD29" s="8" t="s">
        <v>58</v>
      </c>
      <c r="AE29" s="14" t="s">
        <v>693</v>
      </c>
      <c r="AF29" s="17">
        <v>0.0</v>
      </c>
      <c r="AG29" s="9" t="str">
        <f t="shared" si="6"/>
        <v>LSW-28</v>
      </c>
      <c r="AH29" s="8" t="s">
        <v>63</v>
      </c>
      <c r="AI29" s="14" t="s">
        <v>694</v>
      </c>
      <c r="AJ29" s="17">
        <v>0.0</v>
      </c>
      <c r="AK29" s="9" t="str">
        <f t="shared" si="7"/>
        <v>LSW-28</v>
      </c>
      <c r="AL29" s="8" t="s">
        <v>63</v>
      </c>
      <c r="AM29" s="14" t="s">
        <v>695</v>
      </c>
      <c r="AN29" s="17">
        <v>0.0</v>
      </c>
      <c r="AO29" s="9" t="str">
        <f t="shared" si="8"/>
        <v>LSW-28</v>
      </c>
      <c r="AP29" s="8" t="s">
        <v>63</v>
      </c>
      <c r="AQ29" s="14" t="s">
        <v>696</v>
      </c>
      <c r="AR29" s="17">
        <v>0.0</v>
      </c>
      <c r="AS29" s="9" t="str">
        <f t="shared" si="9"/>
        <v>RDR-28</v>
      </c>
      <c r="AT29" s="8" t="s">
        <v>67</v>
      </c>
      <c r="AU29" s="14" t="s">
        <v>697</v>
      </c>
      <c r="AV29" s="17">
        <v>0.0</v>
      </c>
      <c r="AW29" s="9" t="str">
        <f t="shared" si="10"/>
        <v>RDR-28</v>
      </c>
      <c r="AX29" s="8" t="s">
        <v>67</v>
      </c>
      <c r="AY29" s="14" t="s">
        <v>698</v>
      </c>
      <c r="AZ29" s="17">
        <v>0.0</v>
      </c>
      <c r="BA29" s="9" t="str">
        <f t="shared" si="11"/>
        <v>RDR-28</v>
      </c>
      <c r="BB29" s="8" t="s">
        <v>67</v>
      </c>
      <c r="BC29" s="14" t="s">
        <v>699</v>
      </c>
      <c r="BD29" s="17">
        <v>0.0</v>
      </c>
      <c r="BE29" s="9" t="str">
        <f t="shared" si="12"/>
        <v>ROSOV-98</v>
      </c>
      <c r="BF29" s="28" t="s">
        <v>71</v>
      </c>
      <c r="BG29" s="14" t="s">
        <v>700</v>
      </c>
      <c r="BH29" s="17">
        <v>0.0</v>
      </c>
      <c r="BI29" s="9" t="str">
        <f t="shared" si="13"/>
        <v>ROSOV-98</v>
      </c>
      <c r="BJ29" s="18" t="s">
        <v>73</v>
      </c>
      <c r="BK29" s="27"/>
      <c r="BL29" s="27"/>
      <c r="BM29" s="27"/>
      <c r="BN29" s="27"/>
      <c r="BO29" s="27"/>
      <c r="BP29" s="27"/>
      <c r="BQ29" s="27"/>
      <c r="BR29" s="27"/>
      <c r="BS29" s="10" t="s">
        <v>701</v>
      </c>
      <c r="BT29" s="20">
        <v>0.0</v>
      </c>
      <c r="BU29" s="9" t="str">
        <f t="shared" si="14"/>
        <v>ROSOV-99</v>
      </c>
      <c r="BV29" s="8" t="s">
        <v>75</v>
      </c>
      <c r="BW29" s="10" t="s">
        <v>702</v>
      </c>
      <c r="BX29" s="20">
        <v>0.0</v>
      </c>
      <c r="BY29" s="9" t="str">
        <f t="shared" si="15"/>
        <v>ROSOV-99</v>
      </c>
      <c r="BZ29" s="18" t="s">
        <v>77</v>
      </c>
      <c r="CA29" s="21" t="s">
        <v>703</v>
      </c>
      <c r="CB29" s="17">
        <v>0.0</v>
      </c>
      <c r="CC29" s="19" t="str">
        <f t="shared" ref="CC29:CC33" si="29">MID(CA29,5,9)</f>
        <v>ROSOV-100</v>
      </c>
      <c r="CD29" s="18" t="s">
        <v>79</v>
      </c>
      <c r="CE29" s="21" t="s">
        <v>704</v>
      </c>
      <c r="CF29" s="17">
        <v>0.0</v>
      </c>
      <c r="CG29" s="19" t="str">
        <f t="shared" ref="CG29:CG33" si="30">MID(CE29,5,9)</f>
        <v>ROSOV-100</v>
      </c>
      <c r="CH29" s="18" t="s">
        <v>81</v>
      </c>
      <c r="CI29" s="21" t="s">
        <v>705</v>
      </c>
      <c r="CJ29" s="17">
        <v>0.0</v>
      </c>
      <c r="CK29" s="19" t="str">
        <f t="shared" ref="CK29:CK33" si="31">MID(CI29,5,9)</f>
        <v>ROSOV-101</v>
      </c>
      <c r="CL29" s="18" t="s">
        <v>83</v>
      </c>
      <c r="CM29" s="21" t="s">
        <v>706</v>
      </c>
      <c r="CN29" s="20">
        <v>0.0</v>
      </c>
      <c r="CO29" s="19" t="str">
        <f t="shared" ref="CO29:CO33" si="32">MID(CM29,5,9)</f>
        <v>ROSOV-101</v>
      </c>
      <c r="CP29" s="8" t="s">
        <v>85</v>
      </c>
      <c r="CQ29" s="21" t="s">
        <v>707</v>
      </c>
      <c r="CR29" s="20">
        <v>1.0</v>
      </c>
      <c r="CS29" s="9" t="str">
        <f t="shared" si="27"/>
        <v>MOV_117A</v>
      </c>
      <c r="CT29" s="8" t="s">
        <v>87</v>
      </c>
      <c r="CU29" s="22" t="s">
        <v>708</v>
      </c>
      <c r="CV29" s="20">
        <v>1.0</v>
      </c>
      <c r="CW29" s="9" t="str">
        <f t="shared" si="21"/>
        <v>MOV_121A</v>
      </c>
      <c r="CX29" s="8" t="s">
        <v>89</v>
      </c>
      <c r="CY29" s="22"/>
      <c r="CZ29" s="14"/>
      <c r="DA29" s="9" t="str">
        <f t="shared" si="22"/>
        <v/>
      </c>
      <c r="DB29" s="27"/>
      <c r="DC29" s="14"/>
      <c r="DD29" s="14"/>
      <c r="DE29" s="9" t="str">
        <f t="shared" si="23"/>
        <v/>
      </c>
      <c r="DF29" s="27"/>
      <c r="DG29" s="22" t="s">
        <v>709</v>
      </c>
      <c r="DH29" s="20">
        <v>0.0</v>
      </c>
      <c r="DI29" s="9" t="str">
        <f t="shared" si="28"/>
        <v>MOV_120A</v>
      </c>
      <c r="DJ29" s="8" t="s">
        <v>95</v>
      </c>
      <c r="DK29" s="14"/>
      <c r="DL29" s="14"/>
      <c r="DM29" s="27" t="str">
        <f t="shared" si="25"/>
        <v/>
      </c>
      <c r="DN29" s="27"/>
      <c r="DO29" s="14"/>
      <c r="DP29" s="23"/>
      <c r="DQ29" s="27" t="str">
        <f t="shared" si="26"/>
        <v/>
      </c>
      <c r="DR29" s="27"/>
    </row>
    <row r="30">
      <c r="A30" s="8">
        <v>1216.0</v>
      </c>
      <c r="B30" s="8" t="s">
        <v>50</v>
      </c>
      <c r="C30" s="9" t="str">
        <f t="shared" si="1"/>
        <v>TK-29_BS VI HSD</v>
      </c>
      <c r="D30" s="10" t="s">
        <v>710</v>
      </c>
      <c r="E30" s="24" t="s">
        <v>52</v>
      </c>
      <c r="F30" s="10" t="s">
        <v>53</v>
      </c>
      <c r="G30" s="12" t="s">
        <v>54</v>
      </c>
      <c r="H30" s="8">
        <v>0.0</v>
      </c>
      <c r="I30" s="29"/>
      <c r="J30" s="29"/>
      <c r="K30" s="29"/>
      <c r="L30" s="29"/>
      <c r="M30" s="29"/>
      <c r="N30" s="29"/>
      <c r="O30" s="14" t="s">
        <v>711</v>
      </c>
      <c r="P30" s="27"/>
      <c r="Q30" s="9" t="str">
        <f t="shared" si="2"/>
        <v>TK-29</v>
      </c>
      <c r="R30" s="16" t="s">
        <v>58</v>
      </c>
      <c r="S30" s="14" t="s">
        <v>712</v>
      </c>
      <c r="T30" s="17">
        <v>0.0</v>
      </c>
      <c r="U30" s="9" t="str">
        <f t="shared" si="3"/>
        <v>TK-29</v>
      </c>
      <c r="V30" s="16" t="s">
        <v>58</v>
      </c>
      <c r="W30" s="14" t="s">
        <v>713</v>
      </c>
      <c r="X30" s="17">
        <v>0.0</v>
      </c>
      <c r="Y30" s="17" t="str">
        <f t="shared" si="4"/>
        <v>TK-29</v>
      </c>
      <c r="Z30" s="16" t="s">
        <v>58</v>
      </c>
      <c r="AA30" s="14" t="s">
        <v>714</v>
      </c>
      <c r="AB30" s="17">
        <v>0.0</v>
      </c>
      <c r="AC30" s="9" t="str">
        <f t="shared" si="5"/>
        <v>TK-29</v>
      </c>
      <c r="AD30" s="8" t="s">
        <v>58</v>
      </c>
      <c r="AE30" s="14" t="s">
        <v>715</v>
      </c>
      <c r="AF30" s="17">
        <v>0.0</v>
      </c>
      <c r="AG30" s="9" t="str">
        <f t="shared" si="6"/>
        <v>LSW-29</v>
      </c>
      <c r="AH30" s="8" t="s">
        <v>63</v>
      </c>
      <c r="AI30" s="14" t="s">
        <v>716</v>
      </c>
      <c r="AJ30" s="17">
        <v>0.0</v>
      </c>
      <c r="AK30" s="9" t="str">
        <f t="shared" si="7"/>
        <v>LSW-29</v>
      </c>
      <c r="AL30" s="8" t="s">
        <v>63</v>
      </c>
      <c r="AM30" s="14" t="s">
        <v>717</v>
      </c>
      <c r="AN30" s="17">
        <v>0.0</v>
      </c>
      <c r="AO30" s="9" t="str">
        <f t="shared" si="8"/>
        <v>LSW-29</v>
      </c>
      <c r="AP30" s="8" t="s">
        <v>63</v>
      </c>
      <c r="AQ30" s="14" t="s">
        <v>718</v>
      </c>
      <c r="AR30" s="17">
        <v>0.0</v>
      </c>
      <c r="AS30" s="9" t="str">
        <f t="shared" si="9"/>
        <v>RDR-29</v>
      </c>
      <c r="AT30" s="8" t="s">
        <v>67</v>
      </c>
      <c r="AU30" s="14" t="s">
        <v>719</v>
      </c>
      <c r="AV30" s="17">
        <v>0.0</v>
      </c>
      <c r="AW30" s="9" t="str">
        <f t="shared" si="10"/>
        <v>RDR-29</v>
      </c>
      <c r="AX30" s="8" t="s">
        <v>67</v>
      </c>
      <c r="AY30" s="14" t="s">
        <v>720</v>
      </c>
      <c r="AZ30" s="17">
        <v>0.0</v>
      </c>
      <c r="BA30" s="9" t="str">
        <f t="shared" si="11"/>
        <v>RDR-29</v>
      </c>
      <c r="BB30" s="8" t="s">
        <v>67</v>
      </c>
      <c r="BC30" s="14" t="s">
        <v>721</v>
      </c>
      <c r="BD30" s="17">
        <v>0.0</v>
      </c>
      <c r="BE30" s="9" t="str">
        <f t="shared" ref="BE30:BE33" si="33">MID(BC30,5,9)</f>
        <v>ROSOV-102</v>
      </c>
      <c r="BF30" s="28" t="s">
        <v>71</v>
      </c>
      <c r="BG30" s="14" t="s">
        <v>722</v>
      </c>
      <c r="BH30" s="17">
        <v>0.0</v>
      </c>
      <c r="BI30" s="9" t="str">
        <f t="shared" ref="BI30:BI33" si="34">MID(BG30,5,9)</f>
        <v>ROSOV-102</v>
      </c>
      <c r="BJ30" s="18" t="s">
        <v>73</v>
      </c>
      <c r="BK30" s="27"/>
      <c r="BL30" s="27"/>
      <c r="BM30" s="27"/>
      <c r="BN30" s="27"/>
      <c r="BO30" s="27"/>
      <c r="BP30" s="27"/>
      <c r="BQ30" s="27"/>
      <c r="BR30" s="27"/>
      <c r="BS30" s="10" t="s">
        <v>723</v>
      </c>
      <c r="BT30" s="20">
        <v>0.0</v>
      </c>
      <c r="BU30" s="9" t="str">
        <f t="shared" ref="BU30:BU31" si="35">MID(BS30,5,9)</f>
        <v>ROSOV-103</v>
      </c>
      <c r="BV30" s="8" t="s">
        <v>75</v>
      </c>
      <c r="BW30" s="10" t="s">
        <v>724</v>
      </c>
      <c r="BX30" s="20">
        <v>0.0</v>
      </c>
      <c r="BY30" s="9" t="str">
        <f t="shared" ref="BY30:BY31" si="36">MID(BW30,5,9)</f>
        <v>ROSOV-103</v>
      </c>
      <c r="BZ30" s="18" t="s">
        <v>77</v>
      </c>
      <c r="CA30" s="21" t="s">
        <v>725</v>
      </c>
      <c r="CB30" s="17">
        <v>0.0</v>
      </c>
      <c r="CC30" s="19" t="str">
        <f t="shared" si="29"/>
        <v>ROSOV-104</v>
      </c>
      <c r="CD30" s="18" t="s">
        <v>79</v>
      </c>
      <c r="CE30" s="21" t="s">
        <v>726</v>
      </c>
      <c r="CF30" s="17">
        <v>0.0</v>
      </c>
      <c r="CG30" s="19" t="str">
        <f t="shared" si="30"/>
        <v>ROSOV-104</v>
      </c>
      <c r="CH30" s="18" t="s">
        <v>81</v>
      </c>
      <c r="CI30" s="21" t="s">
        <v>727</v>
      </c>
      <c r="CJ30" s="17">
        <v>0.0</v>
      </c>
      <c r="CK30" s="19" t="str">
        <f t="shared" si="31"/>
        <v>ROSOV-105</v>
      </c>
      <c r="CL30" s="18" t="s">
        <v>83</v>
      </c>
      <c r="CM30" s="21" t="s">
        <v>728</v>
      </c>
      <c r="CN30" s="20">
        <v>0.0</v>
      </c>
      <c r="CO30" s="19" t="str">
        <f t="shared" si="32"/>
        <v>ROSOV-105</v>
      </c>
      <c r="CP30" s="8" t="s">
        <v>85</v>
      </c>
      <c r="CQ30" s="21" t="s">
        <v>729</v>
      </c>
      <c r="CR30" s="20">
        <v>1.0</v>
      </c>
      <c r="CS30" s="9" t="str">
        <f t="shared" si="27"/>
        <v>MOV_221A</v>
      </c>
      <c r="CT30" s="8" t="s">
        <v>87</v>
      </c>
      <c r="CU30" s="22" t="s">
        <v>730</v>
      </c>
      <c r="CV30" s="20">
        <v>1.0</v>
      </c>
      <c r="CW30" s="9" t="str">
        <f t="shared" si="21"/>
        <v>MOV_213A</v>
      </c>
      <c r="CX30" s="8" t="s">
        <v>89</v>
      </c>
      <c r="CY30" s="22" t="s">
        <v>731</v>
      </c>
      <c r="CZ30" s="20">
        <v>1.0</v>
      </c>
      <c r="DA30" s="9" t="str">
        <f t="shared" si="22"/>
        <v>MOV_214</v>
      </c>
      <c r="DB30" s="8" t="s">
        <v>91</v>
      </c>
      <c r="DC30" s="21" t="s">
        <v>732</v>
      </c>
      <c r="DD30" s="20">
        <v>0.0</v>
      </c>
      <c r="DE30" s="9" t="str">
        <f t="shared" si="23"/>
        <v>MOV_214</v>
      </c>
      <c r="DF30" s="8" t="s">
        <v>93</v>
      </c>
      <c r="DG30" s="22" t="s">
        <v>733</v>
      </c>
      <c r="DH30" s="20">
        <v>0.0</v>
      </c>
      <c r="DI30" s="9" t="str">
        <f t="shared" si="28"/>
        <v>MOV_216A</v>
      </c>
      <c r="DJ30" s="8" t="s">
        <v>95</v>
      </c>
      <c r="DK30" s="14"/>
      <c r="DL30" s="14"/>
      <c r="DM30" s="27" t="str">
        <f t="shared" si="25"/>
        <v/>
      </c>
      <c r="DN30" s="27"/>
      <c r="DO30" s="14"/>
      <c r="DP30" s="23"/>
      <c r="DQ30" s="27" t="str">
        <f t="shared" si="26"/>
        <v/>
      </c>
      <c r="DR30" s="27"/>
    </row>
    <row r="31">
      <c r="A31" s="8">
        <v>1216.0</v>
      </c>
      <c r="B31" s="8" t="s">
        <v>50</v>
      </c>
      <c r="C31" s="9" t="str">
        <f t="shared" si="1"/>
        <v>TK-30_BS VI HSD</v>
      </c>
      <c r="D31" s="10" t="s">
        <v>734</v>
      </c>
      <c r="E31" s="24" t="s">
        <v>52</v>
      </c>
      <c r="F31" s="10" t="s">
        <v>53</v>
      </c>
      <c r="G31" s="12" t="s">
        <v>54</v>
      </c>
      <c r="H31" s="8">
        <v>0.0</v>
      </c>
      <c r="I31" s="25" t="s">
        <v>735</v>
      </c>
      <c r="J31" s="26">
        <v>0.0</v>
      </c>
      <c r="K31" s="26"/>
      <c r="L31" s="26"/>
      <c r="M31" s="25" t="s">
        <v>736</v>
      </c>
      <c r="N31" s="26">
        <v>0.0</v>
      </c>
      <c r="O31" s="14" t="s">
        <v>737</v>
      </c>
      <c r="P31" s="27"/>
      <c r="Q31" s="9" t="str">
        <f t="shared" si="2"/>
        <v>TK-30</v>
      </c>
      <c r="R31" s="16" t="s">
        <v>58</v>
      </c>
      <c r="S31" s="14" t="s">
        <v>738</v>
      </c>
      <c r="T31" s="17">
        <v>0.0</v>
      </c>
      <c r="U31" s="9" t="str">
        <f t="shared" si="3"/>
        <v>TK-30</v>
      </c>
      <c r="V31" s="16" t="s">
        <v>58</v>
      </c>
      <c r="W31" s="14" t="s">
        <v>739</v>
      </c>
      <c r="X31" s="17">
        <v>0.0</v>
      </c>
      <c r="Y31" s="17" t="str">
        <f t="shared" si="4"/>
        <v>TK-30</v>
      </c>
      <c r="Z31" s="16" t="s">
        <v>58</v>
      </c>
      <c r="AA31" s="14" t="s">
        <v>740</v>
      </c>
      <c r="AB31" s="17">
        <v>0.0</v>
      </c>
      <c r="AC31" s="9" t="str">
        <f t="shared" si="5"/>
        <v>TK-30</v>
      </c>
      <c r="AD31" s="8" t="s">
        <v>58</v>
      </c>
      <c r="AE31" s="14" t="s">
        <v>741</v>
      </c>
      <c r="AF31" s="17">
        <v>0.0</v>
      </c>
      <c r="AG31" s="9" t="str">
        <f t="shared" si="6"/>
        <v>LSW-30</v>
      </c>
      <c r="AH31" s="8" t="s">
        <v>63</v>
      </c>
      <c r="AI31" s="14" t="s">
        <v>742</v>
      </c>
      <c r="AJ31" s="17">
        <v>0.0</v>
      </c>
      <c r="AK31" s="9" t="str">
        <f t="shared" si="7"/>
        <v>LSW-30</v>
      </c>
      <c r="AL31" s="8" t="s">
        <v>63</v>
      </c>
      <c r="AM31" s="14" t="s">
        <v>743</v>
      </c>
      <c r="AN31" s="17">
        <v>0.0</v>
      </c>
      <c r="AO31" s="9" t="str">
        <f t="shared" si="8"/>
        <v>LSW-30</v>
      </c>
      <c r="AP31" s="8" t="s">
        <v>63</v>
      </c>
      <c r="AQ31" s="14" t="s">
        <v>744</v>
      </c>
      <c r="AR31" s="17">
        <v>0.0</v>
      </c>
      <c r="AS31" s="9" t="str">
        <f t="shared" si="9"/>
        <v>RDR-30</v>
      </c>
      <c r="AT31" s="8" t="s">
        <v>67</v>
      </c>
      <c r="AU31" s="14" t="s">
        <v>745</v>
      </c>
      <c r="AV31" s="17">
        <v>0.0</v>
      </c>
      <c r="AW31" s="9" t="str">
        <f t="shared" si="10"/>
        <v>RDR-30</v>
      </c>
      <c r="AX31" s="8" t="s">
        <v>67</v>
      </c>
      <c r="AY31" s="14" t="s">
        <v>746</v>
      </c>
      <c r="AZ31" s="17">
        <v>0.0</v>
      </c>
      <c r="BA31" s="9" t="str">
        <f t="shared" si="11"/>
        <v>RDR-30</v>
      </c>
      <c r="BB31" s="8" t="s">
        <v>67</v>
      </c>
      <c r="BC31" s="14" t="s">
        <v>747</v>
      </c>
      <c r="BD31" s="17">
        <v>0.0</v>
      </c>
      <c r="BE31" s="9" t="str">
        <f t="shared" si="33"/>
        <v>ROSOV-106</v>
      </c>
      <c r="BF31" s="28" t="s">
        <v>71</v>
      </c>
      <c r="BG31" s="14" t="s">
        <v>748</v>
      </c>
      <c r="BH31" s="17">
        <v>0.0</v>
      </c>
      <c r="BI31" s="9" t="str">
        <f t="shared" si="34"/>
        <v>ROSOV-106</v>
      </c>
      <c r="BJ31" s="18" t="s">
        <v>73</v>
      </c>
      <c r="BK31" s="27"/>
      <c r="BL31" s="27"/>
      <c r="BM31" s="27"/>
      <c r="BN31" s="27"/>
      <c r="BO31" s="27"/>
      <c r="BP31" s="27"/>
      <c r="BQ31" s="27"/>
      <c r="BR31" s="27"/>
      <c r="BS31" s="10" t="s">
        <v>749</v>
      </c>
      <c r="BT31" s="20">
        <v>0.0</v>
      </c>
      <c r="BU31" s="9" t="str">
        <f t="shared" si="35"/>
        <v>ROSOV-107</v>
      </c>
      <c r="BV31" s="8" t="s">
        <v>75</v>
      </c>
      <c r="BW31" s="10" t="s">
        <v>750</v>
      </c>
      <c r="BX31" s="20">
        <v>0.0</v>
      </c>
      <c r="BY31" s="9" t="str">
        <f t="shared" si="36"/>
        <v>ROSOV-107</v>
      </c>
      <c r="BZ31" s="18" t="s">
        <v>77</v>
      </c>
      <c r="CA31" s="21" t="s">
        <v>751</v>
      </c>
      <c r="CB31" s="17">
        <v>0.0</v>
      </c>
      <c r="CC31" s="19" t="str">
        <f t="shared" si="29"/>
        <v>ROSOV-108</v>
      </c>
      <c r="CD31" s="18" t="s">
        <v>79</v>
      </c>
      <c r="CE31" s="21" t="s">
        <v>752</v>
      </c>
      <c r="CF31" s="17">
        <v>0.0</v>
      </c>
      <c r="CG31" s="19" t="str">
        <f t="shared" si="30"/>
        <v>ROSOV-108</v>
      </c>
      <c r="CH31" s="18" t="s">
        <v>81</v>
      </c>
      <c r="CI31" s="21" t="s">
        <v>753</v>
      </c>
      <c r="CJ31" s="17">
        <v>0.0</v>
      </c>
      <c r="CK31" s="19" t="str">
        <f t="shared" si="31"/>
        <v>ROSOV-109</v>
      </c>
      <c r="CL31" s="18" t="s">
        <v>83</v>
      </c>
      <c r="CM31" s="21" t="s">
        <v>754</v>
      </c>
      <c r="CN31" s="20">
        <v>0.0</v>
      </c>
      <c r="CO31" s="19" t="str">
        <f t="shared" si="32"/>
        <v>ROSOV-109</v>
      </c>
      <c r="CP31" s="8" t="s">
        <v>85</v>
      </c>
      <c r="CQ31" s="21" t="s">
        <v>755</v>
      </c>
      <c r="CR31" s="20">
        <v>1.0</v>
      </c>
      <c r="CS31" s="9" t="str">
        <f t="shared" si="27"/>
        <v>MOV_222A</v>
      </c>
      <c r="CT31" s="8" t="s">
        <v>87</v>
      </c>
      <c r="CU31" s="22" t="s">
        <v>756</v>
      </c>
      <c r="CV31" s="20">
        <v>1.0</v>
      </c>
      <c r="CW31" s="9" t="str">
        <f t="shared" si="21"/>
        <v>MOV_217A</v>
      </c>
      <c r="CX31" s="8" t="s">
        <v>89</v>
      </c>
      <c r="CY31" s="22" t="s">
        <v>757</v>
      </c>
      <c r="CZ31" s="20">
        <v>1.0</v>
      </c>
      <c r="DA31" s="9" t="str">
        <f t="shared" si="22"/>
        <v>MOV_218</v>
      </c>
      <c r="DB31" s="8" t="s">
        <v>91</v>
      </c>
      <c r="DC31" s="21" t="s">
        <v>758</v>
      </c>
      <c r="DD31" s="20">
        <v>0.0</v>
      </c>
      <c r="DE31" s="9" t="str">
        <f t="shared" si="23"/>
        <v>MOV_218</v>
      </c>
      <c r="DF31" s="8" t="s">
        <v>93</v>
      </c>
      <c r="DG31" s="22" t="s">
        <v>759</v>
      </c>
      <c r="DH31" s="20">
        <v>0.0</v>
      </c>
      <c r="DI31" s="9" t="str">
        <f t="shared" si="28"/>
        <v>MOV_220A</v>
      </c>
      <c r="DJ31" s="8" t="s">
        <v>95</v>
      </c>
      <c r="DK31" s="14"/>
      <c r="DL31" s="14"/>
      <c r="DM31" s="27" t="str">
        <f t="shared" si="25"/>
        <v/>
      </c>
      <c r="DN31" s="27"/>
      <c r="DO31" s="14"/>
      <c r="DP31" s="14"/>
      <c r="DQ31" s="27" t="str">
        <f t="shared" si="26"/>
        <v/>
      </c>
      <c r="DR31" s="27"/>
    </row>
    <row r="32">
      <c r="A32" s="8">
        <v>1216.0</v>
      </c>
      <c r="B32" s="8" t="s">
        <v>50</v>
      </c>
      <c r="C32" s="9" t="str">
        <f t="shared" si="1"/>
        <v>TK-31_SWEET SKO</v>
      </c>
      <c r="D32" s="10" t="s">
        <v>760</v>
      </c>
      <c r="E32" s="24" t="s">
        <v>52</v>
      </c>
      <c r="F32" s="10" t="s">
        <v>761</v>
      </c>
      <c r="G32" s="12" t="s">
        <v>54</v>
      </c>
      <c r="H32" s="8">
        <v>0.0</v>
      </c>
      <c r="I32" s="25" t="s">
        <v>762</v>
      </c>
      <c r="J32" s="26">
        <v>0.0</v>
      </c>
      <c r="K32" s="26"/>
      <c r="L32" s="26"/>
      <c r="M32" s="25" t="s">
        <v>763</v>
      </c>
      <c r="N32" s="26">
        <v>0.0</v>
      </c>
      <c r="O32" s="14" t="s">
        <v>764</v>
      </c>
      <c r="P32" s="27"/>
      <c r="Q32" s="9" t="str">
        <f t="shared" si="2"/>
        <v>TK-31</v>
      </c>
      <c r="R32" s="16" t="s">
        <v>58</v>
      </c>
      <c r="S32" s="14" t="s">
        <v>765</v>
      </c>
      <c r="T32" s="17">
        <v>0.0</v>
      </c>
      <c r="U32" s="9" t="str">
        <f t="shared" si="3"/>
        <v>TK-31</v>
      </c>
      <c r="V32" s="16" t="s">
        <v>58</v>
      </c>
      <c r="W32" s="14" t="s">
        <v>766</v>
      </c>
      <c r="X32" s="17">
        <v>0.0</v>
      </c>
      <c r="Y32" s="17" t="str">
        <f t="shared" si="4"/>
        <v>TK-31</v>
      </c>
      <c r="Z32" s="16" t="s">
        <v>58</v>
      </c>
      <c r="AA32" s="14" t="s">
        <v>767</v>
      </c>
      <c r="AB32" s="17">
        <v>0.0</v>
      </c>
      <c r="AC32" s="9" t="str">
        <f t="shared" si="5"/>
        <v>TK-31</v>
      </c>
      <c r="AD32" s="8" t="s">
        <v>58</v>
      </c>
      <c r="AE32" s="14" t="s">
        <v>768</v>
      </c>
      <c r="AF32" s="17">
        <v>0.0</v>
      </c>
      <c r="AG32" s="9" t="str">
        <f t="shared" si="6"/>
        <v>LSW-31</v>
      </c>
      <c r="AH32" s="8" t="s">
        <v>63</v>
      </c>
      <c r="AI32" s="14" t="s">
        <v>769</v>
      </c>
      <c r="AJ32" s="17">
        <v>0.0</v>
      </c>
      <c r="AK32" s="9" t="str">
        <f t="shared" si="7"/>
        <v>LSW-31</v>
      </c>
      <c r="AL32" s="8" t="s">
        <v>63</v>
      </c>
      <c r="AM32" s="14" t="s">
        <v>770</v>
      </c>
      <c r="AN32" s="17">
        <v>0.0</v>
      </c>
      <c r="AO32" s="9" t="str">
        <f t="shared" si="8"/>
        <v>LSW-31</v>
      </c>
      <c r="AP32" s="8" t="s">
        <v>63</v>
      </c>
      <c r="AQ32" s="14" t="s">
        <v>771</v>
      </c>
      <c r="AR32" s="17">
        <v>0.0</v>
      </c>
      <c r="AS32" s="9" t="str">
        <f t="shared" si="9"/>
        <v>RDR-31</v>
      </c>
      <c r="AT32" s="8" t="s">
        <v>67</v>
      </c>
      <c r="AU32" s="14" t="s">
        <v>772</v>
      </c>
      <c r="AV32" s="17">
        <v>0.0</v>
      </c>
      <c r="AW32" s="9" t="str">
        <f t="shared" si="10"/>
        <v>RDR-31</v>
      </c>
      <c r="AX32" s="8" t="s">
        <v>67</v>
      </c>
      <c r="AY32" s="14" t="s">
        <v>773</v>
      </c>
      <c r="AZ32" s="17">
        <v>0.0</v>
      </c>
      <c r="BA32" s="9" t="str">
        <f t="shared" si="11"/>
        <v>RDR-31</v>
      </c>
      <c r="BB32" s="8" t="s">
        <v>67</v>
      </c>
      <c r="BC32" s="14" t="s">
        <v>774</v>
      </c>
      <c r="BD32" s="17">
        <v>0.0</v>
      </c>
      <c r="BE32" s="9" t="str">
        <f t="shared" si="33"/>
        <v>ROSOV-110</v>
      </c>
      <c r="BF32" s="28" t="s">
        <v>71</v>
      </c>
      <c r="BG32" s="14" t="s">
        <v>775</v>
      </c>
      <c r="BH32" s="17">
        <v>0.0</v>
      </c>
      <c r="BI32" s="9" t="str">
        <f t="shared" si="34"/>
        <v>ROSOV-110</v>
      </c>
      <c r="BJ32" s="18" t="s">
        <v>73</v>
      </c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9" t="str">
        <f t="shared" ref="BU32:BU48" si="37">MID(BS32,5,8)</f>
        <v/>
      </c>
      <c r="BV32" s="27"/>
      <c r="BW32" s="27"/>
      <c r="BX32" s="27"/>
      <c r="BY32" s="27"/>
      <c r="BZ32" s="27"/>
      <c r="CA32" s="21" t="s">
        <v>776</v>
      </c>
      <c r="CB32" s="17">
        <v>0.0</v>
      </c>
      <c r="CC32" s="19" t="str">
        <f t="shared" si="29"/>
        <v>ROSOV-111</v>
      </c>
      <c r="CD32" s="18" t="s">
        <v>79</v>
      </c>
      <c r="CE32" s="21" t="s">
        <v>777</v>
      </c>
      <c r="CF32" s="17">
        <v>0.0</v>
      </c>
      <c r="CG32" s="19" t="str">
        <f t="shared" si="30"/>
        <v>ROSOV-111</v>
      </c>
      <c r="CH32" s="18" t="s">
        <v>81</v>
      </c>
      <c r="CI32" s="21" t="s">
        <v>778</v>
      </c>
      <c r="CJ32" s="17">
        <v>0.0</v>
      </c>
      <c r="CK32" s="19" t="str">
        <f t="shared" si="31"/>
        <v>ROSOV-112</v>
      </c>
      <c r="CL32" s="18" t="s">
        <v>83</v>
      </c>
      <c r="CM32" s="21" t="s">
        <v>779</v>
      </c>
      <c r="CN32" s="20">
        <v>0.0</v>
      </c>
      <c r="CO32" s="19" t="str">
        <f t="shared" si="32"/>
        <v>ROSOV-112</v>
      </c>
      <c r="CP32" s="8" t="s">
        <v>85</v>
      </c>
      <c r="CQ32" s="21" t="s">
        <v>780</v>
      </c>
      <c r="CR32" s="20">
        <v>1.0</v>
      </c>
      <c r="CS32" s="9" t="str">
        <f t="shared" si="27"/>
        <v>MOV_801A</v>
      </c>
      <c r="CT32" s="8" t="s">
        <v>87</v>
      </c>
      <c r="CU32" s="31"/>
      <c r="CV32" s="27"/>
      <c r="CW32" s="9" t="str">
        <f t="shared" si="21"/>
        <v/>
      </c>
      <c r="CX32" s="27"/>
      <c r="CY32" s="22" t="s">
        <v>781</v>
      </c>
      <c r="CZ32" s="20">
        <v>1.0</v>
      </c>
      <c r="DA32" s="9" t="str">
        <f t="shared" si="22"/>
        <v>MOV_802</v>
      </c>
      <c r="DB32" s="8" t="s">
        <v>91</v>
      </c>
      <c r="DC32" s="21" t="s">
        <v>782</v>
      </c>
      <c r="DD32" s="20">
        <v>0.0</v>
      </c>
      <c r="DE32" s="9" t="str">
        <f t="shared" si="23"/>
        <v>MOV_802</v>
      </c>
      <c r="DF32" s="8" t="s">
        <v>93</v>
      </c>
      <c r="DG32" s="22" t="s">
        <v>783</v>
      </c>
      <c r="DH32" s="20">
        <v>0.0</v>
      </c>
      <c r="DI32" s="9" t="str">
        <f t="shared" si="28"/>
        <v>MOV_803A</v>
      </c>
      <c r="DJ32" s="8" t="s">
        <v>95</v>
      </c>
      <c r="DK32" s="14"/>
      <c r="DL32" s="14"/>
      <c r="DM32" s="27" t="str">
        <f t="shared" si="25"/>
        <v/>
      </c>
      <c r="DN32" s="27"/>
      <c r="DO32" s="14"/>
      <c r="DP32" s="14"/>
      <c r="DQ32" s="27" t="str">
        <f t="shared" si="26"/>
        <v/>
      </c>
      <c r="DR32" s="27"/>
    </row>
    <row r="33">
      <c r="A33" s="8">
        <v>1216.0</v>
      </c>
      <c r="B33" s="8" t="s">
        <v>50</v>
      </c>
      <c r="C33" s="9" t="str">
        <f t="shared" si="1"/>
        <v>TK-32_SWEET SKO</v>
      </c>
      <c r="D33" s="10" t="s">
        <v>784</v>
      </c>
      <c r="E33" s="24" t="s">
        <v>52</v>
      </c>
      <c r="F33" s="10" t="s">
        <v>761</v>
      </c>
      <c r="G33" s="12" t="s">
        <v>54</v>
      </c>
      <c r="H33" s="8">
        <v>0.0</v>
      </c>
      <c r="I33" s="29"/>
      <c r="J33" s="29"/>
      <c r="K33" s="29"/>
      <c r="L33" s="29"/>
      <c r="M33" s="29"/>
      <c r="N33" s="29"/>
      <c r="O33" s="14" t="s">
        <v>785</v>
      </c>
      <c r="P33" s="27"/>
      <c r="Q33" s="9" t="str">
        <f t="shared" si="2"/>
        <v>TK-32</v>
      </c>
      <c r="R33" s="16" t="s">
        <v>58</v>
      </c>
      <c r="S33" s="14" t="s">
        <v>786</v>
      </c>
      <c r="T33" s="17">
        <v>0.0</v>
      </c>
      <c r="U33" s="9" t="str">
        <f t="shared" si="3"/>
        <v>TK-32</v>
      </c>
      <c r="V33" s="16" t="s">
        <v>58</v>
      </c>
      <c r="W33" s="14" t="s">
        <v>787</v>
      </c>
      <c r="X33" s="17">
        <v>0.0</v>
      </c>
      <c r="Y33" s="17" t="str">
        <f t="shared" si="4"/>
        <v>TK-32</v>
      </c>
      <c r="Z33" s="16" t="s">
        <v>58</v>
      </c>
      <c r="AA33" s="14" t="s">
        <v>788</v>
      </c>
      <c r="AB33" s="17">
        <v>0.0</v>
      </c>
      <c r="AC33" s="9" t="str">
        <f t="shared" si="5"/>
        <v>TK-32</v>
      </c>
      <c r="AD33" s="8" t="s">
        <v>58</v>
      </c>
      <c r="AE33" s="14" t="s">
        <v>789</v>
      </c>
      <c r="AF33" s="17">
        <v>0.0</v>
      </c>
      <c r="AG33" s="9" t="str">
        <f t="shared" si="6"/>
        <v>LSW-32</v>
      </c>
      <c r="AH33" s="8" t="s">
        <v>63</v>
      </c>
      <c r="AI33" s="14" t="s">
        <v>790</v>
      </c>
      <c r="AJ33" s="17">
        <v>0.0</v>
      </c>
      <c r="AK33" s="9" t="str">
        <f t="shared" si="7"/>
        <v>LSW-32</v>
      </c>
      <c r="AL33" s="8" t="s">
        <v>63</v>
      </c>
      <c r="AM33" s="14" t="s">
        <v>791</v>
      </c>
      <c r="AN33" s="17">
        <v>0.0</v>
      </c>
      <c r="AO33" s="9" t="str">
        <f t="shared" si="8"/>
        <v>LSW-32</v>
      </c>
      <c r="AP33" s="8" t="s">
        <v>63</v>
      </c>
      <c r="AQ33" s="14" t="s">
        <v>792</v>
      </c>
      <c r="AR33" s="17">
        <v>0.0</v>
      </c>
      <c r="AS33" s="9" t="str">
        <f t="shared" si="9"/>
        <v>RDR-32</v>
      </c>
      <c r="AT33" s="8" t="s">
        <v>67</v>
      </c>
      <c r="AU33" s="14" t="s">
        <v>793</v>
      </c>
      <c r="AV33" s="17">
        <v>0.0</v>
      </c>
      <c r="AW33" s="9" t="str">
        <f t="shared" si="10"/>
        <v>RDR-32</v>
      </c>
      <c r="AX33" s="8" t="s">
        <v>67</v>
      </c>
      <c r="AY33" s="14" t="s">
        <v>794</v>
      </c>
      <c r="AZ33" s="17">
        <v>0.0</v>
      </c>
      <c r="BA33" s="9" t="str">
        <f t="shared" si="11"/>
        <v>RDR-32</v>
      </c>
      <c r="BB33" s="8" t="s">
        <v>67</v>
      </c>
      <c r="BC33" s="14" t="s">
        <v>795</v>
      </c>
      <c r="BD33" s="17">
        <v>0.0</v>
      </c>
      <c r="BE33" s="9" t="str">
        <f t="shared" si="33"/>
        <v>ROSOV-113</v>
      </c>
      <c r="BF33" s="28" t="s">
        <v>71</v>
      </c>
      <c r="BG33" s="14" t="s">
        <v>796</v>
      </c>
      <c r="BH33" s="17">
        <v>0.0</v>
      </c>
      <c r="BI33" s="9" t="str">
        <f t="shared" si="34"/>
        <v>ROSOV-113</v>
      </c>
      <c r="BJ33" s="18" t="s">
        <v>73</v>
      </c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9" t="str">
        <f t="shared" si="37"/>
        <v/>
      </c>
      <c r="BV33" s="27"/>
      <c r="BW33" s="27"/>
      <c r="BX33" s="27"/>
      <c r="BY33" s="27"/>
      <c r="BZ33" s="27"/>
      <c r="CA33" s="21" t="s">
        <v>797</v>
      </c>
      <c r="CB33" s="17">
        <v>0.0</v>
      </c>
      <c r="CC33" s="19" t="str">
        <f t="shared" si="29"/>
        <v>ROSOV-114</v>
      </c>
      <c r="CD33" s="18" t="s">
        <v>79</v>
      </c>
      <c r="CE33" s="21" t="s">
        <v>798</v>
      </c>
      <c r="CF33" s="17">
        <v>0.0</v>
      </c>
      <c r="CG33" s="19" t="str">
        <f t="shared" si="30"/>
        <v>ROSOV-114</v>
      </c>
      <c r="CH33" s="18" t="s">
        <v>81</v>
      </c>
      <c r="CI33" s="21" t="s">
        <v>799</v>
      </c>
      <c r="CJ33" s="17">
        <v>0.0</v>
      </c>
      <c r="CK33" s="19" t="str">
        <f t="shared" si="31"/>
        <v>ROSOV-115</v>
      </c>
      <c r="CL33" s="18" t="s">
        <v>83</v>
      </c>
      <c r="CM33" s="21" t="s">
        <v>800</v>
      </c>
      <c r="CN33" s="20">
        <v>0.0</v>
      </c>
      <c r="CO33" s="19" t="str">
        <f t="shared" si="32"/>
        <v>ROSOV-115</v>
      </c>
      <c r="CP33" s="8" t="s">
        <v>85</v>
      </c>
      <c r="CQ33" s="27"/>
      <c r="CR33" s="27"/>
      <c r="CS33" s="9" t="str">
        <f t="shared" ref="CS33:CS48" si="38">MID(CQ33,5,7)</f>
        <v/>
      </c>
      <c r="CT33" s="27"/>
      <c r="CU33" s="31"/>
      <c r="CV33" s="27"/>
      <c r="CW33" s="9" t="str">
        <f t="shared" si="21"/>
        <v/>
      </c>
      <c r="CX33" s="27"/>
      <c r="CY33" s="22" t="s">
        <v>801</v>
      </c>
      <c r="CZ33" s="20">
        <v>1.0</v>
      </c>
      <c r="DA33" s="9" t="str">
        <f t="shared" si="22"/>
        <v>MOV_805</v>
      </c>
      <c r="DB33" s="8" t="s">
        <v>91</v>
      </c>
      <c r="DC33" s="21" t="s">
        <v>802</v>
      </c>
      <c r="DD33" s="20">
        <v>0.0</v>
      </c>
      <c r="DE33" s="9" t="str">
        <f t="shared" si="23"/>
        <v>MOV_805</v>
      </c>
      <c r="DF33" s="8" t="s">
        <v>93</v>
      </c>
      <c r="DG33" s="31"/>
      <c r="DH33" s="27"/>
      <c r="DI33" s="9" t="str">
        <f t="shared" ref="DI33:DI48" si="39">MID(DG33,5,7)</f>
        <v/>
      </c>
      <c r="DJ33" s="27"/>
      <c r="DK33" s="14"/>
      <c r="DL33" s="14"/>
      <c r="DM33" s="27" t="str">
        <f t="shared" si="25"/>
        <v/>
      </c>
      <c r="DN33" s="27"/>
      <c r="DO33" s="14"/>
      <c r="DP33" s="14"/>
      <c r="DQ33" s="27" t="str">
        <f t="shared" si="26"/>
        <v/>
      </c>
      <c r="DR33" s="27"/>
    </row>
    <row r="34">
      <c r="A34" s="8">
        <v>1216.0</v>
      </c>
      <c r="B34" s="8" t="s">
        <v>50</v>
      </c>
      <c r="C34" s="9" t="str">
        <f t="shared" si="1"/>
        <v>TS-01_BS VI HSD</v>
      </c>
      <c r="D34" s="10" t="s">
        <v>803</v>
      </c>
      <c r="E34" s="11" t="s">
        <v>804</v>
      </c>
      <c r="F34" s="10" t="s">
        <v>53</v>
      </c>
      <c r="G34" s="12" t="s">
        <v>54</v>
      </c>
      <c r="H34" s="8">
        <v>0.0</v>
      </c>
      <c r="I34" s="29"/>
      <c r="J34" s="29"/>
      <c r="K34" s="29"/>
      <c r="L34" s="29"/>
      <c r="M34" s="29"/>
      <c r="N34" s="29"/>
      <c r="O34" s="14" t="s">
        <v>805</v>
      </c>
      <c r="P34" s="27"/>
      <c r="Q34" s="9" t="str">
        <f t="shared" si="2"/>
        <v>TS-01</v>
      </c>
      <c r="R34" s="16" t="s">
        <v>58</v>
      </c>
      <c r="S34" s="27"/>
      <c r="T34" s="27"/>
      <c r="U34" s="9" t="str">
        <f t="shared" si="3"/>
        <v/>
      </c>
      <c r="V34" s="27"/>
      <c r="W34" s="14" t="s">
        <v>806</v>
      </c>
      <c r="X34" s="17">
        <v>0.0</v>
      </c>
      <c r="Y34" s="17" t="str">
        <f t="shared" si="4"/>
        <v>TS-01</v>
      </c>
      <c r="Z34" s="16" t="s">
        <v>58</v>
      </c>
      <c r="AA34" s="14" t="s">
        <v>807</v>
      </c>
      <c r="AB34" s="17">
        <v>0.0</v>
      </c>
      <c r="AC34" s="9" t="str">
        <f t="shared" si="5"/>
        <v>TS-01</v>
      </c>
      <c r="AD34" s="8" t="s">
        <v>58</v>
      </c>
      <c r="AE34" s="27"/>
      <c r="AF34" s="27"/>
      <c r="AG34" s="9" t="str">
        <f t="shared" si="6"/>
        <v/>
      </c>
      <c r="AH34" s="27"/>
      <c r="AI34" s="27"/>
      <c r="AJ34" s="27"/>
      <c r="AK34" s="9" t="str">
        <f t="shared" si="7"/>
        <v/>
      </c>
      <c r="AL34" s="27"/>
      <c r="AM34" s="27"/>
      <c r="AN34" s="27"/>
      <c r="AO34" s="9" t="str">
        <f t="shared" si="8"/>
        <v/>
      </c>
      <c r="AP34" s="27"/>
      <c r="AQ34" s="27"/>
      <c r="AR34" s="27"/>
      <c r="AS34" s="9" t="str">
        <f t="shared" si="9"/>
        <v/>
      </c>
      <c r="AT34" s="27"/>
      <c r="AU34" s="27"/>
      <c r="AV34" s="27"/>
      <c r="AW34" s="9" t="str">
        <f t="shared" si="10"/>
        <v/>
      </c>
      <c r="AX34" s="27"/>
      <c r="AY34" s="27"/>
      <c r="AZ34" s="27"/>
      <c r="BA34" s="9" t="str">
        <f t="shared" si="11"/>
        <v/>
      </c>
      <c r="BB34" s="27"/>
      <c r="BC34" s="27"/>
      <c r="BD34" s="27"/>
      <c r="BE34" s="9" t="str">
        <f t="shared" ref="BE34:BE48" si="40">MID(BC34,5,8)</f>
        <v/>
      </c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9" t="str">
        <f t="shared" si="37"/>
        <v/>
      </c>
      <c r="BV34" s="27"/>
      <c r="BW34" s="27"/>
      <c r="BX34" s="27"/>
      <c r="BY34" s="27"/>
      <c r="BZ34" s="27"/>
      <c r="CA34" s="27"/>
      <c r="CB34" s="27"/>
      <c r="CC34" s="19" t="str">
        <f t="shared" ref="CC34:CC48" si="41">MID(CA34,5,8)</f>
        <v/>
      </c>
      <c r="CD34" s="27"/>
      <c r="CE34" s="27"/>
      <c r="CF34" s="27"/>
      <c r="CG34" s="27"/>
      <c r="CH34" s="27"/>
      <c r="CI34" s="27"/>
      <c r="CJ34" s="27"/>
      <c r="CK34" s="19" t="str">
        <f t="shared" ref="CK34:CK48" si="42">MID(CI34,5,8)</f>
        <v/>
      </c>
      <c r="CL34" s="27"/>
      <c r="CM34" s="27"/>
      <c r="CN34" s="27"/>
      <c r="CO34" s="27"/>
      <c r="CP34" s="27"/>
      <c r="CQ34" s="27"/>
      <c r="CR34" s="27"/>
      <c r="CS34" s="9" t="str">
        <f t="shared" si="38"/>
        <v/>
      </c>
      <c r="CT34" s="27"/>
      <c r="CU34" s="31"/>
      <c r="CV34" s="27"/>
      <c r="CW34" s="9" t="str">
        <f t="shared" si="21"/>
        <v/>
      </c>
      <c r="CX34" s="27"/>
      <c r="CY34" s="31"/>
      <c r="CZ34" s="27"/>
      <c r="DA34" s="9" t="str">
        <f t="shared" si="22"/>
        <v/>
      </c>
      <c r="DB34" s="27"/>
      <c r="DC34" s="31"/>
      <c r="DD34" s="27"/>
      <c r="DE34" s="9" t="str">
        <f t="shared" si="23"/>
        <v/>
      </c>
      <c r="DF34" s="27"/>
      <c r="DG34" s="31"/>
      <c r="DH34" s="27"/>
      <c r="DI34" s="9" t="str">
        <f t="shared" si="39"/>
        <v/>
      </c>
      <c r="DJ34" s="27"/>
      <c r="DK34" s="14"/>
      <c r="DL34" s="14"/>
      <c r="DM34" s="27" t="str">
        <f t="shared" si="25"/>
        <v/>
      </c>
      <c r="DN34" s="27"/>
      <c r="DO34" s="14"/>
      <c r="DP34" s="14"/>
      <c r="DQ34" s="27" t="str">
        <f t="shared" si="26"/>
        <v/>
      </c>
      <c r="DR34" s="27"/>
    </row>
    <row r="35">
      <c r="A35" s="8">
        <v>1216.0</v>
      </c>
      <c r="B35" s="8" t="s">
        <v>50</v>
      </c>
      <c r="C35" s="9" t="str">
        <f t="shared" si="1"/>
        <v>TS-02_BS VI HSD</v>
      </c>
      <c r="D35" s="10" t="s">
        <v>808</v>
      </c>
      <c r="E35" s="11" t="s">
        <v>804</v>
      </c>
      <c r="F35" s="10" t="s">
        <v>53</v>
      </c>
      <c r="G35" s="12" t="s">
        <v>54</v>
      </c>
      <c r="H35" s="8">
        <v>0.0</v>
      </c>
      <c r="I35" s="29"/>
      <c r="J35" s="29"/>
      <c r="K35" s="29"/>
      <c r="L35" s="29"/>
      <c r="M35" s="29"/>
      <c r="N35" s="29"/>
      <c r="O35" s="14" t="s">
        <v>809</v>
      </c>
      <c r="P35" s="27"/>
      <c r="Q35" s="9" t="str">
        <f t="shared" si="2"/>
        <v>TS-02</v>
      </c>
      <c r="R35" s="16" t="s">
        <v>58</v>
      </c>
      <c r="S35" s="27"/>
      <c r="T35" s="27"/>
      <c r="U35" s="9" t="str">
        <f t="shared" si="3"/>
        <v/>
      </c>
      <c r="V35" s="27"/>
      <c r="W35" s="14" t="s">
        <v>810</v>
      </c>
      <c r="X35" s="17">
        <v>0.0</v>
      </c>
      <c r="Y35" s="17" t="str">
        <f t="shared" si="4"/>
        <v>TS-02</v>
      </c>
      <c r="Z35" s="16" t="s">
        <v>58</v>
      </c>
      <c r="AA35" s="14" t="s">
        <v>811</v>
      </c>
      <c r="AB35" s="17">
        <v>0.0</v>
      </c>
      <c r="AC35" s="9" t="str">
        <f t="shared" si="5"/>
        <v>TS-02</v>
      </c>
      <c r="AD35" s="8" t="s">
        <v>58</v>
      </c>
      <c r="AE35" s="27"/>
      <c r="AF35" s="27"/>
      <c r="AG35" s="9" t="str">
        <f t="shared" si="6"/>
        <v/>
      </c>
      <c r="AH35" s="27"/>
      <c r="AI35" s="27"/>
      <c r="AJ35" s="27"/>
      <c r="AK35" s="9" t="str">
        <f t="shared" si="7"/>
        <v/>
      </c>
      <c r="AL35" s="27"/>
      <c r="AM35" s="27"/>
      <c r="AN35" s="27"/>
      <c r="AO35" s="9" t="str">
        <f t="shared" si="8"/>
        <v/>
      </c>
      <c r="AP35" s="27"/>
      <c r="AQ35" s="27"/>
      <c r="AR35" s="27"/>
      <c r="AS35" s="9" t="str">
        <f t="shared" si="9"/>
        <v/>
      </c>
      <c r="AT35" s="27"/>
      <c r="AU35" s="27"/>
      <c r="AV35" s="27"/>
      <c r="AW35" s="9" t="str">
        <f t="shared" si="10"/>
        <v/>
      </c>
      <c r="AX35" s="27"/>
      <c r="AY35" s="27"/>
      <c r="AZ35" s="27"/>
      <c r="BA35" s="9" t="str">
        <f t="shared" si="11"/>
        <v/>
      </c>
      <c r="BB35" s="27"/>
      <c r="BC35" s="27"/>
      <c r="BD35" s="27"/>
      <c r="BE35" s="9" t="str">
        <f t="shared" si="40"/>
        <v/>
      </c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9" t="str">
        <f t="shared" si="37"/>
        <v/>
      </c>
      <c r="BV35" s="27"/>
      <c r="BW35" s="27"/>
      <c r="BX35" s="27"/>
      <c r="BY35" s="27"/>
      <c r="BZ35" s="27"/>
      <c r="CA35" s="27"/>
      <c r="CB35" s="27"/>
      <c r="CC35" s="19" t="str">
        <f t="shared" si="41"/>
        <v/>
      </c>
      <c r="CD35" s="27"/>
      <c r="CE35" s="27"/>
      <c r="CF35" s="27"/>
      <c r="CG35" s="27"/>
      <c r="CH35" s="27"/>
      <c r="CI35" s="27"/>
      <c r="CJ35" s="27"/>
      <c r="CK35" s="19" t="str">
        <f t="shared" si="42"/>
        <v/>
      </c>
      <c r="CL35" s="27"/>
      <c r="CM35" s="27"/>
      <c r="CN35" s="27"/>
      <c r="CO35" s="27"/>
      <c r="CP35" s="27"/>
      <c r="CQ35" s="27"/>
      <c r="CR35" s="27"/>
      <c r="CS35" s="9" t="str">
        <f t="shared" si="38"/>
        <v/>
      </c>
      <c r="CT35" s="27"/>
      <c r="CU35" s="31"/>
      <c r="CV35" s="27"/>
      <c r="CW35" s="9" t="str">
        <f t="shared" si="21"/>
        <v/>
      </c>
      <c r="CX35" s="27"/>
      <c r="CY35" s="31"/>
      <c r="CZ35" s="27"/>
      <c r="DA35" s="9" t="str">
        <f t="shared" si="22"/>
        <v/>
      </c>
      <c r="DB35" s="27"/>
      <c r="DC35" s="31"/>
      <c r="DD35" s="27"/>
      <c r="DE35" s="9" t="str">
        <f t="shared" si="23"/>
        <v/>
      </c>
      <c r="DF35" s="27"/>
      <c r="DG35" s="31"/>
      <c r="DH35" s="27"/>
      <c r="DI35" s="9" t="str">
        <f t="shared" si="39"/>
        <v/>
      </c>
      <c r="DJ35" s="27"/>
      <c r="DK35" s="14"/>
      <c r="DL35" s="14"/>
      <c r="DM35" s="27" t="str">
        <f t="shared" si="25"/>
        <v/>
      </c>
      <c r="DN35" s="27"/>
      <c r="DO35" s="14"/>
      <c r="DP35" s="14"/>
      <c r="DQ35" s="27" t="str">
        <f t="shared" si="26"/>
        <v/>
      </c>
      <c r="DR35" s="27"/>
    </row>
    <row r="36">
      <c r="A36" s="8">
        <v>1216.0</v>
      </c>
      <c r="B36" s="8" t="s">
        <v>50</v>
      </c>
      <c r="C36" s="9" t="str">
        <f t="shared" si="1"/>
        <v>TS-03_BS VI MS</v>
      </c>
      <c r="D36" s="10" t="s">
        <v>812</v>
      </c>
      <c r="E36" s="11" t="s">
        <v>804</v>
      </c>
      <c r="F36" s="10" t="s">
        <v>322</v>
      </c>
      <c r="G36" s="12" t="s">
        <v>54</v>
      </c>
      <c r="H36" s="8">
        <v>0.0</v>
      </c>
      <c r="I36" s="29"/>
      <c r="J36" s="29"/>
      <c r="K36" s="29"/>
      <c r="L36" s="29"/>
      <c r="M36" s="29"/>
      <c r="N36" s="29"/>
      <c r="O36" s="14" t="s">
        <v>813</v>
      </c>
      <c r="P36" s="27"/>
      <c r="Q36" s="9" t="str">
        <f t="shared" si="2"/>
        <v>TS-03</v>
      </c>
      <c r="R36" s="16" t="s">
        <v>58</v>
      </c>
      <c r="S36" s="27"/>
      <c r="T36" s="27"/>
      <c r="U36" s="9" t="str">
        <f t="shared" si="3"/>
        <v/>
      </c>
      <c r="V36" s="27"/>
      <c r="W36" s="14" t="s">
        <v>814</v>
      </c>
      <c r="X36" s="17">
        <v>0.0</v>
      </c>
      <c r="Y36" s="17" t="str">
        <f t="shared" si="4"/>
        <v>TS-03</v>
      </c>
      <c r="Z36" s="16" t="s">
        <v>58</v>
      </c>
      <c r="AA36" s="14" t="s">
        <v>815</v>
      </c>
      <c r="AB36" s="17">
        <v>0.0</v>
      </c>
      <c r="AC36" s="9" t="str">
        <f t="shared" si="5"/>
        <v>TS-03</v>
      </c>
      <c r="AD36" s="8" t="s">
        <v>58</v>
      </c>
      <c r="AE36" s="27"/>
      <c r="AF36" s="27"/>
      <c r="AG36" s="9" t="str">
        <f t="shared" si="6"/>
        <v/>
      </c>
      <c r="AH36" s="27"/>
      <c r="AI36" s="27"/>
      <c r="AJ36" s="27"/>
      <c r="AK36" s="9" t="str">
        <f t="shared" si="7"/>
        <v/>
      </c>
      <c r="AL36" s="27"/>
      <c r="AM36" s="27"/>
      <c r="AN36" s="27"/>
      <c r="AO36" s="9" t="str">
        <f t="shared" si="8"/>
        <v/>
      </c>
      <c r="AP36" s="27"/>
      <c r="AQ36" s="27"/>
      <c r="AR36" s="27"/>
      <c r="AS36" s="9" t="str">
        <f t="shared" si="9"/>
        <v/>
      </c>
      <c r="AT36" s="27"/>
      <c r="AU36" s="27"/>
      <c r="AV36" s="27"/>
      <c r="AW36" s="9" t="str">
        <f t="shared" si="10"/>
        <v/>
      </c>
      <c r="AX36" s="27"/>
      <c r="AY36" s="27"/>
      <c r="AZ36" s="27"/>
      <c r="BA36" s="9" t="str">
        <f t="shared" si="11"/>
        <v/>
      </c>
      <c r="BB36" s="27"/>
      <c r="BC36" s="27"/>
      <c r="BD36" s="27"/>
      <c r="BE36" s="9" t="str">
        <f t="shared" si="40"/>
        <v/>
      </c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9" t="str">
        <f t="shared" si="37"/>
        <v/>
      </c>
      <c r="BV36" s="27"/>
      <c r="BW36" s="27"/>
      <c r="BX36" s="27"/>
      <c r="BY36" s="27"/>
      <c r="BZ36" s="27"/>
      <c r="CA36" s="27"/>
      <c r="CB36" s="27"/>
      <c r="CC36" s="19" t="str">
        <f t="shared" si="41"/>
        <v/>
      </c>
      <c r="CD36" s="27"/>
      <c r="CE36" s="27"/>
      <c r="CF36" s="27"/>
      <c r="CG36" s="27"/>
      <c r="CH36" s="27"/>
      <c r="CI36" s="27"/>
      <c r="CJ36" s="27"/>
      <c r="CK36" s="19" t="str">
        <f t="shared" si="42"/>
        <v/>
      </c>
      <c r="CL36" s="27"/>
      <c r="CM36" s="27"/>
      <c r="CN36" s="27"/>
      <c r="CO36" s="27"/>
      <c r="CP36" s="27"/>
      <c r="CQ36" s="27"/>
      <c r="CR36" s="27"/>
      <c r="CS36" s="9" t="str">
        <f t="shared" si="38"/>
        <v/>
      </c>
      <c r="CT36" s="27"/>
      <c r="CU36" s="31"/>
      <c r="CV36" s="27"/>
      <c r="CW36" s="9" t="str">
        <f t="shared" si="21"/>
        <v/>
      </c>
      <c r="CX36" s="27"/>
      <c r="CY36" s="31"/>
      <c r="CZ36" s="27"/>
      <c r="DA36" s="9" t="str">
        <f t="shared" si="22"/>
        <v/>
      </c>
      <c r="DB36" s="27"/>
      <c r="DC36" s="31"/>
      <c r="DD36" s="27"/>
      <c r="DE36" s="9" t="str">
        <f t="shared" si="23"/>
        <v/>
      </c>
      <c r="DF36" s="27"/>
      <c r="DG36" s="31"/>
      <c r="DH36" s="27"/>
      <c r="DI36" s="9" t="str">
        <f t="shared" si="39"/>
        <v/>
      </c>
      <c r="DJ36" s="27"/>
      <c r="DK36" s="14"/>
      <c r="DL36" s="14"/>
      <c r="DM36" s="27" t="str">
        <f t="shared" si="25"/>
        <v/>
      </c>
      <c r="DN36" s="27"/>
      <c r="DO36" s="14"/>
      <c r="DP36" s="14"/>
      <c r="DQ36" s="27" t="str">
        <f t="shared" si="26"/>
        <v/>
      </c>
      <c r="DR36" s="27"/>
    </row>
    <row r="37">
      <c r="A37" s="8">
        <v>1216.0</v>
      </c>
      <c r="B37" s="8" t="s">
        <v>50</v>
      </c>
      <c r="C37" s="9" t="str">
        <f t="shared" si="1"/>
        <v>TS-04_BS VI MS</v>
      </c>
      <c r="D37" s="10" t="s">
        <v>816</v>
      </c>
      <c r="E37" s="11" t="s">
        <v>804</v>
      </c>
      <c r="F37" s="10" t="s">
        <v>322</v>
      </c>
      <c r="G37" s="12" t="s">
        <v>54</v>
      </c>
      <c r="H37" s="8">
        <v>0.0</v>
      </c>
      <c r="I37" s="29"/>
      <c r="J37" s="29"/>
      <c r="K37" s="29"/>
      <c r="L37" s="29"/>
      <c r="M37" s="29"/>
      <c r="N37" s="29"/>
      <c r="O37" s="14" t="s">
        <v>817</v>
      </c>
      <c r="P37" s="27"/>
      <c r="Q37" s="9" t="str">
        <f t="shared" si="2"/>
        <v>TS-04</v>
      </c>
      <c r="R37" s="16" t="s">
        <v>58</v>
      </c>
      <c r="S37" s="27"/>
      <c r="T37" s="27"/>
      <c r="U37" s="9" t="str">
        <f t="shared" si="3"/>
        <v/>
      </c>
      <c r="V37" s="27"/>
      <c r="W37" s="14" t="s">
        <v>818</v>
      </c>
      <c r="X37" s="17">
        <v>0.0</v>
      </c>
      <c r="Y37" s="17" t="str">
        <f t="shared" si="4"/>
        <v>TS-04</v>
      </c>
      <c r="Z37" s="16" t="s">
        <v>58</v>
      </c>
      <c r="AA37" s="14" t="s">
        <v>819</v>
      </c>
      <c r="AB37" s="17">
        <v>0.0</v>
      </c>
      <c r="AC37" s="9" t="str">
        <f t="shared" si="5"/>
        <v>TS-04</v>
      </c>
      <c r="AD37" s="8" t="s">
        <v>58</v>
      </c>
      <c r="AE37" s="27"/>
      <c r="AF37" s="27"/>
      <c r="AG37" s="9" t="str">
        <f t="shared" si="6"/>
        <v/>
      </c>
      <c r="AH37" s="27"/>
      <c r="AI37" s="27"/>
      <c r="AJ37" s="27"/>
      <c r="AK37" s="9" t="str">
        <f t="shared" si="7"/>
        <v/>
      </c>
      <c r="AL37" s="27"/>
      <c r="AM37" s="27"/>
      <c r="AN37" s="27"/>
      <c r="AO37" s="9" t="str">
        <f t="shared" si="8"/>
        <v/>
      </c>
      <c r="AP37" s="27"/>
      <c r="AQ37" s="27"/>
      <c r="AR37" s="27"/>
      <c r="AS37" s="9" t="str">
        <f t="shared" si="9"/>
        <v/>
      </c>
      <c r="AT37" s="27"/>
      <c r="AU37" s="27"/>
      <c r="AV37" s="27"/>
      <c r="AW37" s="9" t="str">
        <f t="shared" si="10"/>
        <v/>
      </c>
      <c r="AX37" s="27"/>
      <c r="AY37" s="27"/>
      <c r="AZ37" s="27"/>
      <c r="BA37" s="9" t="str">
        <f t="shared" si="11"/>
        <v/>
      </c>
      <c r="BB37" s="27"/>
      <c r="BC37" s="27"/>
      <c r="BD37" s="27"/>
      <c r="BE37" s="9" t="str">
        <f t="shared" si="40"/>
        <v/>
      </c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9" t="str">
        <f t="shared" si="37"/>
        <v/>
      </c>
      <c r="BV37" s="27"/>
      <c r="BW37" s="27"/>
      <c r="BX37" s="27"/>
      <c r="BY37" s="27"/>
      <c r="BZ37" s="27"/>
      <c r="CA37" s="27"/>
      <c r="CB37" s="27"/>
      <c r="CC37" s="19" t="str">
        <f t="shared" si="41"/>
        <v/>
      </c>
      <c r="CD37" s="27"/>
      <c r="CE37" s="27"/>
      <c r="CF37" s="27"/>
      <c r="CG37" s="27"/>
      <c r="CH37" s="27"/>
      <c r="CI37" s="27"/>
      <c r="CJ37" s="27"/>
      <c r="CK37" s="19" t="str">
        <f t="shared" si="42"/>
        <v/>
      </c>
      <c r="CL37" s="27"/>
      <c r="CM37" s="27"/>
      <c r="CN37" s="27"/>
      <c r="CO37" s="27"/>
      <c r="CP37" s="27"/>
      <c r="CQ37" s="27"/>
      <c r="CR37" s="27"/>
      <c r="CS37" s="9" t="str">
        <f t="shared" si="38"/>
        <v/>
      </c>
      <c r="CT37" s="27"/>
      <c r="CU37" s="31"/>
      <c r="CV37" s="27"/>
      <c r="CW37" s="9" t="str">
        <f t="shared" si="21"/>
        <v/>
      </c>
      <c r="CX37" s="27"/>
      <c r="CY37" s="31"/>
      <c r="CZ37" s="27"/>
      <c r="DA37" s="9" t="str">
        <f t="shared" si="22"/>
        <v/>
      </c>
      <c r="DB37" s="27"/>
      <c r="DC37" s="31"/>
      <c r="DD37" s="27"/>
      <c r="DE37" s="9" t="str">
        <f t="shared" si="23"/>
        <v/>
      </c>
      <c r="DF37" s="27"/>
      <c r="DG37" s="31"/>
      <c r="DH37" s="27"/>
      <c r="DI37" s="9" t="str">
        <f t="shared" si="39"/>
        <v/>
      </c>
      <c r="DJ37" s="27"/>
      <c r="DK37" s="14"/>
      <c r="DL37" s="14"/>
      <c r="DM37" s="27" t="str">
        <f t="shared" si="25"/>
        <v/>
      </c>
      <c r="DN37" s="27"/>
      <c r="DO37" s="14"/>
      <c r="DP37" s="14"/>
      <c r="DQ37" s="27" t="str">
        <f t="shared" si="26"/>
        <v/>
      </c>
      <c r="DR37" s="27"/>
    </row>
    <row r="38">
      <c r="A38" s="8">
        <v>1216.0</v>
      </c>
      <c r="B38" s="8" t="s">
        <v>50</v>
      </c>
      <c r="C38" s="9" t="str">
        <f t="shared" si="1"/>
        <v>TS-05_MTO</v>
      </c>
      <c r="D38" s="10" t="s">
        <v>820</v>
      </c>
      <c r="E38" s="11" t="s">
        <v>804</v>
      </c>
      <c r="F38" s="10" t="s">
        <v>432</v>
      </c>
      <c r="G38" s="12" t="s">
        <v>54</v>
      </c>
      <c r="H38" s="8">
        <v>0.0</v>
      </c>
      <c r="I38" s="29"/>
      <c r="J38" s="29"/>
      <c r="K38" s="29"/>
      <c r="L38" s="29"/>
      <c r="M38" s="29"/>
      <c r="N38" s="29"/>
      <c r="O38" s="14" t="s">
        <v>821</v>
      </c>
      <c r="P38" s="27"/>
      <c r="Q38" s="9" t="str">
        <f t="shared" si="2"/>
        <v>TS-05</v>
      </c>
      <c r="R38" s="16" t="s">
        <v>58</v>
      </c>
      <c r="S38" s="27"/>
      <c r="T38" s="27"/>
      <c r="U38" s="9" t="str">
        <f t="shared" si="3"/>
        <v/>
      </c>
      <c r="V38" s="27"/>
      <c r="W38" s="14" t="s">
        <v>822</v>
      </c>
      <c r="X38" s="17">
        <v>0.0</v>
      </c>
      <c r="Y38" s="17" t="str">
        <f t="shared" si="4"/>
        <v>TS-05</v>
      </c>
      <c r="Z38" s="16" t="s">
        <v>58</v>
      </c>
      <c r="AA38" s="14" t="s">
        <v>823</v>
      </c>
      <c r="AB38" s="17">
        <v>0.0</v>
      </c>
      <c r="AC38" s="9" t="str">
        <f t="shared" si="5"/>
        <v>TS-05</v>
      </c>
      <c r="AD38" s="8" t="s">
        <v>58</v>
      </c>
      <c r="AE38" s="27"/>
      <c r="AF38" s="27"/>
      <c r="AG38" s="9" t="str">
        <f t="shared" si="6"/>
        <v/>
      </c>
      <c r="AH38" s="27"/>
      <c r="AI38" s="27"/>
      <c r="AJ38" s="27"/>
      <c r="AK38" s="9" t="str">
        <f t="shared" si="7"/>
        <v/>
      </c>
      <c r="AL38" s="27"/>
      <c r="AM38" s="27"/>
      <c r="AN38" s="27"/>
      <c r="AO38" s="9" t="str">
        <f t="shared" si="8"/>
        <v/>
      </c>
      <c r="AP38" s="27"/>
      <c r="AQ38" s="27"/>
      <c r="AR38" s="27"/>
      <c r="AS38" s="9" t="str">
        <f t="shared" si="9"/>
        <v/>
      </c>
      <c r="AT38" s="27"/>
      <c r="AU38" s="27"/>
      <c r="AV38" s="27"/>
      <c r="AW38" s="9" t="str">
        <f t="shared" si="10"/>
        <v/>
      </c>
      <c r="AX38" s="27"/>
      <c r="AY38" s="27"/>
      <c r="AZ38" s="27"/>
      <c r="BA38" s="9" t="str">
        <f t="shared" si="11"/>
        <v/>
      </c>
      <c r="BB38" s="27"/>
      <c r="BC38" s="27"/>
      <c r="BD38" s="27"/>
      <c r="BE38" s="9" t="str">
        <f t="shared" si="40"/>
        <v/>
      </c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9" t="str">
        <f t="shared" si="37"/>
        <v/>
      </c>
      <c r="BV38" s="27"/>
      <c r="BW38" s="27"/>
      <c r="BX38" s="27"/>
      <c r="BY38" s="27"/>
      <c r="BZ38" s="27"/>
      <c r="CA38" s="27"/>
      <c r="CB38" s="27"/>
      <c r="CC38" s="19" t="str">
        <f t="shared" si="41"/>
        <v/>
      </c>
      <c r="CD38" s="27"/>
      <c r="CE38" s="27"/>
      <c r="CF38" s="27"/>
      <c r="CG38" s="27"/>
      <c r="CH38" s="27"/>
      <c r="CI38" s="27"/>
      <c r="CJ38" s="27"/>
      <c r="CK38" s="19" t="str">
        <f t="shared" si="42"/>
        <v/>
      </c>
      <c r="CL38" s="27"/>
      <c r="CM38" s="27"/>
      <c r="CN38" s="27"/>
      <c r="CO38" s="27"/>
      <c r="CP38" s="27"/>
      <c r="CQ38" s="27"/>
      <c r="CR38" s="27"/>
      <c r="CS38" s="9" t="str">
        <f t="shared" si="38"/>
        <v/>
      </c>
      <c r="CT38" s="27"/>
      <c r="CU38" s="31"/>
      <c r="CV38" s="27"/>
      <c r="CW38" s="9" t="str">
        <f t="shared" si="21"/>
        <v/>
      </c>
      <c r="CX38" s="27"/>
      <c r="CY38" s="31"/>
      <c r="CZ38" s="27"/>
      <c r="DA38" s="9" t="str">
        <f t="shared" si="22"/>
        <v/>
      </c>
      <c r="DB38" s="27"/>
      <c r="DC38" s="31"/>
      <c r="DD38" s="27"/>
      <c r="DE38" s="9" t="str">
        <f t="shared" si="23"/>
        <v/>
      </c>
      <c r="DF38" s="27"/>
      <c r="DG38" s="31"/>
      <c r="DH38" s="27"/>
      <c r="DI38" s="9" t="str">
        <f t="shared" si="39"/>
        <v/>
      </c>
      <c r="DJ38" s="27"/>
      <c r="DK38" s="14"/>
      <c r="DL38" s="14"/>
      <c r="DM38" s="27" t="str">
        <f t="shared" si="25"/>
        <v/>
      </c>
      <c r="DN38" s="27"/>
      <c r="DO38" s="14"/>
      <c r="DP38" s="14"/>
      <c r="DQ38" s="27" t="str">
        <f t="shared" si="26"/>
        <v/>
      </c>
      <c r="DR38" s="27"/>
    </row>
    <row r="39">
      <c r="A39" s="8">
        <v>1216.0</v>
      </c>
      <c r="B39" s="8" t="s">
        <v>50</v>
      </c>
      <c r="C39" s="9" t="str">
        <f t="shared" si="1"/>
        <v>TS-06_ETHANOL</v>
      </c>
      <c r="D39" s="10" t="s">
        <v>824</v>
      </c>
      <c r="E39" s="11" t="s">
        <v>804</v>
      </c>
      <c r="F39" s="10" t="s">
        <v>405</v>
      </c>
      <c r="G39" s="12" t="s">
        <v>54</v>
      </c>
      <c r="H39" s="8">
        <v>0.0</v>
      </c>
      <c r="I39" s="29"/>
      <c r="J39" s="29"/>
      <c r="K39" s="29"/>
      <c r="L39" s="29"/>
      <c r="M39" s="29"/>
      <c r="N39" s="29"/>
      <c r="O39" s="14" t="s">
        <v>825</v>
      </c>
      <c r="P39" s="27"/>
      <c r="Q39" s="9" t="str">
        <f t="shared" si="2"/>
        <v>TS-06</v>
      </c>
      <c r="R39" s="16" t="s">
        <v>58</v>
      </c>
      <c r="S39" s="27"/>
      <c r="T39" s="27"/>
      <c r="U39" s="9" t="str">
        <f t="shared" si="3"/>
        <v/>
      </c>
      <c r="V39" s="27"/>
      <c r="W39" s="14" t="s">
        <v>826</v>
      </c>
      <c r="X39" s="17">
        <v>0.0</v>
      </c>
      <c r="Y39" s="17" t="str">
        <f t="shared" si="4"/>
        <v>TS-06</v>
      </c>
      <c r="Z39" s="16" t="s">
        <v>58</v>
      </c>
      <c r="AA39" s="14" t="s">
        <v>827</v>
      </c>
      <c r="AB39" s="17">
        <v>0.0</v>
      </c>
      <c r="AC39" s="9" t="str">
        <f t="shared" si="5"/>
        <v>TS-06</v>
      </c>
      <c r="AD39" s="8" t="s">
        <v>58</v>
      </c>
      <c r="AE39" s="27"/>
      <c r="AF39" s="27"/>
      <c r="AG39" s="9" t="str">
        <f t="shared" si="6"/>
        <v/>
      </c>
      <c r="AH39" s="27"/>
      <c r="AI39" s="27"/>
      <c r="AJ39" s="27"/>
      <c r="AK39" s="9" t="str">
        <f t="shared" si="7"/>
        <v/>
      </c>
      <c r="AL39" s="27"/>
      <c r="AM39" s="27"/>
      <c r="AN39" s="27"/>
      <c r="AO39" s="9" t="str">
        <f t="shared" si="8"/>
        <v/>
      </c>
      <c r="AP39" s="27"/>
      <c r="AQ39" s="27"/>
      <c r="AR39" s="27"/>
      <c r="AS39" s="9" t="str">
        <f t="shared" si="9"/>
        <v/>
      </c>
      <c r="AT39" s="27"/>
      <c r="AU39" s="27"/>
      <c r="AV39" s="27"/>
      <c r="AW39" s="9" t="str">
        <f t="shared" si="10"/>
        <v/>
      </c>
      <c r="AX39" s="27"/>
      <c r="AY39" s="27"/>
      <c r="AZ39" s="27"/>
      <c r="BA39" s="9" t="str">
        <f t="shared" si="11"/>
        <v/>
      </c>
      <c r="BB39" s="27"/>
      <c r="BC39" s="27"/>
      <c r="BD39" s="27"/>
      <c r="BE39" s="9" t="str">
        <f t="shared" si="40"/>
        <v/>
      </c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9" t="str">
        <f t="shared" si="37"/>
        <v/>
      </c>
      <c r="BV39" s="27"/>
      <c r="BW39" s="27"/>
      <c r="BX39" s="27"/>
      <c r="BY39" s="27"/>
      <c r="BZ39" s="27"/>
      <c r="CA39" s="27"/>
      <c r="CB39" s="27"/>
      <c r="CC39" s="19" t="str">
        <f t="shared" si="41"/>
        <v/>
      </c>
      <c r="CD39" s="27"/>
      <c r="CE39" s="27"/>
      <c r="CF39" s="27"/>
      <c r="CG39" s="27"/>
      <c r="CH39" s="27"/>
      <c r="CI39" s="27"/>
      <c r="CJ39" s="27"/>
      <c r="CK39" s="19" t="str">
        <f t="shared" si="42"/>
        <v/>
      </c>
      <c r="CL39" s="27"/>
      <c r="CM39" s="27"/>
      <c r="CN39" s="27"/>
      <c r="CO39" s="27"/>
      <c r="CP39" s="27"/>
      <c r="CQ39" s="27"/>
      <c r="CR39" s="27"/>
      <c r="CS39" s="9" t="str">
        <f t="shared" si="38"/>
        <v/>
      </c>
      <c r="CT39" s="27"/>
      <c r="CU39" s="31"/>
      <c r="CV39" s="27"/>
      <c r="CW39" s="9" t="str">
        <f t="shared" si="21"/>
        <v/>
      </c>
      <c r="CX39" s="27"/>
      <c r="CY39" s="31"/>
      <c r="CZ39" s="27"/>
      <c r="DA39" s="9" t="str">
        <f t="shared" si="22"/>
        <v/>
      </c>
      <c r="DB39" s="27"/>
      <c r="DC39" s="31"/>
      <c r="DD39" s="27"/>
      <c r="DE39" s="9" t="str">
        <f t="shared" si="23"/>
        <v/>
      </c>
      <c r="DF39" s="27"/>
      <c r="DG39" s="31"/>
      <c r="DH39" s="27"/>
      <c r="DI39" s="9" t="str">
        <f t="shared" si="39"/>
        <v/>
      </c>
      <c r="DJ39" s="27"/>
      <c r="DK39" s="14"/>
      <c r="DL39" s="14"/>
      <c r="DM39" s="27" t="str">
        <f t="shared" si="25"/>
        <v/>
      </c>
      <c r="DN39" s="27"/>
      <c r="DO39" s="14"/>
      <c r="DP39" s="14"/>
      <c r="DQ39" s="27" t="str">
        <f t="shared" si="26"/>
        <v/>
      </c>
      <c r="DR39" s="27"/>
    </row>
    <row r="40">
      <c r="A40" s="8">
        <v>1216.0</v>
      </c>
      <c r="B40" s="8" t="s">
        <v>50</v>
      </c>
      <c r="C40" s="9" t="str">
        <f t="shared" si="1"/>
        <v>TS-07_ETHANOL</v>
      </c>
      <c r="D40" s="10" t="s">
        <v>828</v>
      </c>
      <c r="E40" s="11" t="s">
        <v>804</v>
      </c>
      <c r="F40" s="10" t="s">
        <v>405</v>
      </c>
      <c r="G40" s="12" t="s">
        <v>54</v>
      </c>
      <c r="H40" s="8">
        <v>0.0</v>
      </c>
      <c r="I40" s="29"/>
      <c r="J40" s="29"/>
      <c r="K40" s="29"/>
      <c r="L40" s="29"/>
      <c r="M40" s="29"/>
      <c r="N40" s="29"/>
      <c r="O40" s="14" t="s">
        <v>829</v>
      </c>
      <c r="P40" s="27"/>
      <c r="Q40" s="9" t="str">
        <f t="shared" si="2"/>
        <v>TS-07</v>
      </c>
      <c r="R40" s="16" t="s">
        <v>58</v>
      </c>
      <c r="S40" s="27"/>
      <c r="T40" s="27"/>
      <c r="U40" s="9" t="str">
        <f t="shared" si="3"/>
        <v/>
      </c>
      <c r="V40" s="27"/>
      <c r="W40" s="14" t="s">
        <v>830</v>
      </c>
      <c r="X40" s="17">
        <v>0.0</v>
      </c>
      <c r="Y40" s="17" t="str">
        <f t="shared" si="4"/>
        <v>TS-07</v>
      </c>
      <c r="Z40" s="16" t="s">
        <v>58</v>
      </c>
      <c r="AA40" s="14" t="s">
        <v>831</v>
      </c>
      <c r="AB40" s="17">
        <v>0.0</v>
      </c>
      <c r="AC40" s="9" t="str">
        <f t="shared" si="5"/>
        <v>TS-07</v>
      </c>
      <c r="AD40" s="8" t="s">
        <v>58</v>
      </c>
      <c r="AE40" s="27"/>
      <c r="AF40" s="27"/>
      <c r="AG40" s="9" t="str">
        <f t="shared" si="6"/>
        <v/>
      </c>
      <c r="AH40" s="27"/>
      <c r="AI40" s="27"/>
      <c r="AJ40" s="27"/>
      <c r="AK40" s="9" t="str">
        <f t="shared" si="7"/>
        <v/>
      </c>
      <c r="AL40" s="27"/>
      <c r="AM40" s="27"/>
      <c r="AN40" s="27"/>
      <c r="AO40" s="9" t="str">
        <f t="shared" si="8"/>
        <v/>
      </c>
      <c r="AP40" s="27"/>
      <c r="AQ40" s="27"/>
      <c r="AR40" s="27"/>
      <c r="AS40" s="9" t="str">
        <f t="shared" si="9"/>
        <v/>
      </c>
      <c r="AT40" s="27"/>
      <c r="AU40" s="27"/>
      <c r="AV40" s="27"/>
      <c r="AW40" s="9" t="str">
        <f t="shared" si="10"/>
        <v/>
      </c>
      <c r="AX40" s="27"/>
      <c r="AY40" s="27"/>
      <c r="AZ40" s="27"/>
      <c r="BA40" s="9" t="str">
        <f t="shared" si="11"/>
        <v/>
      </c>
      <c r="BB40" s="27"/>
      <c r="BC40" s="27"/>
      <c r="BD40" s="27"/>
      <c r="BE40" s="9" t="str">
        <f t="shared" si="40"/>
        <v/>
      </c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9" t="str">
        <f t="shared" si="37"/>
        <v/>
      </c>
      <c r="BV40" s="27"/>
      <c r="BW40" s="27"/>
      <c r="BX40" s="27"/>
      <c r="BY40" s="27"/>
      <c r="BZ40" s="27"/>
      <c r="CA40" s="27"/>
      <c r="CB40" s="27"/>
      <c r="CC40" s="19" t="str">
        <f t="shared" si="41"/>
        <v/>
      </c>
      <c r="CD40" s="27"/>
      <c r="CE40" s="27"/>
      <c r="CF40" s="27"/>
      <c r="CG40" s="27"/>
      <c r="CH40" s="27"/>
      <c r="CI40" s="27"/>
      <c r="CJ40" s="27"/>
      <c r="CK40" s="19" t="str">
        <f t="shared" si="42"/>
        <v/>
      </c>
      <c r="CL40" s="27"/>
      <c r="CM40" s="27"/>
      <c r="CN40" s="27"/>
      <c r="CO40" s="27"/>
      <c r="CP40" s="27"/>
      <c r="CQ40" s="27"/>
      <c r="CR40" s="27"/>
      <c r="CS40" s="9" t="str">
        <f t="shared" si="38"/>
        <v/>
      </c>
      <c r="CT40" s="27"/>
      <c r="CU40" s="31"/>
      <c r="CV40" s="27"/>
      <c r="CW40" s="9" t="str">
        <f t="shared" si="21"/>
        <v/>
      </c>
      <c r="CX40" s="27"/>
      <c r="CY40" s="31"/>
      <c r="CZ40" s="27"/>
      <c r="DA40" s="9" t="str">
        <f t="shared" si="22"/>
        <v/>
      </c>
      <c r="DB40" s="27"/>
      <c r="DC40" s="31"/>
      <c r="DD40" s="27"/>
      <c r="DE40" s="9" t="str">
        <f t="shared" si="23"/>
        <v/>
      </c>
      <c r="DF40" s="27"/>
      <c r="DG40" s="31"/>
      <c r="DH40" s="27"/>
      <c r="DI40" s="9" t="str">
        <f t="shared" si="39"/>
        <v/>
      </c>
      <c r="DJ40" s="27"/>
      <c r="DK40" s="14"/>
      <c r="DL40" s="14"/>
      <c r="DM40" s="27" t="str">
        <f t="shared" si="25"/>
        <v/>
      </c>
      <c r="DN40" s="27"/>
      <c r="DO40" s="14"/>
      <c r="DP40" s="14"/>
      <c r="DQ40" s="27" t="str">
        <f t="shared" si="26"/>
        <v/>
      </c>
      <c r="DR40" s="27"/>
    </row>
    <row r="41">
      <c r="A41" s="8">
        <v>1216.0</v>
      </c>
      <c r="B41" s="8" t="s">
        <v>50</v>
      </c>
      <c r="C41" s="9" t="str">
        <f t="shared" si="1"/>
        <v>TS-08_ETHANOL</v>
      </c>
      <c r="D41" s="10" t="s">
        <v>832</v>
      </c>
      <c r="E41" s="11" t="s">
        <v>804</v>
      </c>
      <c r="F41" s="10" t="s">
        <v>405</v>
      </c>
      <c r="G41" s="12" t="s">
        <v>54</v>
      </c>
      <c r="H41" s="8">
        <v>0.0</v>
      </c>
      <c r="I41" s="29"/>
      <c r="J41" s="29"/>
      <c r="K41" s="29"/>
      <c r="L41" s="29"/>
      <c r="M41" s="29"/>
      <c r="N41" s="29"/>
      <c r="O41" s="14" t="s">
        <v>833</v>
      </c>
      <c r="P41" s="27"/>
      <c r="Q41" s="9" t="str">
        <f t="shared" si="2"/>
        <v>TS-08</v>
      </c>
      <c r="R41" s="16" t="s">
        <v>58</v>
      </c>
      <c r="S41" s="27"/>
      <c r="T41" s="27"/>
      <c r="U41" s="9" t="str">
        <f t="shared" si="3"/>
        <v/>
      </c>
      <c r="V41" s="27"/>
      <c r="W41" s="14" t="s">
        <v>834</v>
      </c>
      <c r="X41" s="17">
        <v>0.0</v>
      </c>
      <c r="Y41" s="17" t="str">
        <f t="shared" si="4"/>
        <v>TS-08</v>
      </c>
      <c r="Z41" s="16" t="s">
        <v>58</v>
      </c>
      <c r="AA41" s="14" t="s">
        <v>835</v>
      </c>
      <c r="AB41" s="17">
        <v>0.0</v>
      </c>
      <c r="AC41" s="9" t="str">
        <f t="shared" si="5"/>
        <v>TS-08</v>
      </c>
      <c r="AD41" s="8" t="s">
        <v>58</v>
      </c>
      <c r="AE41" s="27"/>
      <c r="AF41" s="27"/>
      <c r="AG41" s="9" t="str">
        <f t="shared" si="6"/>
        <v/>
      </c>
      <c r="AH41" s="27"/>
      <c r="AI41" s="27"/>
      <c r="AJ41" s="27"/>
      <c r="AK41" s="9" t="str">
        <f t="shared" si="7"/>
        <v/>
      </c>
      <c r="AL41" s="27"/>
      <c r="AM41" s="27"/>
      <c r="AN41" s="27"/>
      <c r="AO41" s="9" t="str">
        <f t="shared" si="8"/>
        <v/>
      </c>
      <c r="AP41" s="27"/>
      <c r="AQ41" s="27"/>
      <c r="AR41" s="27"/>
      <c r="AS41" s="9" t="str">
        <f t="shared" si="9"/>
        <v/>
      </c>
      <c r="AT41" s="27"/>
      <c r="AU41" s="27"/>
      <c r="AV41" s="27"/>
      <c r="AW41" s="9" t="str">
        <f t="shared" si="10"/>
        <v/>
      </c>
      <c r="AX41" s="27"/>
      <c r="AY41" s="27"/>
      <c r="AZ41" s="27"/>
      <c r="BA41" s="9" t="str">
        <f t="shared" si="11"/>
        <v/>
      </c>
      <c r="BB41" s="27"/>
      <c r="BC41" s="27"/>
      <c r="BD41" s="27"/>
      <c r="BE41" s="9" t="str">
        <f t="shared" si="40"/>
        <v/>
      </c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9" t="str">
        <f t="shared" si="37"/>
        <v/>
      </c>
      <c r="BV41" s="27"/>
      <c r="BW41" s="27"/>
      <c r="BX41" s="27"/>
      <c r="BY41" s="27"/>
      <c r="BZ41" s="27"/>
      <c r="CA41" s="27"/>
      <c r="CB41" s="27"/>
      <c r="CC41" s="19" t="str">
        <f t="shared" si="41"/>
        <v/>
      </c>
      <c r="CD41" s="27"/>
      <c r="CE41" s="27"/>
      <c r="CF41" s="27"/>
      <c r="CG41" s="27"/>
      <c r="CH41" s="27"/>
      <c r="CI41" s="27"/>
      <c r="CJ41" s="27"/>
      <c r="CK41" s="19" t="str">
        <f t="shared" si="42"/>
        <v/>
      </c>
      <c r="CL41" s="27"/>
      <c r="CM41" s="27"/>
      <c r="CN41" s="27"/>
      <c r="CO41" s="27"/>
      <c r="CP41" s="27"/>
      <c r="CQ41" s="27"/>
      <c r="CR41" s="27"/>
      <c r="CS41" s="9" t="str">
        <f t="shared" si="38"/>
        <v/>
      </c>
      <c r="CT41" s="27"/>
      <c r="CU41" s="31"/>
      <c r="CV41" s="27"/>
      <c r="CW41" s="9" t="str">
        <f t="shared" si="21"/>
        <v/>
      </c>
      <c r="CX41" s="27"/>
      <c r="CY41" s="31"/>
      <c r="CZ41" s="27"/>
      <c r="DA41" s="9" t="str">
        <f t="shared" si="22"/>
        <v/>
      </c>
      <c r="DB41" s="27"/>
      <c r="DC41" s="31"/>
      <c r="DD41" s="27"/>
      <c r="DE41" s="9" t="str">
        <f t="shared" si="23"/>
        <v/>
      </c>
      <c r="DF41" s="27"/>
      <c r="DG41" s="31"/>
      <c r="DH41" s="27"/>
      <c r="DI41" s="9" t="str">
        <f t="shared" si="39"/>
        <v/>
      </c>
      <c r="DJ41" s="27"/>
      <c r="DK41" s="14"/>
      <c r="DL41" s="14"/>
      <c r="DM41" s="27" t="str">
        <f t="shared" si="25"/>
        <v/>
      </c>
      <c r="DN41" s="27"/>
      <c r="DO41" s="14"/>
      <c r="DP41" s="14"/>
      <c r="DQ41" s="27" t="str">
        <f t="shared" si="26"/>
        <v/>
      </c>
      <c r="DR41" s="27"/>
    </row>
    <row r="42">
      <c r="A42" s="8">
        <v>1216.0</v>
      </c>
      <c r="B42" s="8" t="s">
        <v>50</v>
      </c>
      <c r="C42" s="9" t="str">
        <f t="shared" si="1"/>
        <v>TS-09_ATF</v>
      </c>
      <c r="D42" s="10" t="s">
        <v>836</v>
      </c>
      <c r="E42" s="11" t="s">
        <v>804</v>
      </c>
      <c r="F42" s="10" t="s">
        <v>562</v>
      </c>
      <c r="G42" s="12" t="s">
        <v>54</v>
      </c>
      <c r="H42" s="8">
        <v>0.0</v>
      </c>
      <c r="I42" s="29"/>
      <c r="J42" s="29"/>
      <c r="K42" s="29"/>
      <c r="L42" s="29"/>
      <c r="M42" s="29"/>
      <c r="N42" s="29"/>
      <c r="O42" s="14" t="s">
        <v>837</v>
      </c>
      <c r="P42" s="27"/>
      <c r="Q42" s="9" t="str">
        <f t="shared" si="2"/>
        <v>TS-09</v>
      </c>
      <c r="R42" s="16" t="s">
        <v>58</v>
      </c>
      <c r="S42" s="27"/>
      <c r="T42" s="27"/>
      <c r="U42" s="9" t="str">
        <f t="shared" si="3"/>
        <v/>
      </c>
      <c r="V42" s="27"/>
      <c r="W42" s="14" t="s">
        <v>838</v>
      </c>
      <c r="X42" s="17">
        <v>0.0</v>
      </c>
      <c r="Y42" s="17" t="str">
        <f t="shared" si="4"/>
        <v>TS-09</v>
      </c>
      <c r="Z42" s="16" t="s">
        <v>58</v>
      </c>
      <c r="AA42" s="14" t="s">
        <v>839</v>
      </c>
      <c r="AB42" s="17">
        <v>0.0</v>
      </c>
      <c r="AC42" s="9" t="str">
        <f t="shared" si="5"/>
        <v>TS-09</v>
      </c>
      <c r="AD42" s="8" t="s">
        <v>58</v>
      </c>
      <c r="AE42" s="27"/>
      <c r="AF42" s="27"/>
      <c r="AG42" s="9" t="str">
        <f t="shared" si="6"/>
        <v/>
      </c>
      <c r="AH42" s="27"/>
      <c r="AI42" s="27"/>
      <c r="AJ42" s="27"/>
      <c r="AK42" s="9" t="str">
        <f t="shared" si="7"/>
        <v/>
      </c>
      <c r="AL42" s="27"/>
      <c r="AM42" s="27"/>
      <c r="AN42" s="27"/>
      <c r="AO42" s="9" t="str">
        <f t="shared" si="8"/>
        <v/>
      </c>
      <c r="AP42" s="27"/>
      <c r="AQ42" s="27"/>
      <c r="AR42" s="27"/>
      <c r="AS42" s="9" t="str">
        <f t="shared" si="9"/>
        <v/>
      </c>
      <c r="AT42" s="27"/>
      <c r="AU42" s="27"/>
      <c r="AV42" s="27"/>
      <c r="AW42" s="9" t="str">
        <f t="shared" si="10"/>
        <v/>
      </c>
      <c r="AX42" s="27"/>
      <c r="AY42" s="27"/>
      <c r="AZ42" s="27"/>
      <c r="BA42" s="9" t="str">
        <f t="shared" si="11"/>
        <v/>
      </c>
      <c r="BB42" s="27"/>
      <c r="BC42" s="27"/>
      <c r="BD42" s="27"/>
      <c r="BE42" s="9" t="str">
        <f t="shared" si="40"/>
        <v/>
      </c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9" t="str">
        <f t="shared" si="37"/>
        <v/>
      </c>
      <c r="BV42" s="27"/>
      <c r="BW42" s="27"/>
      <c r="BX42" s="27"/>
      <c r="BY42" s="27"/>
      <c r="BZ42" s="27"/>
      <c r="CA42" s="27"/>
      <c r="CB42" s="27"/>
      <c r="CC42" s="19" t="str">
        <f t="shared" si="41"/>
        <v/>
      </c>
      <c r="CD42" s="27"/>
      <c r="CE42" s="27"/>
      <c r="CF42" s="27"/>
      <c r="CG42" s="27"/>
      <c r="CH42" s="27"/>
      <c r="CI42" s="27"/>
      <c r="CJ42" s="27"/>
      <c r="CK42" s="19" t="str">
        <f t="shared" si="42"/>
        <v/>
      </c>
      <c r="CL42" s="27"/>
      <c r="CM42" s="27"/>
      <c r="CN42" s="27"/>
      <c r="CO42" s="27"/>
      <c r="CP42" s="27"/>
      <c r="CQ42" s="27"/>
      <c r="CR42" s="27"/>
      <c r="CS42" s="9" t="str">
        <f t="shared" si="38"/>
        <v/>
      </c>
      <c r="CT42" s="27"/>
      <c r="CU42" s="31"/>
      <c r="CV42" s="27"/>
      <c r="CW42" s="9" t="str">
        <f t="shared" si="21"/>
        <v/>
      </c>
      <c r="CX42" s="27"/>
      <c r="CY42" s="31"/>
      <c r="CZ42" s="27"/>
      <c r="DA42" s="9" t="str">
        <f t="shared" si="22"/>
        <v/>
      </c>
      <c r="DB42" s="27"/>
      <c r="DC42" s="31"/>
      <c r="DD42" s="27"/>
      <c r="DE42" s="9" t="str">
        <f t="shared" si="23"/>
        <v/>
      </c>
      <c r="DF42" s="27"/>
      <c r="DG42" s="31"/>
      <c r="DH42" s="27"/>
      <c r="DI42" s="9" t="str">
        <f t="shared" si="39"/>
        <v/>
      </c>
      <c r="DJ42" s="27"/>
      <c r="DK42" s="14"/>
      <c r="DL42" s="14"/>
      <c r="DM42" s="27" t="str">
        <f t="shared" si="25"/>
        <v/>
      </c>
      <c r="DN42" s="27"/>
      <c r="DO42" s="14"/>
      <c r="DP42" s="14"/>
      <c r="DQ42" s="27" t="str">
        <f t="shared" si="26"/>
        <v/>
      </c>
      <c r="DR42" s="27"/>
    </row>
    <row r="43">
      <c r="A43" s="8">
        <v>1216.0</v>
      </c>
      <c r="B43" s="8" t="s">
        <v>50</v>
      </c>
      <c r="C43" s="9" t="str">
        <f t="shared" si="1"/>
        <v>TS-10_SLOP</v>
      </c>
      <c r="D43" s="10" t="s">
        <v>840</v>
      </c>
      <c r="E43" s="11" t="s">
        <v>804</v>
      </c>
      <c r="F43" s="10" t="s">
        <v>841</v>
      </c>
      <c r="G43" s="12" t="s">
        <v>54</v>
      </c>
      <c r="H43" s="8">
        <v>0.0</v>
      </c>
      <c r="I43" s="29"/>
      <c r="J43" s="29"/>
      <c r="K43" s="29"/>
      <c r="L43" s="29"/>
      <c r="M43" s="29"/>
      <c r="N43" s="29"/>
      <c r="O43" s="14" t="s">
        <v>842</v>
      </c>
      <c r="P43" s="27"/>
      <c r="Q43" s="9" t="str">
        <f t="shared" si="2"/>
        <v>TS-10</v>
      </c>
      <c r="R43" s="16" t="s">
        <v>58</v>
      </c>
      <c r="S43" s="27"/>
      <c r="T43" s="27"/>
      <c r="U43" s="9" t="str">
        <f t="shared" si="3"/>
        <v/>
      </c>
      <c r="V43" s="27"/>
      <c r="W43" s="14" t="s">
        <v>843</v>
      </c>
      <c r="X43" s="17">
        <v>0.0</v>
      </c>
      <c r="Y43" s="17" t="str">
        <f t="shared" si="4"/>
        <v>TS-10</v>
      </c>
      <c r="Z43" s="16" t="s">
        <v>58</v>
      </c>
      <c r="AA43" s="27"/>
      <c r="AB43" s="27"/>
      <c r="AC43" s="9" t="str">
        <f t="shared" si="5"/>
        <v/>
      </c>
      <c r="AD43" s="27"/>
      <c r="AE43" s="27"/>
      <c r="AF43" s="27"/>
      <c r="AG43" s="9" t="str">
        <f t="shared" si="6"/>
        <v/>
      </c>
      <c r="AH43" s="27"/>
      <c r="AI43" s="27"/>
      <c r="AJ43" s="27"/>
      <c r="AK43" s="9" t="str">
        <f t="shared" si="7"/>
        <v/>
      </c>
      <c r="AL43" s="27"/>
      <c r="AM43" s="27"/>
      <c r="AN43" s="27"/>
      <c r="AO43" s="9" t="str">
        <f t="shared" si="8"/>
        <v/>
      </c>
      <c r="AP43" s="27"/>
      <c r="AQ43" s="27"/>
      <c r="AR43" s="27"/>
      <c r="AS43" s="9" t="str">
        <f t="shared" si="9"/>
        <v/>
      </c>
      <c r="AT43" s="27"/>
      <c r="AU43" s="27"/>
      <c r="AV43" s="27"/>
      <c r="AW43" s="9" t="str">
        <f t="shared" si="10"/>
        <v/>
      </c>
      <c r="AX43" s="27"/>
      <c r="AY43" s="27"/>
      <c r="AZ43" s="27"/>
      <c r="BA43" s="9" t="str">
        <f t="shared" si="11"/>
        <v/>
      </c>
      <c r="BB43" s="27"/>
      <c r="BC43" s="27"/>
      <c r="BD43" s="27"/>
      <c r="BE43" s="9" t="str">
        <f t="shared" si="40"/>
        <v/>
      </c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9" t="str">
        <f t="shared" si="37"/>
        <v/>
      </c>
      <c r="BV43" s="27"/>
      <c r="BW43" s="27"/>
      <c r="BX43" s="27"/>
      <c r="BY43" s="27"/>
      <c r="BZ43" s="27"/>
      <c r="CA43" s="27"/>
      <c r="CB43" s="27"/>
      <c r="CC43" s="19" t="str">
        <f t="shared" si="41"/>
        <v/>
      </c>
      <c r="CD43" s="27"/>
      <c r="CE43" s="27"/>
      <c r="CF43" s="27"/>
      <c r="CG43" s="27"/>
      <c r="CH43" s="27"/>
      <c r="CI43" s="27"/>
      <c r="CJ43" s="27"/>
      <c r="CK43" s="19" t="str">
        <f t="shared" si="42"/>
        <v/>
      </c>
      <c r="CL43" s="27"/>
      <c r="CM43" s="27"/>
      <c r="CN43" s="27"/>
      <c r="CO43" s="27"/>
      <c r="CP43" s="27"/>
      <c r="CQ43" s="27"/>
      <c r="CR43" s="27"/>
      <c r="CS43" s="9" t="str">
        <f t="shared" si="38"/>
        <v/>
      </c>
      <c r="CT43" s="27"/>
      <c r="CU43" s="31"/>
      <c r="CV43" s="27"/>
      <c r="CW43" s="9" t="str">
        <f t="shared" si="21"/>
        <v/>
      </c>
      <c r="CX43" s="27"/>
      <c r="CY43" s="31"/>
      <c r="CZ43" s="27"/>
      <c r="DA43" s="9" t="str">
        <f t="shared" si="22"/>
        <v/>
      </c>
      <c r="DB43" s="27"/>
      <c r="DC43" s="31"/>
      <c r="DD43" s="27"/>
      <c r="DE43" s="9" t="str">
        <f t="shared" si="23"/>
        <v/>
      </c>
      <c r="DF43" s="27"/>
      <c r="DG43" s="31"/>
      <c r="DH43" s="27"/>
      <c r="DI43" s="9" t="str">
        <f t="shared" si="39"/>
        <v/>
      </c>
      <c r="DJ43" s="27"/>
      <c r="DK43" s="14"/>
      <c r="DL43" s="14"/>
      <c r="DM43" s="27" t="str">
        <f t="shared" si="25"/>
        <v/>
      </c>
      <c r="DN43" s="27"/>
      <c r="DO43" s="14"/>
      <c r="DP43" s="14"/>
      <c r="DQ43" s="27" t="str">
        <f t="shared" si="26"/>
        <v/>
      </c>
      <c r="DR43" s="27"/>
    </row>
    <row r="44">
      <c r="A44" s="8">
        <v>1216.0</v>
      </c>
      <c r="B44" s="8" t="s">
        <v>50</v>
      </c>
      <c r="C44" s="9" t="str">
        <f t="shared" si="1"/>
        <v>TS-11_SLOP</v>
      </c>
      <c r="D44" s="10" t="s">
        <v>844</v>
      </c>
      <c r="E44" s="11" t="s">
        <v>804</v>
      </c>
      <c r="F44" s="10" t="s">
        <v>841</v>
      </c>
      <c r="G44" s="12" t="s">
        <v>54</v>
      </c>
      <c r="H44" s="8">
        <v>0.0</v>
      </c>
      <c r="I44" s="27"/>
      <c r="J44" s="27"/>
      <c r="K44" s="27"/>
      <c r="L44" s="27"/>
      <c r="M44" s="27"/>
      <c r="N44" s="27"/>
      <c r="O44" s="14" t="s">
        <v>845</v>
      </c>
      <c r="P44" s="27"/>
      <c r="Q44" s="9" t="str">
        <f t="shared" si="2"/>
        <v>TS-11</v>
      </c>
      <c r="R44" s="16" t="s">
        <v>58</v>
      </c>
      <c r="S44" s="27"/>
      <c r="T44" s="27"/>
      <c r="U44" s="9" t="str">
        <f t="shared" si="3"/>
        <v/>
      </c>
      <c r="V44" s="27"/>
      <c r="W44" s="14" t="s">
        <v>846</v>
      </c>
      <c r="X44" s="17">
        <v>0.0</v>
      </c>
      <c r="Y44" s="17" t="str">
        <f t="shared" si="4"/>
        <v>TS-11</v>
      </c>
      <c r="Z44" s="17"/>
      <c r="AA44" s="27"/>
      <c r="AB44" s="27"/>
      <c r="AC44" s="9" t="str">
        <f t="shared" si="5"/>
        <v/>
      </c>
      <c r="AD44" s="27"/>
      <c r="AE44" s="27"/>
      <c r="AF44" s="27"/>
      <c r="AG44" s="9" t="str">
        <f t="shared" si="6"/>
        <v/>
      </c>
      <c r="AH44" s="27"/>
      <c r="AI44" s="27"/>
      <c r="AJ44" s="27"/>
      <c r="AK44" s="9" t="str">
        <f t="shared" si="7"/>
        <v/>
      </c>
      <c r="AL44" s="27"/>
      <c r="AM44" s="27"/>
      <c r="AN44" s="27"/>
      <c r="AO44" s="9" t="str">
        <f t="shared" si="8"/>
        <v/>
      </c>
      <c r="AP44" s="27"/>
      <c r="AQ44" s="27"/>
      <c r="AR44" s="27"/>
      <c r="AS44" s="9" t="str">
        <f t="shared" si="9"/>
        <v/>
      </c>
      <c r="AT44" s="27"/>
      <c r="AU44" s="27"/>
      <c r="AV44" s="27"/>
      <c r="AW44" s="9" t="str">
        <f t="shared" si="10"/>
        <v/>
      </c>
      <c r="AX44" s="27"/>
      <c r="AY44" s="27"/>
      <c r="AZ44" s="27"/>
      <c r="BA44" s="9" t="str">
        <f t="shared" si="11"/>
        <v/>
      </c>
      <c r="BB44" s="27"/>
      <c r="BC44" s="27"/>
      <c r="BD44" s="27"/>
      <c r="BE44" s="9" t="str">
        <f t="shared" si="40"/>
        <v/>
      </c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9" t="str">
        <f t="shared" si="37"/>
        <v/>
      </c>
      <c r="BV44" s="27"/>
      <c r="BW44" s="27"/>
      <c r="BX44" s="27"/>
      <c r="BY44" s="27"/>
      <c r="BZ44" s="27"/>
      <c r="CA44" s="27"/>
      <c r="CB44" s="27"/>
      <c r="CC44" s="19" t="str">
        <f t="shared" si="41"/>
        <v/>
      </c>
      <c r="CD44" s="27"/>
      <c r="CE44" s="27"/>
      <c r="CF44" s="27"/>
      <c r="CG44" s="27"/>
      <c r="CH44" s="27"/>
      <c r="CI44" s="27"/>
      <c r="CJ44" s="27"/>
      <c r="CK44" s="19" t="str">
        <f t="shared" si="42"/>
        <v/>
      </c>
      <c r="CL44" s="27"/>
      <c r="CM44" s="27"/>
      <c r="CN44" s="27"/>
      <c r="CO44" s="27"/>
      <c r="CP44" s="27"/>
      <c r="CQ44" s="27"/>
      <c r="CR44" s="27"/>
      <c r="CS44" s="9" t="str">
        <f t="shared" si="38"/>
        <v/>
      </c>
      <c r="CT44" s="27"/>
      <c r="CU44" s="31"/>
      <c r="CV44" s="27"/>
      <c r="CW44" s="9" t="str">
        <f t="shared" si="21"/>
        <v/>
      </c>
      <c r="CX44" s="27"/>
      <c r="CY44" s="31"/>
      <c r="CZ44" s="27"/>
      <c r="DA44" s="9" t="str">
        <f t="shared" si="22"/>
        <v/>
      </c>
      <c r="DB44" s="27"/>
      <c r="DC44" s="31"/>
      <c r="DD44" s="27"/>
      <c r="DE44" s="9" t="str">
        <f t="shared" si="23"/>
        <v/>
      </c>
      <c r="DF44" s="27"/>
      <c r="DG44" s="31"/>
      <c r="DH44" s="27"/>
      <c r="DI44" s="9" t="str">
        <f t="shared" si="39"/>
        <v/>
      </c>
      <c r="DJ44" s="27"/>
      <c r="DK44" s="14"/>
      <c r="DL44" s="14"/>
      <c r="DM44" s="27" t="str">
        <f t="shared" si="25"/>
        <v/>
      </c>
      <c r="DN44" s="27"/>
      <c r="DO44" s="14"/>
      <c r="DP44" s="14"/>
      <c r="DQ44" s="27" t="str">
        <f t="shared" si="26"/>
        <v/>
      </c>
      <c r="DR44" s="27"/>
    </row>
    <row r="45">
      <c r="A45" s="8">
        <v>1216.0</v>
      </c>
      <c r="B45" s="8" t="s">
        <v>50</v>
      </c>
      <c r="C45" s="9" t="str">
        <f t="shared" si="1"/>
        <v>WTK-01_WATER</v>
      </c>
      <c r="D45" s="10" t="s">
        <v>847</v>
      </c>
      <c r="E45" s="24" t="s">
        <v>52</v>
      </c>
      <c r="F45" s="10" t="s">
        <v>848</v>
      </c>
      <c r="G45" s="12" t="s">
        <v>54</v>
      </c>
      <c r="H45" s="8">
        <v>0.0</v>
      </c>
      <c r="I45" s="27"/>
      <c r="J45" s="27"/>
      <c r="K45" s="27"/>
      <c r="L45" s="27"/>
      <c r="M45" s="27"/>
      <c r="N45" s="27"/>
      <c r="O45" s="14" t="s">
        <v>849</v>
      </c>
      <c r="P45" s="27"/>
      <c r="Q45" s="9" t="str">
        <f t="shared" si="2"/>
        <v>WTK-0</v>
      </c>
      <c r="R45" s="16" t="s">
        <v>58</v>
      </c>
      <c r="S45" s="27"/>
      <c r="T45" s="27"/>
      <c r="U45" s="9" t="str">
        <f t="shared" si="3"/>
        <v/>
      </c>
      <c r="V45" s="27"/>
      <c r="W45" s="27"/>
      <c r="X45" s="27"/>
      <c r="Y45" s="17" t="str">
        <f t="shared" si="4"/>
        <v/>
      </c>
      <c r="Z45" s="27"/>
      <c r="AA45" s="27"/>
      <c r="AB45" s="27"/>
      <c r="AC45" s="9" t="str">
        <f t="shared" si="5"/>
        <v/>
      </c>
      <c r="AD45" s="27"/>
      <c r="AE45" s="27"/>
      <c r="AF45" s="27"/>
      <c r="AG45" s="9" t="str">
        <f t="shared" si="6"/>
        <v/>
      </c>
      <c r="AH45" s="27"/>
      <c r="AI45" s="27"/>
      <c r="AJ45" s="27"/>
      <c r="AK45" s="9" t="str">
        <f t="shared" si="7"/>
        <v/>
      </c>
      <c r="AL45" s="27"/>
      <c r="AM45" s="27"/>
      <c r="AN45" s="27"/>
      <c r="AO45" s="9" t="str">
        <f t="shared" si="8"/>
        <v/>
      </c>
      <c r="AP45" s="27"/>
      <c r="AQ45" s="27"/>
      <c r="AR45" s="27"/>
      <c r="AS45" s="9" t="str">
        <f t="shared" si="9"/>
        <v/>
      </c>
      <c r="AT45" s="27"/>
      <c r="AU45" s="27"/>
      <c r="AV45" s="27"/>
      <c r="AW45" s="9" t="str">
        <f t="shared" si="10"/>
        <v/>
      </c>
      <c r="AX45" s="27"/>
      <c r="AY45" s="27"/>
      <c r="AZ45" s="27"/>
      <c r="BA45" s="9" t="str">
        <f t="shared" si="11"/>
        <v/>
      </c>
      <c r="BB45" s="27"/>
      <c r="BC45" s="27"/>
      <c r="BD45" s="27"/>
      <c r="BE45" s="9" t="str">
        <f t="shared" si="40"/>
        <v/>
      </c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9" t="str">
        <f t="shared" si="37"/>
        <v/>
      </c>
      <c r="BV45" s="27"/>
      <c r="BW45" s="27"/>
      <c r="BX45" s="27"/>
      <c r="BY45" s="27"/>
      <c r="BZ45" s="27"/>
      <c r="CA45" s="27"/>
      <c r="CB45" s="27"/>
      <c r="CC45" s="19" t="str">
        <f t="shared" si="41"/>
        <v/>
      </c>
      <c r="CD45" s="27"/>
      <c r="CE45" s="27"/>
      <c r="CF45" s="27"/>
      <c r="CG45" s="27"/>
      <c r="CH45" s="27"/>
      <c r="CI45" s="27"/>
      <c r="CJ45" s="27"/>
      <c r="CK45" s="19" t="str">
        <f t="shared" si="42"/>
        <v/>
      </c>
      <c r="CL45" s="27"/>
      <c r="CM45" s="27"/>
      <c r="CN45" s="27"/>
      <c r="CO45" s="27"/>
      <c r="CP45" s="27"/>
      <c r="CQ45" s="27"/>
      <c r="CR45" s="27"/>
      <c r="CS45" s="9" t="str">
        <f t="shared" si="38"/>
        <v/>
      </c>
      <c r="CT45" s="27"/>
      <c r="CU45" s="31"/>
      <c r="CV45" s="27"/>
      <c r="CW45" s="9" t="str">
        <f t="shared" si="21"/>
        <v/>
      </c>
      <c r="CX45" s="27"/>
      <c r="CY45" s="31"/>
      <c r="CZ45" s="27"/>
      <c r="DA45" s="9" t="str">
        <f t="shared" si="22"/>
        <v/>
      </c>
      <c r="DB45" s="27"/>
      <c r="DC45" s="31"/>
      <c r="DD45" s="27"/>
      <c r="DE45" s="9" t="str">
        <f t="shared" si="23"/>
        <v/>
      </c>
      <c r="DF45" s="27"/>
      <c r="DG45" s="31"/>
      <c r="DH45" s="27"/>
      <c r="DI45" s="9" t="str">
        <f t="shared" si="39"/>
        <v/>
      </c>
      <c r="DJ45" s="27"/>
      <c r="DK45" s="14"/>
      <c r="DL45" s="14"/>
      <c r="DM45" s="27" t="str">
        <f t="shared" si="25"/>
        <v/>
      </c>
      <c r="DN45" s="27"/>
      <c r="DO45" s="14"/>
      <c r="DP45" s="14"/>
      <c r="DQ45" s="27" t="str">
        <f t="shared" si="26"/>
        <v/>
      </c>
      <c r="DR45" s="27"/>
    </row>
    <row r="46">
      <c r="A46" s="8">
        <v>1216.0</v>
      </c>
      <c r="B46" s="8" t="s">
        <v>50</v>
      </c>
      <c r="C46" s="9" t="str">
        <f t="shared" si="1"/>
        <v>WTK-02_WATER</v>
      </c>
      <c r="D46" s="10" t="s">
        <v>850</v>
      </c>
      <c r="E46" s="24" t="s">
        <v>52</v>
      </c>
      <c r="F46" s="10" t="s">
        <v>848</v>
      </c>
      <c r="G46" s="12" t="s">
        <v>54</v>
      </c>
      <c r="H46" s="8">
        <v>0.0</v>
      </c>
      <c r="I46" s="27"/>
      <c r="J46" s="27"/>
      <c r="K46" s="27"/>
      <c r="L46" s="27"/>
      <c r="M46" s="27"/>
      <c r="N46" s="27"/>
      <c r="O46" s="14" t="s">
        <v>851</v>
      </c>
      <c r="P46" s="27"/>
      <c r="Q46" s="9" t="str">
        <f t="shared" si="2"/>
        <v>WTK-0</v>
      </c>
      <c r="R46" s="16" t="s">
        <v>58</v>
      </c>
      <c r="S46" s="27"/>
      <c r="T46" s="27"/>
      <c r="U46" s="9" t="str">
        <f t="shared" si="3"/>
        <v/>
      </c>
      <c r="V46" s="27"/>
      <c r="W46" s="27"/>
      <c r="X46" s="27"/>
      <c r="Y46" s="17" t="str">
        <f t="shared" si="4"/>
        <v/>
      </c>
      <c r="Z46" s="27"/>
      <c r="AA46" s="27"/>
      <c r="AB46" s="27"/>
      <c r="AC46" s="9" t="str">
        <f t="shared" si="5"/>
        <v/>
      </c>
      <c r="AD46" s="27"/>
      <c r="AE46" s="27"/>
      <c r="AF46" s="27"/>
      <c r="AG46" s="9" t="str">
        <f t="shared" si="6"/>
        <v/>
      </c>
      <c r="AH46" s="27"/>
      <c r="AI46" s="27"/>
      <c r="AJ46" s="27"/>
      <c r="AK46" s="9" t="str">
        <f t="shared" si="7"/>
        <v/>
      </c>
      <c r="AL46" s="27"/>
      <c r="AM46" s="27"/>
      <c r="AN46" s="27"/>
      <c r="AO46" s="9" t="str">
        <f t="shared" si="8"/>
        <v/>
      </c>
      <c r="AP46" s="27"/>
      <c r="AQ46" s="27"/>
      <c r="AR46" s="27"/>
      <c r="AS46" s="9" t="str">
        <f t="shared" si="9"/>
        <v/>
      </c>
      <c r="AT46" s="27"/>
      <c r="AU46" s="27"/>
      <c r="AV46" s="27"/>
      <c r="AW46" s="9" t="str">
        <f t="shared" si="10"/>
        <v/>
      </c>
      <c r="AX46" s="27"/>
      <c r="AY46" s="27"/>
      <c r="AZ46" s="27"/>
      <c r="BA46" s="9" t="str">
        <f t="shared" si="11"/>
        <v/>
      </c>
      <c r="BB46" s="27"/>
      <c r="BC46" s="27"/>
      <c r="BD46" s="27"/>
      <c r="BE46" s="9" t="str">
        <f t="shared" si="40"/>
        <v/>
      </c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9" t="str">
        <f t="shared" si="37"/>
        <v/>
      </c>
      <c r="BV46" s="27"/>
      <c r="BW46" s="27"/>
      <c r="BX46" s="27"/>
      <c r="BY46" s="27"/>
      <c r="BZ46" s="27"/>
      <c r="CA46" s="27"/>
      <c r="CB46" s="27"/>
      <c r="CC46" s="19" t="str">
        <f t="shared" si="41"/>
        <v/>
      </c>
      <c r="CD46" s="27"/>
      <c r="CE46" s="27"/>
      <c r="CF46" s="27"/>
      <c r="CG46" s="27"/>
      <c r="CH46" s="27"/>
      <c r="CI46" s="27"/>
      <c r="CJ46" s="27"/>
      <c r="CK46" s="19" t="str">
        <f t="shared" si="42"/>
        <v/>
      </c>
      <c r="CL46" s="27"/>
      <c r="CM46" s="27"/>
      <c r="CN46" s="27"/>
      <c r="CO46" s="27"/>
      <c r="CP46" s="27"/>
      <c r="CQ46" s="27"/>
      <c r="CR46" s="27"/>
      <c r="CS46" s="9" t="str">
        <f t="shared" si="38"/>
        <v/>
      </c>
      <c r="CT46" s="27"/>
      <c r="CU46" s="31"/>
      <c r="CV46" s="27"/>
      <c r="CW46" s="9" t="str">
        <f t="shared" si="21"/>
        <v/>
      </c>
      <c r="CX46" s="27"/>
      <c r="CY46" s="31"/>
      <c r="CZ46" s="27"/>
      <c r="DA46" s="9" t="str">
        <f t="shared" si="22"/>
        <v/>
      </c>
      <c r="DB46" s="27"/>
      <c r="DC46" s="31"/>
      <c r="DD46" s="27"/>
      <c r="DE46" s="9" t="str">
        <f t="shared" si="23"/>
        <v/>
      </c>
      <c r="DF46" s="27"/>
      <c r="DG46" s="31"/>
      <c r="DH46" s="27"/>
      <c r="DI46" s="9" t="str">
        <f t="shared" si="39"/>
        <v/>
      </c>
      <c r="DJ46" s="27"/>
      <c r="DK46" s="14"/>
      <c r="DL46" s="14"/>
      <c r="DM46" s="27" t="str">
        <f t="shared" si="25"/>
        <v/>
      </c>
      <c r="DN46" s="27"/>
      <c r="DO46" s="14"/>
      <c r="DP46" s="14"/>
      <c r="DQ46" s="27" t="str">
        <f t="shared" si="26"/>
        <v/>
      </c>
      <c r="DR46" s="27"/>
    </row>
    <row r="47">
      <c r="A47" s="8">
        <v>1216.0</v>
      </c>
      <c r="B47" s="8" t="s">
        <v>50</v>
      </c>
      <c r="C47" s="9" t="str">
        <f t="shared" si="1"/>
        <v>WTK-03_WATER</v>
      </c>
      <c r="D47" s="10" t="s">
        <v>852</v>
      </c>
      <c r="E47" s="24" t="s">
        <v>52</v>
      </c>
      <c r="F47" s="10" t="s">
        <v>848</v>
      </c>
      <c r="G47" s="12" t="s">
        <v>54</v>
      </c>
      <c r="H47" s="8">
        <v>0.0</v>
      </c>
      <c r="I47" s="27"/>
      <c r="J47" s="27"/>
      <c r="K47" s="27"/>
      <c r="L47" s="27"/>
      <c r="M47" s="27"/>
      <c r="N47" s="27"/>
      <c r="O47" s="14" t="s">
        <v>853</v>
      </c>
      <c r="P47" s="27"/>
      <c r="Q47" s="9" t="str">
        <f t="shared" si="2"/>
        <v>WTK-0</v>
      </c>
      <c r="R47" s="16" t="s">
        <v>58</v>
      </c>
      <c r="S47" s="27"/>
      <c r="T47" s="27"/>
      <c r="U47" s="9" t="str">
        <f t="shared" si="3"/>
        <v/>
      </c>
      <c r="V47" s="27"/>
      <c r="W47" s="27"/>
      <c r="X47" s="27"/>
      <c r="Y47" s="17" t="str">
        <f t="shared" si="4"/>
        <v/>
      </c>
      <c r="Z47" s="27"/>
      <c r="AA47" s="27"/>
      <c r="AB47" s="27"/>
      <c r="AC47" s="9" t="str">
        <f t="shared" si="5"/>
        <v/>
      </c>
      <c r="AD47" s="27"/>
      <c r="AE47" s="27"/>
      <c r="AF47" s="27"/>
      <c r="AG47" s="9" t="str">
        <f t="shared" si="6"/>
        <v/>
      </c>
      <c r="AH47" s="27"/>
      <c r="AI47" s="27"/>
      <c r="AJ47" s="27"/>
      <c r="AK47" s="9" t="str">
        <f t="shared" si="7"/>
        <v/>
      </c>
      <c r="AL47" s="27"/>
      <c r="AM47" s="27"/>
      <c r="AN47" s="27"/>
      <c r="AO47" s="9" t="str">
        <f t="shared" si="8"/>
        <v/>
      </c>
      <c r="AP47" s="27"/>
      <c r="AQ47" s="27"/>
      <c r="AR47" s="27"/>
      <c r="AS47" s="9" t="str">
        <f t="shared" si="9"/>
        <v/>
      </c>
      <c r="AT47" s="27"/>
      <c r="AU47" s="27"/>
      <c r="AV47" s="27"/>
      <c r="AW47" s="9" t="str">
        <f t="shared" si="10"/>
        <v/>
      </c>
      <c r="AX47" s="27"/>
      <c r="AY47" s="27"/>
      <c r="AZ47" s="27"/>
      <c r="BA47" s="9" t="str">
        <f t="shared" si="11"/>
        <v/>
      </c>
      <c r="BB47" s="27"/>
      <c r="BC47" s="27"/>
      <c r="BD47" s="27"/>
      <c r="BE47" s="9" t="str">
        <f t="shared" si="40"/>
        <v/>
      </c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9" t="str">
        <f t="shared" si="37"/>
        <v/>
      </c>
      <c r="BV47" s="27"/>
      <c r="BW47" s="27"/>
      <c r="BX47" s="27"/>
      <c r="BY47" s="27"/>
      <c r="BZ47" s="27"/>
      <c r="CA47" s="27"/>
      <c r="CB47" s="27"/>
      <c r="CC47" s="19" t="str">
        <f t="shared" si="41"/>
        <v/>
      </c>
      <c r="CD47" s="27"/>
      <c r="CE47" s="27"/>
      <c r="CF47" s="27"/>
      <c r="CG47" s="27"/>
      <c r="CH47" s="27"/>
      <c r="CI47" s="27"/>
      <c r="CJ47" s="27"/>
      <c r="CK47" s="19" t="str">
        <f t="shared" si="42"/>
        <v/>
      </c>
      <c r="CL47" s="27"/>
      <c r="CM47" s="27"/>
      <c r="CN47" s="27"/>
      <c r="CO47" s="27"/>
      <c r="CP47" s="27"/>
      <c r="CQ47" s="27"/>
      <c r="CR47" s="27"/>
      <c r="CS47" s="9" t="str">
        <f t="shared" si="38"/>
        <v/>
      </c>
      <c r="CT47" s="27"/>
      <c r="CU47" s="31"/>
      <c r="CV47" s="27"/>
      <c r="CW47" s="9" t="str">
        <f t="shared" si="21"/>
        <v/>
      </c>
      <c r="CX47" s="27"/>
      <c r="CY47" s="31"/>
      <c r="CZ47" s="27"/>
      <c r="DA47" s="9" t="str">
        <f t="shared" si="22"/>
        <v/>
      </c>
      <c r="DB47" s="27"/>
      <c r="DC47" s="31"/>
      <c r="DD47" s="27"/>
      <c r="DE47" s="9" t="str">
        <f t="shared" si="23"/>
        <v/>
      </c>
      <c r="DF47" s="27"/>
      <c r="DG47" s="31"/>
      <c r="DH47" s="27"/>
      <c r="DI47" s="9" t="str">
        <f t="shared" si="39"/>
        <v/>
      </c>
      <c r="DJ47" s="27"/>
      <c r="DK47" s="14"/>
      <c r="DL47" s="14"/>
      <c r="DM47" s="27" t="str">
        <f t="shared" si="25"/>
        <v/>
      </c>
      <c r="DN47" s="27"/>
      <c r="DO47" s="14"/>
      <c r="DP47" s="14"/>
      <c r="DQ47" s="27" t="str">
        <f t="shared" si="26"/>
        <v/>
      </c>
      <c r="DR47" s="27"/>
    </row>
    <row r="48">
      <c r="A48" s="8">
        <v>1216.0</v>
      </c>
      <c r="B48" s="8" t="s">
        <v>50</v>
      </c>
      <c r="C48" s="9" t="str">
        <f t="shared" si="1"/>
        <v>WTK-04_WATER</v>
      </c>
      <c r="D48" s="10" t="s">
        <v>854</v>
      </c>
      <c r="E48" s="24" t="s">
        <v>52</v>
      </c>
      <c r="F48" s="10" t="s">
        <v>848</v>
      </c>
      <c r="G48" s="12" t="s">
        <v>54</v>
      </c>
      <c r="H48" s="8">
        <v>0.0</v>
      </c>
      <c r="I48" s="27"/>
      <c r="J48" s="27"/>
      <c r="K48" s="27"/>
      <c r="L48" s="27"/>
      <c r="M48" s="27"/>
      <c r="N48" s="27"/>
      <c r="O48" s="14" t="s">
        <v>855</v>
      </c>
      <c r="P48" s="27"/>
      <c r="Q48" s="9" t="str">
        <f t="shared" si="2"/>
        <v>WTK-0</v>
      </c>
      <c r="R48" s="16" t="s">
        <v>58</v>
      </c>
      <c r="S48" s="27"/>
      <c r="T48" s="27"/>
      <c r="U48" s="9" t="str">
        <f t="shared" si="3"/>
        <v/>
      </c>
      <c r="V48" s="27"/>
      <c r="W48" s="27"/>
      <c r="X48" s="27"/>
      <c r="Y48" s="17" t="str">
        <f t="shared" si="4"/>
        <v/>
      </c>
      <c r="Z48" s="27"/>
      <c r="AA48" s="27"/>
      <c r="AB48" s="27"/>
      <c r="AC48" s="9" t="str">
        <f t="shared" si="5"/>
        <v/>
      </c>
      <c r="AD48" s="27"/>
      <c r="AE48" s="27"/>
      <c r="AF48" s="27"/>
      <c r="AG48" s="9" t="str">
        <f t="shared" si="6"/>
        <v/>
      </c>
      <c r="AH48" s="27"/>
      <c r="AI48" s="27"/>
      <c r="AJ48" s="27"/>
      <c r="AK48" s="9" t="str">
        <f t="shared" si="7"/>
        <v/>
      </c>
      <c r="AL48" s="27"/>
      <c r="AM48" s="27"/>
      <c r="AN48" s="27"/>
      <c r="AO48" s="9" t="str">
        <f t="shared" si="8"/>
        <v/>
      </c>
      <c r="AP48" s="27"/>
      <c r="AQ48" s="27"/>
      <c r="AR48" s="27"/>
      <c r="AS48" s="9" t="str">
        <f t="shared" si="9"/>
        <v/>
      </c>
      <c r="AT48" s="27"/>
      <c r="AU48" s="27"/>
      <c r="AV48" s="27"/>
      <c r="AW48" s="9" t="str">
        <f t="shared" si="10"/>
        <v/>
      </c>
      <c r="AX48" s="27"/>
      <c r="AY48" s="27"/>
      <c r="AZ48" s="27"/>
      <c r="BA48" s="9" t="str">
        <f t="shared" si="11"/>
        <v/>
      </c>
      <c r="BB48" s="27"/>
      <c r="BC48" s="27"/>
      <c r="BD48" s="27"/>
      <c r="BE48" s="9" t="str">
        <f t="shared" si="40"/>
        <v/>
      </c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9" t="str">
        <f t="shared" si="37"/>
        <v/>
      </c>
      <c r="BV48" s="27"/>
      <c r="BW48" s="27"/>
      <c r="BX48" s="27"/>
      <c r="BY48" s="27"/>
      <c r="BZ48" s="27"/>
      <c r="CA48" s="27"/>
      <c r="CB48" s="27"/>
      <c r="CC48" s="19" t="str">
        <f t="shared" si="41"/>
        <v/>
      </c>
      <c r="CD48" s="27"/>
      <c r="CE48" s="27"/>
      <c r="CF48" s="27"/>
      <c r="CG48" s="27"/>
      <c r="CH48" s="27"/>
      <c r="CI48" s="27"/>
      <c r="CJ48" s="27"/>
      <c r="CK48" s="19" t="str">
        <f t="shared" si="42"/>
        <v/>
      </c>
      <c r="CL48" s="27"/>
      <c r="CM48" s="27"/>
      <c r="CN48" s="27"/>
      <c r="CO48" s="27"/>
      <c r="CP48" s="27"/>
      <c r="CQ48" s="27"/>
      <c r="CR48" s="27"/>
      <c r="CS48" s="9" t="str">
        <f t="shared" si="38"/>
        <v/>
      </c>
      <c r="CT48" s="27"/>
      <c r="CU48" s="31"/>
      <c r="CV48" s="27"/>
      <c r="CW48" s="9" t="str">
        <f t="shared" si="21"/>
        <v/>
      </c>
      <c r="CX48" s="27"/>
      <c r="CY48" s="31"/>
      <c r="CZ48" s="27"/>
      <c r="DA48" s="9" t="str">
        <f t="shared" si="22"/>
        <v/>
      </c>
      <c r="DB48" s="27"/>
      <c r="DC48" s="31"/>
      <c r="DD48" s="27"/>
      <c r="DE48" s="9" t="str">
        <f t="shared" si="23"/>
        <v/>
      </c>
      <c r="DF48" s="27"/>
      <c r="DG48" s="31"/>
      <c r="DH48" s="27"/>
      <c r="DI48" s="9" t="str">
        <f t="shared" si="39"/>
        <v/>
      </c>
      <c r="DJ48" s="27"/>
      <c r="DK48" s="27"/>
      <c r="DL48" s="27"/>
      <c r="DM48" s="27" t="str">
        <f t="shared" si="25"/>
        <v/>
      </c>
      <c r="DN48" s="27"/>
      <c r="DO48" s="27"/>
      <c r="DP48" s="27"/>
      <c r="DQ48" s="27" t="str">
        <f t="shared" si="26"/>
        <v/>
      </c>
      <c r="DR48" s="27"/>
    </row>
    <row r="49">
      <c r="CU49" s="32"/>
      <c r="CY49" s="32"/>
      <c r="DC49" s="32"/>
      <c r="DG49" s="32"/>
    </row>
    <row r="50">
      <c r="CU50" s="32"/>
      <c r="CY50" s="32"/>
      <c r="DC50" s="32"/>
      <c r="DG50" s="32"/>
    </row>
    <row r="51">
      <c r="CU51" s="32"/>
      <c r="CY51" s="32"/>
      <c r="DC51" s="32"/>
      <c r="DG51" s="32"/>
    </row>
    <row r="52">
      <c r="CU52" s="32"/>
      <c r="CY52" s="32"/>
      <c r="DC52" s="32"/>
      <c r="DG52" s="32"/>
    </row>
    <row r="53">
      <c r="CU53" s="32"/>
      <c r="CY53" s="32"/>
      <c r="DC53" s="32"/>
      <c r="DG53" s="32"/>
    </row>
    <row r="54">
      <c r="CU54" s="32"/>
      <c r="CY54" s="32"/>
      <c r="DC54" s="32"/>
      <c r="DG54" s="32"/>
    </row>
    <row r="55">
      <c r="CU55" s="32"/>
      <c r="CY55" s="32"/>
      <c r="DC55" s="32"/>
      <c r="DG55" s="32"/>
    </row>
    <row r="56">
      <c r="CU56" s="32"/>
      <c r="CY56" s="32"/>
      <c r="DC56" s="32"/>
      <c r="DG56" s="32"/>
    </row>
    <row r="57">
      <c r="CU57" s="32"/>
      <c r="CY57" s="32"/>
      <c r="DC57" s="32"/>
      <c r="DG57" s="32"/>
    </row>
    <row r="58">
      <c r="CU58" s="32"/>
      <c r="CY58" s="32"/>
      <c r="DC58" s="32"/>
      <c r="DG58" s="32"/>
    </row>
    <row r="59">
      <c r="CU59" s="32"/>
      <c r="CY59" s="32"/>
      <c r="DC59" s="32"/>
      <c r="DG59" s="32"/>
    </row>
    <row r="60">
      <c r="CU60" s="32"/>
      <c r="CY60" s="32"/>
      <c r="DC60" s="32"/>
      <c r="DG60" s="32"/>
    </row>
    <row r="61">
      <c r="CU61" s="32"/>
      <c r="CY61" s="32"/>
      <c r="DC61" s="32"/>
      <c r="DG61" s="32"/>
    </row>
    <row r="62">
      <c r="CU62" s="32"/>
      <c r="CY62" s="32"/>
      <c r="DC62" s="32"/>
      <c r="DG62" s="32"/>
    </row>
    <row r="63">
      <c r="CU63" s="32"/>
      <c r="CY63" s="32"/>
      <c r="DC63" s="32"/>
      <c r="DG63" s="32"/>
    </row>
    <row r="64">
      <c r="CU64" s="32"/>
      <c r="CY64" s="32"/>
      <c r="DC64" s="32"/>
      <c r="DG64" s="32"/>
    </row>
    <row r="65">
      <c r="CU65" s="32"/>
      <c r="CY65" s="32"/>
      <c r="DC65" s="32"/>
      <c r="DG65" s="32"/>
    </row>
    <row r="66">
      <c r="CU66" s="32"/>
      <c r="CY66" s="32"/>
      <c r="DC66" s="32"/>
      <c r="DG66" s="32"/>
    </row>
    <row r="67">
      <c r="CU67" s="32"/>
      <c r="CY67" s="32"/>
      <c r="DC67" s="32"/>
      <c r="DG67" s="32"/>
    </row>
    <row r="68">
      <c r="CU68" s="32"/>
      <c r="CY68" s="32"/>
      <c r="DC68" s="32"/>
      <c r="DG68" s="32"/>
    </row>
    <row r="69">
      <c r="CU69" s="32"/>
      <c r="CY69" s="32"/>
      <c r="DC69" s="32"/>
      <c r="DG69" s="32"/>
    </row>
    <row r="70">
      <c r="CU70" s="32"/>
      <c r="CY70" s="32"/>
      <c r="DC70" s="32"/>
      <c r="DG70" s="32"/>
    </row>
    <row r="71">
      <c r="CU71" s="32"/>
      <c r="CY71" s="32"/>
      <c r="DC71" s="32"/>
      <c r="DG71" s="32"/>
    </row>
    <row r="72">
      <c r="CU72" s="32"/>
      <c r="CY72" s="32"/>
      <c r="DC72" s="32"/>
      <c r="DG72" s="32"/>
    </row>
    <row r="73">
      <c r="CU73" s="32"/>
      <c r="CY73" s="32"/>
      <c r="DC73" s="32"/>
      <c r="DG73" s="32"/>
    </row>
    <row r="74">
      <c r="CU74" s="32"/>
      <c r="CY74" s="32"/>
      <c r="DC74" s="32"/>
      <c r="DG74" s="32"/>
    </row>
    <row r="75">
      <c r="CU75" s="32"/>
      <c r="CY75" s="32"/>
      <c r="DC75" s="32"/>
      <c r="DG75" s="32"/>
    </row>
    <row r="76">
      <c r="CU76" s="32"/>
      <c r="CY76" s="32"/>
      <c r="DC76" s="32"/>
      <c r="DG76" s="32"/>
    </row>
    <row r="77">
      <c r="CU77" s="32"/>
      <c r="CY77" s="32"/>
      <c r="DC77" s="32"/>
      <c r="DG77" s="32"/>
    </row>
    <row r="78">
      <c r="CU78" s="32"/>
      <c r="CY78" s="32"/>
      <c r="DC78" s="32"/>
      <c r="DG78" s="32"/>
    </row>
    <row r="79">
      <c r="CU79" s="32"/>
      <c r="CY79" s="32"/>
      <c r="DC79" s="32"/>
      <c r="DG79" s="32"/>
    </row>
    <row r="80">
      <c r="CU80" s="32"/>
      <c r="CY80" s="32"/>
      <c r="DC80" s="32"/>
      <c r="DG80" s="32"/>
    </row>
    <row r="81">
      <c r="CU81" s="32"/>
      <c r="CY81" s="32"/>
      <c r="DC81" s="32"/>
      <c r="DG81" s="32"/>
    </row>
    <row r="82">
      <c r="CU82" s="32"/>
      <c r="CY82" s="32"/>
      <c r="DC82" s="32"/>
      <c r="DG82" s="32"/>
    </row>
    <row r="83">
      <c r="CU83" s="32"/>
      <c r="CY83" s="32"/>
      <c r="DC83" s="32"/>
      <c r="DG83" s="32"/>
    </row>
    <row r="84">
      <c r="CU84" s="32"/>
      <c r="CY84" s="32"/>
      <c r="DC84" s="32"/>
      <c r="DG84" s="32"/>
    </row>
    <row r="85">
      <c r="CU85" s="32"/>
      <c r="CY85" s="32"/>
      <c r="DC85" s="32"/>
      <c r="DG85" s="32"/>
    </row>
    <row r="86">
      <c r="CU86" s="32"/>
      <c r="CY86" s="32"/>
      <c r="DC86" s="32"/>
      <c r="DG86" s="32"/>
    </row>
    <row r="87">
      <c r="CU87" s="32"/>
      <c r="CY87" s="32"/>
      <c r="DC87" s="32"/>
      <c r="DG87" s="32"/>
    </row>
    <row r="88">
      <c r="CU88" s="32"/>
      <c r="CY88" s="32"/>
      <c r="DC88" s="32"/>
      <c r="DG88" s="32"/>
    </row>
    <row r="89">
      <c r="CU89" s="32"/>
      <c r="CY89" s="32"/>
      <c r="DC89" s="32"/>
      <c r="DG89" s="32"/>
    </row>
    <row r="90">
      <c r="CU90" s="32"/>
      <c r="CY90" s="32"/>
      <c r="DC90" s="32"/>
      <c r="DG90" s="32"/>
    </row>
    <row r="91">
      <c r="CU91" s="32"/>
      <c r="CY91" s="32"/>
      <c r="DC91" s="32"/>
      <c r="DG91" s="32"/>
    </row>
    <row r="92">
      <c r="CU92" s="32"/>
      <c r="CY92" s="32"/>
      <c r="DC92" s="32"/>
      <c r="DG92" s="32"/>
    </row>
    <row r="93">
      <c r="CU93" s="32"/>
      <c r="CY93" s="32"/>
      <c r="DC93" s="32"/>
      <c r="DG93" s="32"/>
    </row>
    <row r="94">
      <c r="CU94" s="32"/>
      <c r="CY94" s="32"/>
      <c r="DC94" s="32"/>
      <c r="DG94" s="32"/>
    </row>
    <row r="95">
      <c r="CU95" s="32"/>
      <c r="CY95" s="32"/>
      <c r="DC95" s="32"/>
      <c r="DG95" s="32"/>
    </row>
    <row r="96">
      <c r="CU96" s="32"/>
      <c r="CY96" s="32"/>
      <c r="DC96" s="32"/>
      <c r="DG96" s="32"/>
    </row>
    <row r="97">
      <c r="CU97" s="32"/>
      <c r="CY97" s="32"/>
      <c r="DC97" s="32"/>
      <c r="DG97" s="32"/>
    </row>
    <row r="98">
      <c r="CU98" s="32"/>
      <c r="CY98" s="32"/>
      <c r="DC98" s="32"/>
      <c r="DG98" s="32"/>
    </row>
    <row r="99">
      <c r="CU99" s="32"/>
      <c r="CY99" s="32"/>
      <c r="DC99" s="32"/>
      <c r="DG99" s="32"/>
    </row>
    <row r="100">
      <c r="CU100" s="32"/>
      <c r="CY100" s="32"/>
      <c r="DC100" s="32"/>
      <c r="DG100" s="32"/>
    </row>
    <row r="101">
      <c r="CU101" s="32"/>
      <c r="CY101" s="32"/>
      <c r="DC101" s="32"/>
      <c r="DG101" s="32"/>
    </row>
    <row r="102">
      <c r="CU102" s="32"/>
      <c r="CY102" s="32"/>
      <c r="DC102" s="32"/>
      <c r="DG102" s="32"/>
    </row>
    <row r="103">
      <c r="CU103" s="32"/>
      <c r="CY103" s="32"/>
      <c r="DC103" s="32"/>
      <c r="DG103" s="32"/>
    </row>
    <row r="104">
      <c r="CU104" s="32"/>
      <c r="CY104" s="32"/>
      <c r="DC104" s="32"/>
      <c r="DG104" s="32"/>
    </row>
    <row r="105">
      <c r="CU105" s="32"/>
      <c r="CY105" s="32"/>
      <c r="DC105" s="32"/>
      <c r="DG105" s="32"/>
    </row>
    <row r="106">
      <c r="CU106" s="32"/>
      <c r="CY106" s="32"/>
      <c r="DC106" s="32"/>
      <c r="DG106" s="32"/>
    </row>
    <row r="107">
      <c r="CU107" s="32"/>
      <c r="CY107" s="32"/>
      <c r="DC107" s="32"/>
      <c r="DG107" s="32"/>
    </row>
    <row r="108">
      <c r="CU108" s="32"/>
      <c r="CY108" s="32"/>
      <c r="DC108" s="32"/>
      <c r="DG108" s="32"/>
    </row>
    <row r="109">
      <c r="CU109" s="32"/>
      <c r="CY109" s="32"/>
      <c r="DC109" s="32"/>
      <c r="DG109" s="32"/>
    </row>
    <row r="110">
      <c r="CU110" s="32"/>
      <c r="CY110" s="32"/>
      <c r="DC110" s="32"/>
      <c r="DG110" s="32"/>
    </row>
    <row r="111">
      <c r="CU111" s="32"/>
      <c r="CY111" s="32"/>
      <c r="DC111" s="32"/>
      <c r="DG111" s="32"/>
    </row>
    <row r="112">
      <c r="CU112" s="32"/>
      <c r="CY112" s="32"/>
      <c r="DC112" s="32"/>
      <c r="DG112" s="32"/>
    </row>
    <row r="113">
      <c r="CU113" s="32"/>
      <c r="CY113" s="32"/>
      <c r="DC113" s="32"/>
      <c r="DG113" s="32"/>
    </row>
    <row r="114">
      <c r="CU114" s="32"/>
      <c r="CY114" s="32"/>
      <c r="DC114" s="32"/>
      <c r="DG114" s="32"/>
    </row>
    <row r="115">
      <c r="CU115" s="32"/>
      <c r="CY115" s="32"/>
      <c r="DC115" s="32"/>
      <c r="DG115" s="32"/>
    </row>
    <row r="116">
      <c r="CU116" s="32"/>
      <c r="CY116" s="32"/>
      <c r="DC116" s="32"/>
      <c r="DG116" s="32"/>
    </row>
    <row r="117">
      <c r="CU117" s="32"/>
      <c r="CY117" s="32"/>
      <c r="DC117" s="32"/>
      <c r="DG117" s="32"/>
    </row>
    <row r="118">
      <c r="CU118" s="32"/>
      <c r="CY118" s="32"/>
      <c r="DC118" s="32"/>
      <c r="DG118" s="32"/>
    </row>
    <row r="119">
      <c r="CU119" s="32"/>
      <c r="CY119" s="32"/>
      <c r="DC119" s="32"/>
      <c r="DG119" s="32"/>
    </row>
    <row r="120">
      <c r="CU120" s="32"/>
      <c r="CY120" s="32"/>
      <c r="DC120" s="32"/>
      <c r="DG120" s="32"/>
    </row>
    <row r="121">
      <c r="CU121" s="32"/>
      <c r="CY121" s="32"/>
      <c r="DC121" s="32"/>
      <c r="DG121" s="32"/>
    </row>
    <row r="122">
      <c r="CU122" s="32"/>
      <c r="CY122" s="32"/>
      <c r="DC122" s="32"/>
      <c r="DG122" s="32"/>
    </row>
    <row r="123">
      <c r="CU123" s="32"/>
      <c r="CY123" s="32"/>
      <c r="DC123" s="32"/>
      <c r="DG123" s="32"/>
    </row>
    <row r="124">
      <c r="CU124" s="32"/>
      <c r="CY124" s="32"/>
      <c r="DC124" s="32"/>
      <c r="DG124" s="32"/>
    </row>
    <row r="125">
      <c r="CU125" s="32"/>
      <c r="CY125" s="32"/>
      <c r="DC125" s="32"/>
      <c r="DG125" s="32"/>
    </row>
    <row r="126">
      <c r="CU126" s="32"/>
      <c r="CY126" s="32"/>
      <c r="DC126" s="32"/>
      <c r="DG126" s="32"/>
    </row>
    <row r="127">
      <c r="CU127" s="32"/>
      <c r="CY127" s="32"/>
      <c r="DC127" s="32"/>
      <c r="DG127" s="32"/>
    </row>
    <row r="128">
      <c r="CU128" s="32"/>
      <c r="CY128" s="32"/>
      <c r="DC128" s="32"/>
      <c r="DG128" s="32"/>
    </row>
    <row r="129">
      <c r="CU129" s="32"/>
      <c r="CY129" s="32"/>
      <c r="DC129" s="32"/>
      <c r="DG129" s="32"/>
    </row>
    <row r="130">
      <c r="CU130" s="32"/>
      <c r="CY130" s="32"/>
      <c r="DC130" s="32"/>
      <c r="DG130" s="32"/>
    </row>
    <row r="131">
      <c r="CU131" s="32"/>
      <c r="CY131" s="32"/>
      <c r="DC131" s="32"/>
      <c r="DG131" s="32"/>
    </row>
    <row r="132">
      <c r="CU132" s="32"/>
      <c r="CY132" s="32"/>
      <c r="DC132" s="32"/>
      <c r="DG132" s="32"/>
    </row>
    <row r="133">
      <c r="CU133" s="32"/>
      <c r="CY133" s="32"/>
      <c r="DC133" s="32"/>
      <c r="DG133" s="32"/>
    </row>
    <row r="134">
      <c r="CU134" s="32"/>
      <c r="CY134" s="32"/>
      <c r="DC134" s="32"/>
      <c r="DG134" s="32"/>
    </row>
    <row r="135">
      <c r="CU135" s="32"/>
      <c r="CY135" s="32"/>
      <c r="DC135" s="32"/>
      <c r="DG135" s="32"/>
    </row>
    <row r="136">
      <c r="CU136" s="32"/>
      <c r="CY136" s="32"/>
      <c r="DC136" s="32"/>
      <c r="DG136" s="32"/>
    </row>
    <row r="137">
      <c r="CU137" s="32"/>
      <c r="CY137" s="32"/>
      <c r="DC137" s="32"/>
      <c r="DG137" s="32"/>
    </row>
    <row r="138">
      <c r="CU138" s="32"/>
      <c r="CY138" s="32"/>
      <c r="DC138" s="32"/>
      <c r="DG138" s="32"/>
    </row>
    <row r="139">
      <c r="CU139" s="32"/>
      <c r="CY139" s="32"/>
      <c r="DC139" s="32"/>
      <c r="DG139" s="32"/>
    </row>
    <row r="140">
      <c r="CU140" s="32"/>
      <c r="CY140" s="32"/>
      <c r="DC140" s="32"/>
      <c r="DG140" s="32"/>
    </row>
    <row r="141">
      <c r="CU141" s="32"/>
      <c r="CY141" s="32"/>
      <c r="DC141" s="32"/>
      <c r="DG141" s="32"/>
    </row>
    <row r="142">
      <c r="CU142" s="32"/>
      <c r="CY142" s="32"/>
      <c r="DC142" s="32"/>
      <c r="DG142" s="32"/>
    </row>
    <row r="143">
      <c r="CU143" s="32"/>
      <c r="CY143" s="32"/>
      <c r="DC143" s="32"/>
      <c r="DG143" s="32"/>
    </row>
    <row r="144">
      <c r="CU144" s="32"/>
      <c r="CY144" s="32"/>
      <c r="DC144" s="32"/>
      <c r="DG144" s="32"/>
    </row>
    <row r="145">
      <c r="CU145" s="32"/>
      <c r="CY145" s="32"/>
      <c r="DC145" s="32"/>
      <c r="DG145" s="32"/>
    </row>
    <row r="146">
      <c r="CU146" s="32"/>
      <c r="CY146" s="32"/>
      <c r="DC146" s="32"/>
      <c r="DG146" s="32"/>
    </row>
    <row r="147">
      <c r="CU147" s="32"/>
      <c r="CY147" s="32"/>
      <c r="DC147" s="32"/>
      <c r="DG147" s="32"/>
    </row>
    <row r="148">
      <c r="CU148" s="32"/>
      <c r="CY148" s="32"/>
      <c r="DC148" s="32"/>
      <c r="DG148" s="32"/>
    </row>
    <row r="149">
      <c r="CU149" s="32"/>
      <c r="CY149" s="32"/>
      <c r="DC149" s="32"/>
      <c r="DG149" s="32"/>
    </row>
    <row r="150">
      <c r="CU150" s="32"/>
      <c r="CY150" s="32"/>
      <c r="DC150" s="32"/>
      <c r="DG150" s="32"/>
    </row>
    <row r="151">
      <c r="CU151" s="32"/>
      <c r="CY151" s="32"/>
      <c r="DC151" s="32"/>
      <c r="DG151" s="32"/>
    </row>
    <row r="152">
      <c r="CU152" s="32"/>
      <c r="CY152" s="32"/>
      <c r="DC152" s="32"/>
      <c r="DG152" s="32"/>
    </row>
    <row r="153">
      <c r="CU153" s="32"/>
      <c r="CY153" s="32"/>
      <c r="DC153" s="32"/>
      <c r="DG153" s="32"/>
    </row>
    <row r="154">
      <c r="CU154" s="32"/>
      <c r="CY154" s="32"/>
      <c r="DC154" s="32"/>
      <c r="DG154" s="32"/>
    </row>
    <row r="155">
      <c r="CU155" s="32"/>
      <c r="CY155" s="32"/>
      <c r="DC155" s="32"/>
      <c r="DG155" s="32"/>
    </row>
    <row r="156">
      <c r="CU156" s="32"/>
      <c r="CY156" s="32"/>
      <c r="DC156" s="32"/>
      <c r="DG156" s="32"/>
    </row>
    <row r="157">
      <c r="CU157" s="32"/>
      <c r="CY157" s="32"/>
      <c r="DC157" s="32"/>
      <c r="DG157" s="32"/>
    </row>
    <row r="158">
      <c r="CU158" s="32"/>
      <c r="CY158" s="32"/>
      <c r="DC158" s="32"/>
      <c r="DG158" s="32"/>
    </row>
    <row r="159">
      <c r="CU159" s="32"/>
      <c r="CY159" s="32"/>
      <c r="DC159" s="32"/>
      <c r="DG159" s="32"/>
    </row>
    <row r="160">
      <c r="CU160" s="32"/>
      <c r="CY160" s="32"/>
      <c r="DC160" s="32"/>
      <c r="DG160" s="32"/>
    </row>
    <row r="161">
      <c r="CU161" s="32"/>
      <c r="CY161" s="32"/>
      <c r="DC161" s="32"/>
      <c r="DG161" s="32"/>
    </row>
    <row r="162">
      <c r="CU162" s="32"/>
      <c r="CY162" s="32"/>
      <c r="DC162" s="32"/>
      <c r="DG162" s="32"/>
    </row>
    <row r="163">
      <c r="CU163" s="32"/>
      <c r="CY163" s="32"/>
      <c r="DC163" s="32"/>
      <c r="DG163" s="32"/>
    </row>
    <row r="164">
      <c r="CU164" s="32"/>
      <c r="CY164" s="32"/>
      <c r="DC164" s="32"/>
      <c r="DG164" s="32"/>
    </row>
    <row r="165">
      <c r="CU165" s="32"/>
      <c r="CY165" s="32"/>
      <c r="DC165" s="32"/>
      <c r="DG165" s="32"/>
    </row>
    <row r="166">
      <c r="CU166" s="32"/>
      <c r="CY166" s="32"/>
      <c r="DC166" s="32"/>
      <c r="DG166" s="32"/>
    </row>
    <row r="167">
      <c r="CU167" s="32"/>
      <c r="CY167" s="32"/>
      <c r="DC167" s="32"/>
      <c r="DG167" s="32"/>
    </row>
    <row r="168">
      <c r="CU168" s="32"/>
      <c r="CY168" s="32"/>
      <c r="DC168" s="32"/>
      <c r="DG168" s="32"/>
    </row>
    <row r="169">
      <c r="CU169" s="32"/>
      <c r="CY169" s="32"/>
      <c r="DC169" s="32"/>
      <c r="DG169" s="32"/>
    </row>
    <row r="170">
      <c r="CU170" s="32"/>
      <c r="CY170" s="32"/>
      <c r="DC170" s="32"/>
      <c r="DG170" s="32"/>
    </row>
    <row r="171">
      <c r="CU171" s="32"/>
      <c r="CY171" s="32"/>
      <c r="DC171" s="32"/>
      <c r="DG171" s="32"/>
    </row>
    <row r="172">
      <c r="CU172" s="32"/>
      <c r="CY172" s="32"/>
      <c r="DC172" s="32"/>
      <c r="DG172" s="32"/>
    </row>
    <row r="173">
      <c r="CU173" s="32"/>
      <c r="CY173" s="32"/>
      <c r="DC173" s="32"/>
      <c r="DG173" s="32"/>
    </row>
    <row r="174">
      <c r="CU174" s="32"/>
      <c r="CY174" s="32"/>
      <c r="DC174" s="32"/>
      <c r="DG174" s="32"/>
    </row>
    <row r="175">
      <c r="CU175" s="32"/>
      <c r="CY175" s="32"/>
      <c r="DC175" s="32"/>
      <c r="DG175" s="32"/>
    </row>
    <row r="176">
      <c r="CU176" s="32"/>
      <c r="CY176" s="32"/>
      <c r="DC176" s="32"/>
      <c r="DG176" s="32"/>
    </row>
    <row r="177">
      <c r="CU177" s="32"/>
      <c r="CY177" s="32"/>
      <c r="DC177" s="32"/>
      <c r="DG177" s="32"/>
    </row>
    <row r="178">
      <c r="CU178" s="32"/>
      <c r="CY178" s="32"/>
      <c r="DC178" s="32"/>
      <c r="DG178" s="32"/>
    </row>
    <row r="179">
      <c r="CU179" s="32"/>
      <c r="CY179" s="32"/>
      <c r="DC179" s="32"/>
      <c r="DG179" s="32"/>
    </row>
    <row r="180">
      <c r="CU180" s="32"/>
      <c r="CY180" s="32"/>
      <c r="DC180" s="32"/>
      <c r="DG180" s="32"/>
    </row>
    <row r="181">
      <c r="CU181" s="32"/>
      <c r="CY181" s="32"/>
      <c r="DC181" s="32"/>
      <c r="DG181" s="32"/>
    </row>
    <row r="182">
      <c r="CU182" s="32"/>
      <c r="CY182" s="32"/>
      <c r="DC182" s="32"/>
      <c r="DG182" s="32"/>
    </row>
    <row r="183">
      <c r="CU183" s="32"/>
      <c r="CY183" s="32"/>
      <c r="DC183" s="32"/>
      <c r="DG183" s="32"/>
    </row>
    <row r="184">
      <c r="CU184" s="32"/>
      <c r="CY184" s="32"/>
      <c r="DC184" s="32"/>
      <c r="DG184" s="32"/>
    </row>
    <row r="185">
      <c r="CU185" s="32"/>
      <c r="CY185" s="32"/>
      <c r="DC185" s="32"/>
      <c r="DG185" s="32"/>
    </row>
    <row r="186">
      <c r="CU186" s="32"/>
      <c r="CY186" s="32"/>
      <c r="DC186" s="32"/>
      <c r="DG186" s="32"/>
    </row>
    <row r="187">
      <c r="CU187" s="32"/>
      <c r="CY187" s="32"/>
      <c r="DC187" s="32"/>
      <c r="DG187" s="32"/>
    </row>
    <row r="188">
      <c r="CU188" s="32"/>
      <c r="CY188" s="32"/>
      <c r="DC188" s="32"/>
      <c r="DG188" s="32"/>
    </row>
    <row r="189">
      <c r="CU189" s="32"/>
      <c r="CY189" s="32"/>
      <c r="DC189" s="32"/>
      <c r="DG189" s="32"/>
    </row>
    <row r="190">
      <c r="CU190" s="32"/>
      <c r="CY190" s="32"/>
      <c r="DC190" s="32"/>
      <c r="DG190" s="32"/>
    </row>
    <row r="191">
      <c r="CU191" s="32"/>
      <c r="CY191" s="32"/>
      <c r="DC191" s="32"/>
      <c r="DG191" s="32"/>
    </row>
    <row r="192">
      <c r="CU192" s="32"/>
      <c r="CY192" s="32"/>
      <c r="DC192" s="32"/>
      <c r="DG192" s="32"/>
    </row>
    <row r="193">
      <c r="CU193" s="32"/>
      <c r="CY193" s="32"/>
      <c r="DC193" s="32"/>
      <c r="DG193" s="32"/>
    </row>
    <row r="194">
      <c r="CU194" s="32"/>
      <c r="CY194" s="32"/>
      <c r="DC194" s="32"/>
      <c r="DG194" s="32"/>
    </row>
    <row r="195">
      <c r="CU195" s="32"/>
      <c r="CY195" s="32"/>
      <c r="DC195" s="32"/>
      <c r="DG195" s="32"/>
    </row>
    <row r="196">
      <c r="CU196" s="32"/>
      <c r="CY196" s="32"/>
      <c r="DC196" s="32"/>
      <c r="DG196" s="32"/>
    </row>
    <row r="197">
      <c r="CU197" s="32"/>
      <c r="CY197" s="32"/>
      <c r="DC197" s="32"/>
      <c r="DG197" s="32"/>
    </row>
    <row r="198">
      <c r="CU198" s="32"/>
      <c r="CY198" s="32"/>
      <c r="DC198" s="32"/>
      <c r="DG198" s="32"/>
    </row>
    <row r="199">
      <c r="CU199" s="32"/>
      <c r="CY199" s="32"/>
      <c r="DC199" s="32"/>
      <c r="DG199" s="32"/>
    </row>
    <row r="200">
      <c r="CU200" s="32"/>
      <c r="CY200" s="32"/>
      <c r="DC200" s="32"/>
      <c r="DG200" s="32"/>
    </row>
    <row r="201">
      <c r="CU201" s="32"/>
      <c r="CY201" s="32"/>
      <c r="DC201" s="32"/>
      <c r="DG201" s="32"/>
    </row>
    <row r="202">
      <c r="CU202" s="32"/>
      <c r="CY202" s="32"/>
      <c r="DC202" s="32"/>
      <c r="DG202" s="32"/>
    </row>
    <row r="203">
      <c r="CU203" s="32"/>
      <c r="CY203" s="32"/>
      <c r="DC203" s="32"/>
      <c r="DG203" s="32"/>
    </row>
    <row r="204">
      <c r="CU204" s="32"/>
      <c r="CY204" s="32"/>
      <c r="DC204" s="32"/>
      <c r="DG204" s="32"/>
    </row>
    <row r="205">
      <c r="CU205" s="32"/>
      <c r="CY205" s="32"/>
      <c r="DC205" s="32"/>
      <c r="DG205" s="32"/>
    </row>
    <row r="206">
      <c r="CU206" s="32"/>
      <c r="CY206" s="32"/>
      <c r="DC206" s="32"/>
      <c r="DG206" s="32"/>
    </row>
    <row r="207">
      <c r="CU207" s="32"/>
      <c r="CY207" s="32"/>
      <c r="DC207" s="32"/>
      <c r="DG207" s="32"/>
    </row>
    <row r="208">
      <c r="CU208" s="32"/>
      <c r="CY208" s="32"/>
      <c r="DC208" s="32"/>
      <c r="DG208" s="32"/>
    </row>
    <row r="209">
      <c r="CU209" s="32"/>
      <c r="CY209" s="32"/>
      <c r="DC209" s="32"/>
      <c r="DG209" s="32"/>
    </row>
    <row r="210">
      <c r="CU210" s="32"/>
      <c r="CY210" s="32"/>
      <c r="DC210" s="32"/>
      <c r="DG210" s="32"/>
    </row>
    <row r="211">
      <c r="CU211" s="32"/>
      <c r="CY211" s="32"/>
      <c r="DC211" s="32"/>
      <c r="DG211" s="32"/>
    </row>
    <row r="212">
      <c r="CU212" s="32"/>
      <c r="CY212" s="32"/>
      <c r="DC212" s="32"/>
      <c r="DG212" s="32"/>
    </row>
    <row r="213">
      <c r="CU213" s="32"/>
      <c r="CY213" s="32"/>
      <c r="DC213" s="32"/>
      <c r="DG213" s="32"/>
    </row>
    <row r="214">
      <c r="CU214" s="32"/>
      <c r="CY214" s="32"/>
      <c r="DC214" s="32"/>
      <c r="DG214" s="32"/>
    </row>
    <row r="215">
      <c r="CU215" s="32"/>
      <c r="CY215" s="32"/>
      <c r="DC215" s="32"/>
      <c r="DG215" s="32"/>
    </row>
    <row r="216">
      <c r="CU216" s="32"/>
      <c r="CY216" s="32"/>
      <c r="DC216" s="32"/>
      <c r="DG216" s="32"/>
    </row>
    <row r="217">
      <c r="CU217" s="32"/>
      <c r="CY217" s="32"/>
      <c r="DC217" s="32"/>
      <c r="DG217" s="32"/>
    </row>
    <row r="218">
      <c r="CU218" s="32"/>
      <c r="CY218" s="32"/>
      <c r="DC218" s="32"/>
      <c r="DG218" s="32"/>
    </row>
    <row r="219">
      <c r="CU219" s="32"/>
      <c r="CY219" s="32"/>
      <c r="DC219" s="32"/>
      <c r="DG219" s="32"/>
    </row>
    <row r="220">
      <c r="CU220" s="32"/>
      <c r="CY220" s="32"/>
      <c r="DC220" s="32"/>
      <c r="DG220" s="32"/>
    </row>
    <row r="221">
      <c r="CU221" s="32"/>
      <c r="CY221" s="32"/>
      <c r="DC221" s="32"/>
      <c r="DG221" s="32"/>
    </row>
    <row r="222">
      <c r="CU222" s="32"/>
      <c r="CY222" s="32"/>
      <c r="DC222" s="32"/>
      <c r="DG222" s="32"/>
    </row>
    <row r="223">
      <c r="CU223" s="32"/>
      <c r="CY223" s="32"/>
      <c r="DC223" s="32"/>
      <c r="DG223" s="32"/>
    </row>
    <row r="224">
      <c r="CU224" s="32"/>
      <c r="CY224" s="32"/>
      <c r="DC224" s="32"/>
      <c r="DG224" s="32"/>
    </row>
    <row r="225">
      <c r="CU225" s="32"/>
      <c r="CY225" s="32"/>
      <c r="DC225" s="32"/>
      <c r="DG225" s="32"/>
    </row>
    <row r="226">
      <c r="CU226" s="32"/>
      <c r="CY226" s="32"/>
      <c r="DC226" s="32"/>
      <c r="DG226" s="32"/>
    </row>
    <row r="227">
      <c r="CU227" s="32"/>
      <c r="CY227" s="32"/>
      <c r="DC227" s="32"/>
      <c r="DG227" s="32"/>
    </row>
    <row r="228">
      <c r="CU228" s="32"/>
      <c r="CY228" s="32"/>
      <c r="DC228" s="32"/>
      <c r="DG228" s="32"/>
    </row>
    <row r="229">
      <c r="CU229" s="32"/>
      <c r="CY229" s="32"/>
      <c r="DC229" s="32"/>
      <c r="DG229" s="32"/>
    </row>
    <row r="230">
      <c r="CU230" s="32"/>
      <c r="CY230" s="32"/>
      <c r="DC230" s="32"/>
      <c r="DG230" s="32"/>
    </row>
    <row r="231">
      <c r="CU231" s="32"/>
      <c r="CY231" s="32"/>
      <c r="DC231" s="32"/>
      <c r="DG231" s="32"/>
    </row>
    <row r="232">
      <c r="CU232" s="32"/>
      <c r="CY232" s="32"/>
      <c r="DC232" s="32"/>
      <c r="DG232" s="32"/>
    </row>
    <row r="233">
      <c r="CU233" s="32"/>
      <c r="CY233" s="32"/>
      <c r="DC233" s="32"/>
      <c r="DG233" s="32"/>
    </row>
    <row r="234">
      <c r="CU234" s="32"/>
      <c r="CY234" s="32"/>
      <c r="DC234" s="32"/>
      <c r="DG234" s="32"/>
    </row>
    <row r="235">
      <c r="CU235" s="32"/>
      <c r="CY235" s="32"/>
      <c r="DC235" s="32"/>
      <c r="DG235" s="32"/>
    </row>
    <row r="236">
      <c r="CU236" s="32"/>
      <c r="CY236" s="32"/>
      <c r="DC236" s="32"/>
      <c r="DG236" s="32"/>
    </row>
    <row r="237">
      <c r="CU237" s="32"/>
      <c r="CY237" s="32"/>
      <c r="DC237" s="32"/>
      <c r="DG237" s="32"/>
    </row>
    <row r="238">
      <c r="CU238" s="32"/>
      <c r="CY238" s="32"/>
      <c r="DC238" s="32"/>
      <c r="DG238" s="32"/>
    </row>
    <row r="239">
      <c r="CU239" s="32"/>
      <c r="CY239" s="32"/>
      <c r="DC239" s="32"/>
      <c r="DG239" s="32"/>
    </row>
    <row r="240">
      <c r="CU240" s="32"/>
      <c r="CY240" s="32"/>
      <c r="DC240" s="32"/>
      <c r="DG240" s="32"/>
    </row>
    <row r="241">
      <c r="CU241" s="32"/>
      <c r="CY241" s="32"/>
      <c r="DC241" s="32"/>
      <c r="DG241" s="32"/>
    </row>
    <row r="242">
      <c r="CU242" s="32"/>
      <c r="CY242" s="32"/>
      <c r="DC242" s="32"/>
      <c r="DG242" s="32"/>
    </row>
    <row r="243">
      <c r="CU243" s="32"/>
      <c r="CY243" s="32"/>
      <c r="DC243" s="32"/>
      <c r="DG243" s="32"/>
    </row>
    <row r="244">
      <c r="CU244" s="32"/>
      <c r="CY244" s="32"/>
      <c r="DC244" s="32"/>
      <c r="DG244" s="32"/>
    </row>
    <row r="245">
      <c r="CU245" s="32"/>
      <c r="CY245" s="32"/>
      <c r="DC245" s="32"/>
      <c r="DG245" s="32"/>
    </row>
    <row r="246">
      <c r="CU246" s="32"/>
      <c r="CY246" s="32"/>
      <c r="DC246" s="32"/>
      <c r="DG246" s="32"/>
    </row>
    <row r="247">
      <c r="CU247" s="32"/>
      <c r="CY247" s="32"/>
      <c r="DC247" s="32"/>
      <c r="DG247" s="32"/>
    </row>
    <row r="248">
      <c r="CU248" s="32"/>
      <c r="CY248" s="32"/>
      <c r="DC248" s="32"/>
      <c r="DG248" s="32"/>
    </row>
    <row r="249">
      <c r="CU249" s="32"/>
      <c r="CY249" s="32"/>
      <c r="DC249" s="32"/>
      <c r="DG249" s="32"/>
    </row>
    <row r="250">
      <c r="CU250" s="32"/>
      <c r="CY250" s="32"/>
      <c r="DC250" s="32"/>
      <c r="DG250" s="32"/>
    </row>
    <row r="251">
      <c r="CU251" s="32"/>
      <c r="CY251" s="32"/>
      <c r="DC251" s="32"/>
      <c r="DG251" s="32"/>
    </row>
    <row r="252">
      <c r="CU252" s="32"/>
      <c r="CY252" s="32"/>
      <c r="DC252" s="32"/>
      <c r="DG252" s="32"/>
    </row>
    <row r="253">
      <c r="CU253" s="32"/>
      <c r="CY253" s="32"/>
      <c r="DC253" s="32"/>
      <c r="DG253" s="32"/>
    </row>
    <row r="254">
      <c r="CU254" s="32"/>
      <c r="CY254" s="32"/>
      <c r="DC254" s="32"/>
      <c r="DG254" s="32"/>
    </row>
    <row r="255">
      <c r="CU255" s="32"/>
      <c r="CY255" s="32"/>
      <c r="DC255" s="32"/>
      <c r="DG255" s="32"/>
    </row>
    <row r="256">
      <c r="CU256" s="32"/>
      <c r="CY256" s="32"/>
      <c r="DC256" s="32"/>
      <c r="DG256" s="32"/>
    </row>
    <row r="257">
      <c r="CU257" s="32"/>
      <c r="CY257" s="32"/>
      <c r="DC257" s="32"/>
      <c r="DG257" s="32"/>
    </row>
    <row r="258">
      <c r="CU258" s="32"/>
      <c r="CY258" s="32"/>
      <c r="DC258" s="32"/>
      <c r="DG258" s="32"/>
    </row>
    <row r="259">
      <c r="CU259" s="32"/>
      <c r="CY259" s="32"/>
      <c r="DC259" s="32"/>
      <c r="DG259" s="32"/>
    </row>
    <row r="260">
      <c r="CU260" s="32"/>
      <c r="CY260" s="32"/>
      <c r="DC260" s="32"/>
      <c r="DG260" s="32"/>
    </row>
    <row r="261">
      <c r="CU261" s="32"/>
      <c r="CY261" s="32"/>
      <c r="DC261" s="32"/>
      <c r="DG261" s="32"/>
    </row>
    <row r="262">
      <c r="CU262" s="32"/>
      <c r="CY262" s="32"/>
      <c r="DC262" s="32"/>
      <c r="DG262" s="32"/>
    </row>
    <row r="263">
      <c r="CU263" s="32"/>
      <c r="CY263" s="32"/>
      <c r="DC263" s="32"/>
      <c r="DG263" s="32"/>
    </row>
    <row r="264">
      <c r="CU264" s="32"/>
      <c r="CY264" s="32"/>
      <c r="DC264" s="32"/>
      <c r="DG264" s="32"/>
    </row>
    <row r="265">
      <c r="CU265" s="32"/>
      <c r="CY265" s="32"/>
      <c r="DC265" s="32"/>
      <c r="DG265" s="32"/>
    </row>
    <row r="266">
      <c r="CU266" s="32"/>
      <c r="CY266" s="32"/>
      <c r="DC266" s="32"/>
      <c r="DG266" s="32"/>
    </row>
    <row r="267">
      <c r="CU267" s="32"/>
      <c r="CY267" s="32"/>
      <c r="DC267" s="32"/>
      <c r="DG267" s="32"/>
    </row>
    <row r="268">
      <c r="CU268" s="32"/>
      <c r="CY268" s="32"/>
      <c r="DC268" s="32"/>
      <c r="DG268" s="32"/>
    </row>
    <row r="269">
      <c r="CU269" s="32"/>
      <c r="CY269" s="32"/>
      <c r="DC269" s="32"/>
      <c r="DG269" s="32"/>
    </row>
    <row r="270">
      <c r="CU270" s="32"/>
      <c r="CY270" s="32"/>
      <c r="DC270" s="32"/>
      <c r="DG270" s="32"/>
    </row>
    <row r="271">
      <c r="CU271" s="32"/>
      <c r="CY271" s="32"/>
      <c r="DC271" s="32"/>
      <c r="DG271" s="32"/>
    </row>
    <row r="272">
      <c r="CU272" s="32"/>
      <c r="CY272" s="32"/>
      <c r="DC272" s="32"/>
      <c r="DG272" s="32"/>
    </row>
    <row r="273">
      <c r="CU273" s="32"/>
      <c r="CY273" s="32"/>
      <c r="DC273" s="32"/>
      <c r="DG273" s="32"/>
    </row>
    <row r="274">
      <c r="CU274" s="32"/>
      <c r="CY274" s="32"/>
      <c r="DC274" s="32"/>
      <c r="DG274" s="32"/>
    </row>
    <row r="275">
      <c r="CU275" s="32"/>
      <c r="CY275" s="32"/>
      <c r="DC275" s="32"/>
      <c r="DG275" s="32"/>
    </row>
    <row r="276">
      <c r="CU276" s="32"/>
      <c r="CY276" s="32"/>
      <c r="DC276" s="32"/>
      <c r="DG276" s="32"/>
    </row>
    <row r="277">
      <c r="CU277" s="32"/>
      <c r="CY277" s="32"/>
      <c r="DC277" s="32"/>
      <c r="DG277" s="32"/>
    </row>
    <row r="278">
      <c r="CU278" s="32"/>
      <c r="CY278" s="32"/>
      <c r="DC278" s="32"/>
      <c r="DG278" s="32"/>
    </row>
    <row r="279">
      <c r="CU279" s="32"/>
      <c r="CY279" s="32"/>
      <c r="DC279" s="32"/>
      <c r="DG279" s="32"/>
    </row>
    <row r="280">
      <c r="CU280" s="32"/>
      <c r="CY280" s="32"/>
      <c r="DC280" s="32"/>
      <c r="DG280" s="32"/>
    </row>
    <row r="281">
      <c r="CU281" s="32"/>
      <c r="CY281" s="32"/>
      <c r="DC281" s="32"/>
      <c r="DG281" s="32"/>
    </row>
    <row r="282">
      <c r="CU282" s="32"/>
      <c r="CY282" s="32"/>
      <c r="DC282" s="32"/>
      <c r="DG282" s="32"/>
    </row>
    <row r="283">
      <c r="CU283" s="32"/>
      <c r="CY283" s="32"/>
      <c r="DC283" s="32"/>
      <c r="DG283" s="32"/>
    </row>
    <row r="284">
      <c r="CU284" s="32"/>
      <c r="CY284" s="32"/>
      <c r="DC284" s="32"/>
      <c r="DG284" s="32"/>
    </row>
    <row r="285">
      <c r="CU285" s="32"/>
      <c r="CY285" s="32"/>
      <c r="DC285" s="32"/>
      <c r="DG285" s="32"/>
    </row>
    <row r="286">
      <c r="CU286" s="32"/>
      <c r="CY286" s="32"/>
      <c r="DC286" s="32"/>
      <c r="DG286" s="32"/>
    </row>
    <row r="287">
      <c r="CU287" s="32"/>
      <c r="CY287" s="32"/>
      <c r="DC287" s="32"/>
      <c r="DG287" s="32"/>
    </row>
    <row r="288">
      <c r="CU288" s="32"/>
      <c r="CY288" s="32"/>
      <c r="DC288" s="32"/>
      <c r="DG288" s="32"/>
    </row>
    <row r="289">
      <c r="CU289" s="32"/>
      <c r="CY289" s="32"/>
      <c r="DC289" s="32"/>
      <c r="DG289" s="32"/>
    </row>
    <row r="290">
      <c r="CU290" s="32"/>
      <c r="CY290" s="32"/>
      <c r="DC290" s="32"/>
      <c r="DG290" s="32"/>
    </row>
    <row r="291">
      <c r="CU291" s="32"/>
      <c r="CY291" s="32"/>
      <c r="DC291" s="32"/>
      <c r="DG291" s="32"/>
    </row>
    <row r="292">
      <c r="CU292" s="32"/>
      <c r="CY292" s="32"/>
      <c r="DC292" s="32"/>
      <c r="DG292" s="32"/>
    </row>
    <row r="293">
      <c r="CU293" s="32"/>
      <c r="CY293" s="32"/>
      <c r="DC293" s="32"/>
      <c r="DG293" s="32"/>
    </row>
    <row r="294">
      <c r="CU294" s="32"/>
      <c r="CY294" s="32"/>
      <c r="DC294" s="32"/>
      <c r="DG294" s="32"/>
    </row>
    <row r="295">
      <c r="CU295" s="32"/>
      <c r="CY295" s="32"/>
      <c r="DC295" s="32"/>
      <c r="DG295" s="32"/>
    </row>
    <row r="296">
      <c r="CU296" s="32"/>
      <c r="CY296" s="32"/>
      <c r="DC296" s="32"/>
      <c r="DG296" s="32"/>
    </row>
    <row r="297">
      <c r="CU297" s="32"/>
      <c r="CY297" s="32"/>
      <c r="DC297" s="32"/>
      <c r="DG297" s="32"/>
    </row>
    <row r="298">
      <c r="CU298" s="32"/>
      <c r="CY298" s="32"/>
      <c r="DC298" s="32"/>
      <c r="DG298" s="32"/>
    </row>
    <row r="299">
      <c r="CU299" s="32"/>
      <c r="CY299" s="32"/>
      <c r="DC299" s="32"/>
      <c r="DG299" s="32"/>
    </row>
    <row r="300">
      <c r="CU300" s="32"/>
      <c r="CY300" s="32"/>
      <c r="DC300" s="32"/>
      <c r="DG300" s="32"/>
    </row>
    <row r="301">
      <c r="CU301" s="32"/>
      <c r="CY301" s="32"/>
      <c r="DC301" s="32"/>
      <c r="DG301" s="32"/>
    </row>
    <row r="302">
      <c r="CU302" s="32"/>
      <c r="CY302" s="32"/>
      <c r="DC302" s="32"/>
      <c r="DG302" s="32"/>
    </row>
    <row r="303">
      <c r="CU303" s="32"/>
      <c r="CY303" s="32"/>
      <c r="DC303" s="32"/>
      <c r="DG303" s="32"/>
    </row>
    <row r="304">
      <c r="CU304" s="32"/>
      <c r="CY304" s="32"/>
      <c r="DC304" s="32"/>
      <c r="DG304" s="32"/>
    </row>
    <row r="305">
      <c r="CU305" s="32"/>
      <c r="CY305" s="32"/>
      <c r="DC305" s="32"/>
      <c r="DG305" s="32"/>
    </row>
    <row r="306">
      <c r="CU306" s="32"/>
      <c r="CY306" s="32"/>
      <c r="DC306" s="32"/>
      <c r="DG306" s="32"/>
    </row>
    <row r="307">
      <c r="CU307" s="32"/>
      <c r="CY307" s="32"/>
      <c r="DC307" s="32"/>
      <c r="DG307" s="32"/>
    </row>
    <row r="308">
      <c r="CU308" s="32"/>
      <c r="CY308" s="32"/>
      <c r="DC308" s="32"/>
      <c r="DG308" s="32"/>
    </row>
    <row r="309">
      <c r="CU309" s="32"/>
      <c r="CY309" s="32"/>
      <c r="DC309" s="32"/>
      <c r="DG309" s="32"/>
    </row>
    <row r="310">
      <c r="CU310" s="32"/>
      <c r="CY310" s="32"/>
      <c r="DC310" s="32"/>
      <c r="DG310" s="32"/>
    </row>
    <row r="311">
      <c r="CU311" s="32"/>
      <c r="CY311" s="32"/>
      <c r="DC311" s="32"/>
      <c r="DG311" s="32"/>
    </row>
    <row r="312">
      <c r="CU312" s="32"/>
      <c r="CY312" s="32"/>
      <c r="DC312" s="32"/>
      <c r="DG312" s="32"/>
    </row>
    <row r="313">
      <c r="CU313" s="32"/>
      <c r="CY313" s="32"/>
      <c r="DC313" s="32"/>
      <c r="DG313" s="32"/>
    </row>
    <row r="314">
      <c r="CU314" s="32"/>
      <c r="CY314" s="32"/>
      <c r="DC314" s="32"/>
      <c r="DG314" s="32"/>
    </row>
    <row r="315">
      <c r="CU315" s="32"/>
      <c r="CY315" s="32"/>
      <c r="DC315" s="32"/>
      <c r="DG315" s="32"/>
    </row>
    <row r="316">
      <c r="CU316" s="32"/>
      <c r="CY316" s="32"/>
      <c r="DC316" s="32"/>
      <c r="DG316" s="32"/>
    </row>
    <row r="317">
      <c r="CU317" s="32"/>
      <c r="CY317" s="32"/>
      <c r="DC317" s="32"/>
      <c r="DG317" s="32"/>
    </row>
    <row r="318">
      <c r="CU318" s="32"/>
      <c r="CY318" s="32"/>
      <c r="DC318" s="32"/>
      <c r="DG318" s="32"/>
    </row>
    <row r="319">
      <c r="CU319" s="32"/>
      <c r="CY319" s="32"/>
      <c r="DC319" s="32"/>
      <c r="DG319" s="32"/>
    </row>
    <row r="320">
      <c r="CU320" s="32"/>
      <c r="CY320" s="32"/>
      <c r="DC320" s="32"/>
      <c r="DG320" s="32"/>
    </row>
    <row r="321">
      <c r="CU321" s="32"/>
      <c r="CY321" s="32"/>
      <c r="DC321" s="32"/>
      <c r="DG321" s="32"/>
    </row>
    <row r="322">
      <c r="CU322" s="32"/>
      <c r="CY322" s="32"/>
      <c r="DC322" s="32"/>
      <c r="DG322" s="32"/>
    </row>
    <row r="323">
      <c r="CU323" s="32"/>
      <c r="CY323" s="32"/>
      <c r="DC323" s="32"/>
      <c r="DG323" s="32"/>
    </row>
    <row r="324">
      <c r="CU324" s="32"/>
      <c r="CY324" s="32"/>
      <c r="DC324" s="32"/>
      <c r="DG324" s="32"/>
    </row>
    <row r="325">
      <c r="CU325" s="32"/>
      <c r="CY325" s="32"/>
      <c r="DC325" s="32"/>
      <c r="DG325" s="32"/>
    </row>
    <row r="326">
      <c r="CU326" s="32"/>
      <c r="CY326" s="32"/>
      <c r="DC326" s="32"/>
      <c r="DG326" s="32"/>
    </row>
    <row r="327">
      <c r="CU327" s="32"/>
      <c r="CY327" s="32"/>
      <c r="DC327" s="32"/>
      <c r="DG327" s="32"/>
    </row>
    <row r="328">
      <c r="CU328" s="32"/>
      <c r="CY328" s="32"/>
      <c r="DC328" s="32"/>
      <c r="DG328" s="32"/>
    </row>
    <row r="329">
      <c r="CU329" s="32"/>
      <c r="CY329" s="32"/>
      <c r="DC329" s="32"/>
      <c r="DG329" s="32"/>
    </row>
    <row r="330">
      <c r="CU330" s="32"/>
      <c r="CY330" s="32"/>
      <c r="DC330" s="32"/>
      <c r="DG330" s="32"/>
    </row>
    <row r="331">
      <c r="CU331" s="32"/>
      <c r="CY331" s="32"/>
      <c r="DC331" s="32"/>
      <c r="DG331" s="32"/>
    </row>
    <row r="332">
      <c r="CU332" s="32"/>
      <c r="CY332" s="32"/>
      <c r="DC332" s="32"/>
      <c r="DG332" s="32"/>
    </row>
    <row r="333">
      <c r="CU333" s="32"/>
      <c r="CY333" s="32"/>
      <c r="DC333" s="32"/>
      <c r="DG333" s="32"/>
    </row>
    <row r="334">
      <c r="CU334" s="32"/>
      <c r="CY334" s="32"/>
      <c r="DC334" s="32"/>
      <c r="DG334" s="32"/>
    </row>
    <row r="335">
      <c r="CU335" s="32"/>
      <c r="CY335" s="32"/>
      <c r="DC335" s="32"/>
      <c r="DG335" s="32"/>
    </row>
    <row r="336">
      <c r="CU336" s="32"/>
      <c r="CY336" s="32"/>
      <c r="DC336" s="32"/>
      <c r="DG336" s="32"/>
    </row>
    <row r="337">
      <c r="CU337" s="32"/>
      <c r="CY337" s="32"/>
      <c r="DC337" s="32"/>
      <c r="DG337" s="32"/>
    </row>
    <row r="338">
      <c r="CU338" s="32"/>
      <c r="CY338" s="32"/>
      <c r="DC338" s="32"/>
      <c r="DG338" s="32"/>
    </row>
    <row r="339">
      <c r="CU339" s="32"/>
      <c r="CY339" s="32"/>
      <c r="DC339" s="32"/>
      <c r="DG339" s="32"/>
    </row>
    <row r="340">
      <c r="CU340" s="32"/>
      <c r="CY340" s="32"/>
      <c r="DC340" s="32"/>
      <c r="DG340" s="32"/>
    </row>
    <row r="341">
      <c r="CU341" s="32"/>
      <c r="CY341" s="32"/>
      <c r="DC341" s="32"/>
      <c r="DG341" s="32"/>
    </row>
    <row r="342">
      <c r="CU342" s="32"/>
      <c r="CY342" s="32"/>
      <c r="DC342" s="32"/>
      <c r="DG342" s="32"/>
    </row>
    <row r="343">
      <c r="CU343" s="32"/>
      <c r="CY343" s="32"/>
      <c r="DC343" s="32"/>
      <c r="DG343" s="32"/>
    </row>
    <row r="344">
      <c r="CU344" s="32"/>
      <c r="CY344" s="32"/>
      <c r="DC344" s="32"/>
      <c r="DG344" s="32"/>
    </row>
    <row r="345">
      <c r="CU345" s="32"/>
      <c r="CY345" s="32"/>
      <c r="DC345" s="32"/>
      <c r="DG345" s="32"/>
    </row>
    <row r="346">
      <c r="CU346" s="32"/>
      <c r="CY346" s="32"/>
      <c r="DC346" s="32"/>
      <c r="DG346" s="32"/>
    </row>
    <row r="347">
      <c r="CU347" s="32"/>
      <c r="CY347" s="32"/>
      <c r="DC347" s="32"/>
      <c r="DG347" s="32"/>
    </row>
    <row r="348">
      <c r="CU348" s="32"/>
      <c r="CY348" s="32"/>
      <c r="DC348" s="32"/>
      <c r="DG348" s="32"/>
    </row>
    <row r="349">
      <c r="CU349" s="32"/>
      <c r="CY349" s="32"/>
      <c r="DC349" s="32"/>
      <c r="DG349" s="32"/>
    </row>
    <row r="350">
      <c r="CU350" s="32"/>
      <c r="CY350" s="32"/>
      <c r="DC350" s="32"/>
      <c r="DG350" s="32"/>
    </row>
    <row r="351">
      <c r="CU351" s="32"/>
      <c r="CY351" s="32"/>
      <c r="DC351" s="32"/>
      <c r="DG351" s="32"/>
    </row>
    <row r="352">
      <c r="CU352" s="32"/>
      <c r="CY352" s="32"/>
      <c r="DC352" s="32"/>
      <c r="DG352" s="32"/>
    </row>
    <row r="353">
      <c r="CU353" s="32"/>
      <c r="CY353" s="32"/>
      <c r="DC353" s="32"/>
      <c r="DG353" s="32"/>
    </row>
    <row r="354">
      <c r="CU354" s="32"/>
      <c r="CY354" s="32"/>
      <c r="DC354" s="32"/>
      <c r="DG354" s="32"/>
    </row>
    <row r="355">
      <c r="CU355" s="32"/>
      <c r="CY355" s="32"/>
      <c r="DC355" s="32"/>
      <c r="DG355" s="32"/>
    </row>
    <row r="356">
      <c r="CU356" s="32"/>
      <c r="CY356" s="32"/>
      <c r="DC356" s="32"/>
      <c r="DG356" s="32"/>
    </row>
    <row r="357">
      <c r="CU357" s="32"/>
      <c r="CY357" s="32"/>
      <c r="DC357" s="32"/>
      <c r="DG357" s="32"/>
    </row>
    <row r="358">
      <c r="CU358" s="32"/>
      <c r="CY358" s="32"/>
      <c r="DC358" s="32"/>
      <c r="DG358" s="32"/>
    </row>
    <row r="359">
      <c r="CU359" s="32"/>
      <c r="CY359" s="32"/>
      <c r="DC359" s="32"/>
      <c r="DG359" s="32"/>
    </row>
    <row r="360">
      <c r="CU360" s="32"/>
      <c r="CY360" s="32"/>
      <c r="DC360" s="32"/>
      <c r="DG360" s="32"/>
    </row>
    <row r="361">
      <c r="CU361" s="32"/>
      <c r="CY361" s="32"/>
      <c r="DC361" s="32"/>
      <c r="DG361" s="32"/>
    </row>
    <row r="362">
      <c r="CU362" s="32"/>
      <c r="CY362" s="32"/>
      <c r="DC362" s="32"/>
      <c r="DG362" s="32"/>
    </row>
    <row r="363">
      <c r="CU363" s="32"/>
      <c r="CY363" s="32"/>
      <c r="DC363" s="32"/>
      <c r="DG363" s="32"/>
    </row>
    <row r="364">
      <c r="CU364" s="32"/>
      <c r="CY364" s="32"/>
      <c r="DC364" s="32"/>
      <c r="DG364" s="32"/>
    </row>
    <row r="365">
      <c r="CU365" s="32"/>
      <c r="CY365" s="32"/>
      <c r="DC365" s="32"/>
      <c r="DG365" s="32"/>
    </row>
    <row r="366">
      <c r="CU366" s="32"/>
      <c r="CY366" s="32"/>
      <c r="DC366" s="32"/>
      <c r="DG366" s="32"/>
    </row>
    <row r="367">
      <c r="CU367" s="32"/>
      <c r="CY367" s="32"/>
      <c r="DC367" s="32"/>
      <c r="DG367" s="32"/>
    </row>
    <row r="368">
      <c r="CU368" s="32"/>
      <c r="CY368" s="32"/>
      <c r="DC368" s="32"/>
      <c r="DG368" s="32"/>
    </row>
    <row r="369">
      <c r="CU369" s="32"/>
      <c r="CY369" s="32"/>
      <c r="DC369" s="32"/>
      <c r="DG369" s="32"/>
    </row>
    <row r="370">
      <c r="CU370" s="32"/>
      <c r="CY370" s="32"/>
      <c r="DC370" s="32"/>
      <c r="DG370" s="32"/>
    </row>
    <row r="371">
      <c r="CU371" s="32"/>
      <c r="CY371" s="32"/>
      <c r="DC371" s="32"/>
      <c r="DG371" s="32"/>
    </row>
    <row r="372">
      <c r="CU372" s="32"/>
      <c r="CY372" s="32"/>
      <c r="DC372" s="32"/>
      <c r="DG372" s="32"/>
    </row>
    <row r="373">
      <c r="CU373" s="32"/>
      <c r="CY373" s="32"/>
      <c r="DC373" s="32"/>
      <c r="DG373" s="32"/>
    </row>
    <row r="374">
      <c r="CU374" s="32"/>
      <c r="CY374" s="32"/>
      <c r="DC374" s="32"/>
      <c r="DG374" s="32"/>
    </row>
    <row r="375">
      <c r="CU375" s="32"/>
      <c r="CY375" s="32"/>
      <c r="DC375" s="32"/>
      <c r="DG375" s="32"/>
    </row>
    <row r="376">
      <c r="CU376" s="32"/>
      <c r="CY376" s="32"/>
      <c r="DC376" s="32"/>
      <c r="DG376" s="32"/>
    </row>
    <row r="377">
      <c r="CU377" s="32"/>
      <c r="CY377" s="32"/>
      <c r="DC377" s="32"/>
      <c r="DG377" s="32"/>
    </row>
    <row r="378">
      <c r="CU378" s="32"/>
      <c r="CY378" s="32"/>
      <c r="DC378" s="32"/>
      <c r="DG378" s="32"/>
    </row>
    <row r="379">
      <c r="CU379" s="32"/>
      <c r="CY379" s="32"/>
      <c r="DC379" s="32"/>
      <c r="DG379" s="32"/>
    </row>
    <row r="380">
      <c r="CU380" s="32"/>
      <c r="CY380" s="32"/>
      <c r="DC380" s="32"/>
      <c r="DG380" s="32"/>
    </row>
    <row r="381">
      <c r="CU381" s="32"/>
      <c r="CY381" s="32"/>
      <c r="DC381" s="32"/>
      <c r="DG381" s="32"/>
    </row>
    <row r="382">
      <c r="CU382" s="32"/>
      <c r="CY382" s="32"/>
      <c r="DC382" s="32"/>
      <c r="DG382" s="32"/>
    </row>
    <row r="383">
      <c r="CU383" s="32"/>
      <c r="CY383" s="32"/>
      <c r="DC383" s="32"/>
      <c r="DG383" s="32"/>
    </row>
    <row r="384">
      <c r="CU384" s="32"/>
      <c r="CY384" s="32"/>
      <c r="DC384" s="32"/>
      <c r="DG384" s="32"/>
    </row>
    <row r="385">
      <c r="CU385" s="32"/>
      <c r="CY385" s="32"/>
      <c r="DC385" s="32"/>
      <c r="DG385" s="32"/>
    </row>
    <row r="386">
      <c r="CU386" s="32"/>
      <c r="CY386" s="32"/>
      <c r="DC386" s="32"/>
      <c r="DG386" s="32"/>
    </row>
    <row r="387">
      <c r="CU387" s="32"/>
      <c r="CY387" s="32"/>
      <c r="DC387" s="32"/>
      <c r="DG387" s="32"/>
    </row>
    <row r="388">
      <c r="CU388" s="32"/>
      <c r="CY388" s="32"/>
      <c r="DC388" s="32"/>
      <c r="DG388" s="32"/>
    </row>
    <row r="389">
      <c r="CU389" s="32"/>
      <c r="CY389" s="32"/>
      <c r="DC389" s="32"/>
      <c r="DG389" s="32"/>
    </row>
    <row r="390">
      <c r="CU390" s="32"/>
      <c r="CY390" s="32"/>
      <c r="DC390" s="32"/>
      <c r="DG390" s="32"/>
    </row>
    <row r="391">
      <c r="CU391" s="32"/>
      <c r="CY391" s="32"/>
      <c r="DC391" s="32"/>
      <c r="DG391" s="32"/>
    </row>
    <row r="392">
      <c r="CU392" s="32"/>
      <c r="CY392" s="32"/>
      <c r="DC392" s="32"/>
      <c r="DG392" s="32"/>
    </row>
    <row r="393">
      <c r="CU393" s="32"/>
      <c r="CY393" s="32"/>
      <c r="DC393" s="32"/>
      <c r="DG393" s="32"/>
    </row>
    <row r="394">
      <c r="CU394" s="32"/>
      <c r="CY394" s="32"/>
      <c r="DC394" s="32"/>
      <c r="DG394" s="32"/>
    </row>
    <row r="395">
      <c r="CU395" s="32"/>
      <c r="CY395" s="32"/>
      <c r="DC395" s="32"/>
      <c r="DG395" s="32"/>
    </row>
    <row r="396">
      <c r="CU396" s="32"/>
      <c r="CY396" s="32"/>
      <c r="DC396" s="32"/>
      <c r="DG396" s="32"/>
    </row>
    <row r="397">
      <c r="CU397" s="32"/>
      <c r="CY397" s="32"/>
      <c r="DC397" s="32"/>
      <c r="DG397" s="32"/>
    </row>
    <row r="398">
      <c r="CU398" s="32"/>
      <c r="CY398" s="32"/>
      <c r="DC398" s="32"/>
      <c r="DG398" s="32"/>
    </row>
    <row r="399">
      <c r="CU399" s="32"/>
      <c r="CY399" s="32"/>
      <c r="DC399" s="32"/>
      <c r="DG399" s="32"/>
    </row>
    <row r="400">
      <c r="CU400" s="32"/>
      <c r="CY400" s="32"/>
      <c r="DC400" s="32"/>
      <c r="DG400" s="32"/>
    </row>
    <row r="401">
      <c r="CU401" s="32"/>
      <c r="CY401" s="32"/>
      <c r="DC401" s="32"/>
      <c r="DG401" s="32"/>
    </row>
    <row r="402">
      <c r="CU402" s="32"/>
      <c r="CY402" s="32"/>
      <c r="DC402" s="32"/>
      <c r="DG402" s="32"/>
    </row>
    <row r="403">
      <c r="CU403" s="32"/>
      <c r="CY403" s="32"/>
      <c r="DC403" s="32"/>
      <c r="DG403" s="32"/>
    </row>
    <row r="404">
      <c r="CU404" s="32"/>
      <c r="CY404" s="32"/>
      <c r="DC404" s="32"/>
      <c r="DG404" s="32"/>
    </row>
    <row r="405">
      <c r="CU405" s="32"/>
      <c r="CY405" s="32"/>
      <c r="DC405" s="32"/>
      <c r="DG405" s="32"/>
    </row>
    <row r="406">
      <c r="CU406" s="32"/>
      <c r="CY406" s="32"/>
      <c r="DC406" s="32"/>
      <c r="DG406" s="32"/>
    </row>
    <row r="407">
      <c r="CU407" s="32"/>
      <c r="CY407" s="32"/>
      <c r="DC407" s="32"/>
      <c r="DG407" s="32"/>
    </row>
    <row r="408">
      <c r="CU408" s="32"/>
      <c r="CY408" s="32"/>
      <c r="DC408" s="32"/>
      <c r="DG408" s="32"/>
    </row>
    <row r="409">
      <c r="CU409" s="32"/>
      <c r="CY409" s="32"/>
      <c r="DC409" s="32"/>
      <c r="DG409" s="32"/>
    </row>
    <row r="410">
      <c r="CU410" s="32"/>
      <c r="CY410" s="32"/>
      <c r="DC410" s="32"/>
      <c r="DG410" s="32"/>
    </row>
    <row r="411">
      <c r="CU411" s="32"/>
      <c r="CY411" s="32"/>
      <c r="DC411" s="32"/>
      <c r="DG411" s="32"/>
    </row>
    <row r="412">
      <c r="CU412" s="32"/>
      <c r="CY412" s="32"/>
      <c r="DC412" s="32"/>
      <c r="DG412" s="32"/>
    </row>
    <row r="413">
      <c r="CU413" s="32"/>
      <c r="CY413" s="32"/>
      <c r="DC413" s="32"/>
      <c r="DG413" s="32"/>
    </row>
    <row r="414">
      <c r="CU414" s="32"/>
      <c r="CY414" s="32"/>
      <c r="DC414" s="32"/>
      <c r="DG414" s="32"/>
    </row>
    <row r="415">
      <c r="CU415" s="32"/>
      <c r="CY415" s="32"/>
      <c r="DC415" s="32"/>
      <c r="DG415" s="32"/>
    </row>
    <row r="416">
      <c r="CU416" s="32"/>
      <c r="CY416" s="32"/>
      <c r="DC416" s="32"/>
      <c r="DG416" s="32"/>
    </row>
    <row r="417">
      <c r="CU417" s="32"/>
      <c r="CY417" s="32"/>
      <c r="DC417" s="32"/>
      <c r="DG417" s="32"/>
    </row>
    <row r="418">
      <c r="CU418" s="32"/>
      <c r="CY418" s="32"/>
      <c r="DC418" s="32"/>
      <c r="DG418" s="32"/>
    </row>
    <row r="419">
      <c r="CU419" s="32"/>
      <c r="CY419" s="32"/>
      <c r="DC419" s="32"/>
      <c r="DG419" s="32"/>
    </row>
    <row r="420">
      <c r="CU420" s="32"/>
      <c r="CY420" s="32"/>
      <c r="DC420" s="32"/>
      <c r="DG420" s="32"/>
    </row>
    <row r="421">
      <c r="CU421" s="32"/>
      <c r="CY421" s="32"/>
      <c r="DC421" s="32"/>
      <c r="DG421" s="32"/>
    </row>
    <row r="422">
      <c r="CU422" s="32"/>
      <c r="CY422" s="32"/>
      <c r="DC422" s="32"/>
      <c r="DG422" s="32"/>
    </row>
    <row r="423">
      <c r="CU423" s="32"/>
      <c r="CY423" s="32"/>
      <c r="DC423" s="32"/>
      <c r="DG423" s="32"/>
    </row>
    <row r="424">
      <c r="CU424" s="32"/>
      <c r="CY424" s="32"/>
      <c r="DC424" s="32"/>
      <c r="DG424" s="32"/>
    </row>
    <row r="425">
      <c r="CU425" s="32"/>
      <c r="CY425" s="32"/>
      <c r="DC425" s="32"/>
      <c r="DG425" s="32"/>
    </row>
    <row r="426">
      <c r="CU426" s="32"/>
      <c r="CY426" s="32"/>
      <c r="DC426" s="32"/>
      <c r="DG426" s="32"/>
    </row>
    <row r="427">
      <c r="CU427" s="32"/>
      <c r="CY427" s="32"/>
      <c r="DC427" s="32"/>
      <c r="DG427" s="32"/>
    </row>
    <row r="428">
      <c r="CU428" s="32"/>
      <c r="CY428" s="32"/>
      <c r="DC428" s="32"/>
      <c r="DG428" s="32"/>
    </row>
    <row r="429">
      <c r="CU429" s="32"/>
      <c r="CY429" s="32"/>
      <c r="DC429" s="32"/>
      <c r="DG429" s="32"/>
    </row>
    <row r="430">
      <c r="CU430" s="32"/>
      <c r="CY430" s="32"/>
      <c r="DC430" s="32"/>
      <c r="DG430" s="32"/>
    </row>
    <row r="431">
      <c r="CU431" s="32"/>
      <c r="CY431" s="32"/>
      <c r="DC431" s="32"/>
      <c r="DG431" s="32"/>
    </row>
    <row r="432">
      <c r="CU432" s="32"/>
      <c r="CY432" s="32"/>
      <c r="DC432" s="32"/>
      <c r="DG432" s="32"/>
    </row>
    <row r="433">
      <c r="CU433" s="32"/>
      <c r="CY433" s="32"/>
      <c r="DC433" s="32"/>
      <c r="DG433" s="32"/>
    </row>
    <row r="434">
      <c r="CU434" s="32"/>
      <c r="CY434" s="32"/>
      <c r="DC434" s="32"/>
      <c r="DG434" s="32"/>
    </row>
    <row r="435">
      <c r="CU435" s="32"/>
      <c r="CY435" s="32"/>
      <c r="DC435" s="32"/>
      <c r="DG435" s="32"/>
    </row>
    <row r="436">
      <c r="CU436" s="32"/>
      <c r="CY436" s="32"/>
      <c r="DC436" s="32"/>
      <c r="DG436" s="32"/>
    </row>
    <row r="437">
      <c r="CU437" s="32"/>
      <c r="CY437" s="32"/>
      <c r="DC437" s="32"/>
      <c r="DG437" s="32"/>
    </row>
    <row r="438">
      <c r="CU438" s="32"/>
      <c r="CY438" s="32"/>
      <c r="DC438" s="32"/>
      <c r="DG438" s="32"/>
    </row>
    <row r="439">
      <c r="CU439" s="32"/>
      <c r="CY439" s="32"/>
      <c r="DC439" s="32"/>
      <c r="DG439" s="32"/>
    </row>
    <row r="440">
      <c r="CU440" s="32"/>
      <c r="CY440" s="32"/>
      <c r="DC440" s="32"/>
      <c r="DG440" s="32"/>
    </row>
    <row r="441">
      <c r="CU441" s="32"/>
      <c r="CY441" s="32"/>
      <c r="DC441" s="32"/>
      <c r="DG441" s="32"/>
    </row>
    <row r="442">
      <c r="CU442" s="32"/>
      <c r="CY442" s="32"/>
      <c r="DC442" s="32"/>
      <c r="DG442" s="32"/>
    </row>
    <row r="443">
      <c r="CU443" s="32"/>
      <c r="CY443" s="32"/>
      <c r="DC443" s="32"/>
      <c r="DG443" s="32"/>
    </row>
    <row r="444">
      <c r="CU444" s="32"/>
      <c r="CY444" s="32"/>
      <c r="DC444" s="32"/>
      <c r="DG444" s="32"/>
    </row>
    <row r="445">
      <c r="CU445" s="32"/>
      <c r="CY445" s="32"/>
      <c r="DC445" s="32"/>
      <c r="DG445" s="32"/>
    </row>
    <row r="446">
      <c r="CU446" s="32"/>
      <c r="CY446" s="32"/>
      <c r="DC446" s="32"/>
      <c r="DG446" s="32"/>
    </row>
    <row r="447">
      <c r="CU447" s="32"/>
      <c r="CY447" s="32"/>
      <c r="DC447" s="32"/>
      <c r="DG447" s="32"/>
    </row>
    <row r="448">
      <c r="CU448" s="32"/>
      <c r="CY448" s="32"/>
      <c r="DC448" s="32"/>
      <c r="DG448" s="32"/>
    </row>
    <row r="449">
      <c r="CU449" s="32"/>
      <c r="CY449" s="32"/>
      <c r="DC449" s="32"/>
      <c r="DG449" s="32"/>
    </row>
    <row r="450">
      <c r="CU450" s="32"/>
      <c r="CY450" s="32"/>
      <c r="DC450" s="32"/>
      <c r="DG450" s="32"/>
    </row>
    <row r="451">
      <c r="CU451" s="32"/>
      <c r="CY451" s="32"/>
      <c r="DC451" s="32"/>
      <c r="DG451" s="32"/>
    </row>
    <row r="452">
      <c r="CU452" s="32"/>
      <c r="CY452" s="32"/>
      <c r="DC452" s="32"/>
      <c r="DG452" s="32"/>
    </row>
    <row r="453">
      <c r="CU453" s="32"/>
      <c r="CY453" s="32"/>
      <c r="DC453" s="32"/>
      <c r="DG453" s="32"/>
    </row>
    <row r="454">
      <c r="CU454" s="32"/>
      <c r="CY454" s="32"/>
      <c r="DC454" s="32"/>
      <c r="DG454" s="32"/>
    </row>
    <row r="455">
      <c r="CU455" s="32"/>
      <c r="CY455" s="32"/>
      <c r="DC455" s="32"/>
      <c r="DG455" s="32"/>
    </row>
    <row r="456">
      <c r="CU456" s="32"/>
      <c r="CY456" s="32"/>
      <c r="DC456" s="32"/>
      <c r="DG456" s="32"/>
    </row>
    <row r="457">
      <c r="CU457" s="32"/>
      <c r="CY457" s="32"/>
      <c r="DC457" s="32"/>
      <c r="DG457" s="32"/>
    </row>
    <row r="458">
      <c r="CU458" s="32"/>
      <c r="CY458" s="32"/>
      <c r="DC458" s="32"/>
      <c r="DG458" s="32"/>
    </row>
    <row r="459">
      <c r="CU459" s="32"/>
      <c r="CY459" s="32"/>
      <c r="DC459" s="32"/>
      <c r="DG459" s="32"/>
    </row>
    <row r="460">
      <c r="CU460" s="32"/>
      <c r="CY460" s="32"/>
      <c r="DC460" s="32"/>
      <c r="DG460" s="32"/>
    </row>
    <row r="461">
      <c r="CU461" s="32"/>
      <c r="CY461" s="32"/>
      <c r="DC461" s="32"/>
      <c r="DG461" s="32"/>
    </row>
    <row r="462">
      <c r="CU462" s="32"/>
      <c r="CY462" s="32"/>
      <c r="DC462" s="32"/>
      <c r="DG462" s="32"/>
    </row>
    <row r="463">
      <c r="CU463" s="32"/>
      <c r="CY463" s="32"/>
      <c r="DC463" s="32"/>
      <c r="DG463" s="32"/>
    </row>
    <row r="464">
      <c r="CU464" s="32"/>
      <c r="CY464" s="32"/>
      <c r="DC464" s="32"/>
      <c r="DG464" s="32"/>
    </row>
    <row r="465">
      <c r="CU465" s="32"/>
      <c r="CY465" s="32"/>
      <c r="DC465" s="32"/>
      <c r="DG465" s="32"/>
    </row>
    <row r="466">
      <c r="CU466" s="32"/>
      <c r="CY466" s="32"/>
      <c r="DC466" s="32"/>
      <c r="DG466" s="32"/>
    </row>
    <row r="467">
      <c r="CU467" s="32"/>
      <c r="CY467" s="32"/>
      <c r="DC467" s="32"/>
      <c r="DG467" s="32"/>
    </row>
    <row r="468">
      <c r="CU468" s="32"/>
      <c r="CY468" s="32"/>
      <c r="DC468" s="32"/>
      <c r="DG468" s="32"/>
    </row>
    <row r="469">
      <c r="CU469" s="32"/>
      <c r="CY469" s="32"/>
      <c r="DC469" s="32"/>
      <c r="DG469" s="32"/>
    </row>
    <row r="470">
      <c r="CU470" s="32"/>
      <c r="CY470" s="32"/>
      <c r="DC470" s="32"/>
      <c r="DG470" s="32"/>
    </row>
    <row r="471">
      <c r="CU471" s="32"/>
      <c r="CY471" s="32"/>
      <c r="DC471" s="32"/>
      <c r="DG471" s="32"/>
    </row>
    <row r="472">
      <c r="CU472" s="32"/>
      <c r="CY472" s="32"/>
      <c r="DC472" s="32"/>
      <c r="DG472" s="32"/>
    </row>
    <row r="473">
      <c r="CU473" s="32"/>
      <c r="CY473" s="32"/>
      <c r="DC473" s="32"/>
      <c r="DG473" s="32"/>
    </row>
    <row r="474">
      <c r="CU474" s="32"/>
      <c r="CY474" s="32"/>
      <c r="DC474" s="32"/>
      <c r="DG474" s="32"/>
    </row>
    <row r="475">
      <c r="CU475" s="32"/>
      <c r="CY475" s="32"/>
      <c r="DC475" s="32"/>
      <c r="DG475" s="32"/>
    </row>
    <row r="476">
      <c r="CU476" s="32"/>
      <c r="CY476" s="32"/>
      <c r="DC476" s="32"/>
      <c r="DG476" s="32"/>
    </row>
    <row r="477">
      <c r="CU477" s="32"/>
      <c r="CY477" s="32"/>
      <c r="DC477" s="32"/>
      <c r="DG477" s="32"/>
    </row>
    <row r="478">
      <c r="CU478" s="32"/>
      <c r="CY478" s="32"/>
      <c r="DC478" s="32"/>
      <c r="DG478" s="32"/>
    </row>
    <row r="479">
      <c r="CU479" s="32"/>
      <c r="CY479" s="32"/>
      <c r="DC479" s="32"/>
      <c r="DG479" s="32"/>
    </row>
    <row r="480">
      <c r="CU480" s="32"/>
      <c r="CY480" s="32"/>
      <c r="DC480" s="32"/>
      <c r="DG480" s="32"/>
    </row>
    <row r="481">
      <c r="CU481" s="32"/>
      <c r="CY481" s="32"/>
      <c r="DC481" s="32"/>
      <c r="DG481" s="32"/>
    </row>
    <row r="482">
      <c r="CU482" s="32"/>
      <c r="CY482" s="32"/>
      <c r="DC482" s="32"/>
      <c r="DG482" s="32"/>
    </row>
    <row r="483">
      <c r="CU483" s="32"/>
      <c r="CY483" s="32"/>
      <c r="DC483" s="32"/>
      <c r="DG483" s="32"/>
    </row>
    <row r="484">
      <c r="CU484" s="32"/>
      <c r="CY484" s="32"/>
      <c r="DC484" s="32"/>
      <c r="DG484" s="32"/>
    </row>
    <row r="485">
      <c r="CU485" s="32"/>
      <c r="CY485" s="32"/>
      <c r="DC485" s="32"/>
      <c r="DG485" s="32"/>
    </row>
    <row r="486">
      <c r="CU486" s="32"/>
      <c r="CY486" s="32"/>
      <c r="DC486" s="32"/>
      <c r="DG486" s="32"/>
    </row>
    <row r="487">
      <c r="CU487" s="32"/>
      <c r="CY487" s="32"/>
      <c r="DC487" s="32"/>
      <c r="DG487" s="32"/>
    </row>
    <row r="488">
      <c r="CU488" s="32"/>
      <c r="CY488" s="32"/>
      <c r="DC488" s="32"/>
      <c r="DG488" s="32"/>
    </row>
    <row r="489">
      <c r="CU489" s="32"/>
      <c r="CY489" s="32"/>
      <c r="DC489" s="32"/>
      <c r="DG489" s="32"/>
    </row>
    <row r="490">
      <c r="CU490" s="32"/>
      <c r="CY490" s="32"/>
      <c r="DC490" s="32"/>
      <c r="DG490" s="32"/>
    </row>
    <row r="491">
      <c r="CU491" s="32"/>
      <c r="CY491" s="32"/>
      <c r="DC491" s="32"/>
      <c r="DG491" s="32"/>
    </row>
    <row r="492">
      <c r="CU492" s="32"/>
      <c r="CY492" s="32"/>
      <c r="DC492" s="32"/>
      <c r="DG492" s="32"/>
    </row>
    <row r="493">
      <c r="CU493" s="32"/>
      <c r="CY493" s="32"/>
      <c r="DC493" s="32"/>
      <c r="DG493" s="32"/>
    </row>
    <row r="494">
      <c r="CU494" s="32"/>
      <c r="CY494" s="32"/>
      <c r="DC494" s="32"/>
      <c r="DG494" s="32"/>
    </row>
    <row r="495">
      <c r="CU495" s="32"/>
      <c r="CY495" s="32"/>
      <c r="DC495" s="32"/>
      <c r="DG495" s="32"/>
    </row>
    <row r="496">
      <c r="CU496" s="32"/>
      <c r="CY496" s="32"/>
      <c r="DC496" s="32"/>
      <c r="DG496" s="32"/>
    </row>
    <row r="497">
      <c r="CU497" s="32"/>
      <c r="CY497" s="32"/>
      <c r="DC497" s="32"/>
      <c r="DG497" s="32"/>
    </row>
    <row r="498">
      <c r="CU498" s="32"/>
      <c r="CY498" s="32"/>
      <c r="DC498" s="32"/>
      <c r="DG498" s="32"/>
    </row>
    <row r="499">
      <c r="CU499" s="32"/>
      <c r="CY499" s="32"/>
      <c r="DC499" s="32"/>
      <c r="DG499" s="32"/>
    </row>
    <row r="500">
      <c r="CU500" s="32"/>
      <c r="CY500" s="32"/>
      <c r="DC500" s="32"/>
      <c r="DG500" s="32"/>
    </row>
    <row r="501">
      <c r="CU501" s="32"/>
      <c r="CY501" s="32"/>
      <c r="DC501" s="32"/>
      <c r="DG501" s="32"/>
    </row>
    <row r="502">
      <c r="CU502" s="32"/>
      <c r="CY502" s="32"/>
      <c r="DC502" s="32"/>
      <c r="DG502" s="32"/>
    </row>
    <row r="503">
      <c r="CU503" s="32"/>
      <c r="CY503" s="32"/>
      <c r="DC503" s="32"/>
      <c r="DG503" s="32"/>
    </row>
    <row r="504">
      <c r="CU504" s="32"/>
      <c r="CY504" s="32"/>
      <c r="DC504" s="32"/>
      <c r="DG504" s="32"/>
    </row>
    <row r="505">
      <c r="CU505" s="32"/>
      <c r="CY505" s="32"/>
      <c r="DC505" s="32"/>
      <c r="DG505" s="32"/>
    </row>
    <row r="506">
      <c r="CU506" s="32"/>
      <c r="CY506" s="32"/>
      <c r="DC506" s="32"/>
      <c r="DG506" s="32"/>
    </row>
    <row r="507">
      <c r="CU507" s="32"/>
      <c r="CY507" s="32"/>
      <c r="DC507" s="32"/>
      <c r="DG507" s="32"/>
    </row>
    <row r="508">
      <c r="CU508" s="32"/>
      <c r="CY508" s="32"/>
      <c r="DC508" s="32"/>
      <c r="DG508" s="32"/>
    </row>
    <row r="509">
      <c r="CU509" s="32"/>
      <c r="CY509" s="32"/>
      <c r="DC509" s="32"/>
      <c r="DG509" s="32"/>
    </row>
    <row r="510">
      <c r="CU510" s="32"/>
      <c r="CY510" s="32"/>
      <c r="DC510" s="32"/>
      <c r="DG510" s="32"/>
    </row>
    <row r="511">
      <c r="CU511" s="32"/>
      <c r="CY511" s="32"/>
      <c r="DC511" s="32"/>
      <c r="DG511" s="32"/>
    </row>
    <row r="512">
      <c r="CU512" s="32"/>
      <c r="CY512" s="32"/>
      <c r="DC512" s="32"/>
      <c r="DG512" s="32"/>
    </row>
    <row r="513">
      <c r="CU513" s="32"/>
      <c r="CY513" s="32"/>
      <c r="DC513" s="32"/>
      <c r="DG513" s="32"/>
    </row>
    <row r="514">
      <c r="CU514" s="32"/>
      <c r="CY514" s="32"/>
      <c r="DC514" s="32"/>
      <c r="DG514" s="32"/>
    </row>
    <row r="515">
      <c r="CU515" s="32"/>
      <c r="CY515" s="32"/>
      <c r="DC515" s="32"/>
      <c r="DG515" s="32"/>
    </row>
    <row r="516">
      <c r="CU516" s="32"/>
      <c r="CY516" s="32"/>
      <c r="DC516" s="32"/>
      <c r="DG516" s="32"/>
    </row>
    <row r="517">
      <c r="CU517" s="32"/>
      <c r="CY517" s="32"/>
      <c r="DC517" s="32"/>
      <c r="DG517" s="32"/>
    </row>
    <row r="518">
      <c r="CU518" s="32"/>
      <c r="CY518" s="32"/>
      <c r="DC518" s="32"/>
      <c r="DG518" s="32"/>
    </row>
    <row r="519">
      <c r="CU519" s="32"/>
      <c r="CY519" s="32"/>
      <c r="DC519" s="32"/>
      <c r="DG519" s="32"/>
    </row>
    <row r="520">
      <c r="CU520" s="32"/>
      <c r="CY520" s="32"/>
      <c r="DC520" s="32"/>
      <c r="DG520" s="32"/>
    </row>
    <row r="521">
      <c r="CU521" s="32"/>
      <c r="CY521" s="32"/>
      <c r="DC521" s="32"/>
      <c r="DG521" s="32"/>
    </row>
    <row r="522">
      <c r="CU522" s="32"/>
      <c r="CY522" s="32"/>
      <c r="DC522" s="32"/>
      <c r="DG522" s="32"/>
    </row>
    <row r="523">
      <c r="CU523" s="32"/>
      <c r="CY523" s="32"/>
      <c r="DC523" s="32"/>
      <c r="DG523" s="32"/>
    </row>
    <row r="524">
      <c r="CU524" s="32"/>
      <c r="CY524" s="32"/>
      <c r="DC524" s="32"/>
      <c r="DG524" s="32"/>
    </row>
    <row r="525">
      <c r="CU525" s="32"/>
      <c r="CY525" s="32"/>
      <c r="DC525" s="32"/>
      <c r="DG525" s="32"/>
    </row>
    <row r="526">
      <c r="CU526" s="32"/>
      <c r="CY526" s="32"/>
      <c r="DC526" s="32"/>
      <c r="DG526" s="32"/>
    </row>
    <row r="527">
      <c r="CU527" s="32"/>
      <c r="CY527" s="32"/>
      <c r="DC527" s="32"/>
      <c r="DG527" s="32"/>
    </row>
    <row r="528">
      <c r="CU528" s="32"/>
      <c r="CY528" s="32"/>
      <c r="DC528" s="32"/>
      <c r="DG528" s="32"/>
    </row>
    <row r="529">
      <c r="CU529" s="32"/>
      <c r="CY529" s="32"/>
      <c r="DC529" s="32"/>
      <c r="DG529" s="32"/>
    </row>
    <row r="530">
      <c r="CU530" s="32"/>
      <c r="CY530" s="32"/>
      <c r="DC530" s="32"/>
      <c r="DG530" s="32"/>
    </row>
    <row r="531">
      <c r="CU531" s="32"/>
      <c r="CY531" s="32"/>
      <c r="DC531" s="32"/>
      <c r="DG531" s="32"/>
    </row>
    <row r="532">
      <c r="CU532" s="32"/>
      <c r="CY532" s="32"/>
      <c r="DC532" s="32"/>
      <c r="DG532" s="32"/>
    </row>
    <row r="533">
      <c r="CU533" s="32"/>
      <c r="CY533" s="32"/>
      <c r="DC533" s="32"/>
      <c r="DG533" s="32"/>
    </row>
    <row r="534">
      <c r="CU534" s="32"/>
      <c r="CY534" s="32"/>
      <c r="DC534" s="32"/>
      <c r="DG534" s="32"/>
    </row>
    <row r="535">
      <c r="CU535" s="32"/>
      <c r="CY535" s="32"/>
      <c r="DC535" s="32"/>
      <c r="DG535" s="32"/>
    </row>
    <row r="536">
      <c r="CU536" s="32"/>
      <c r="CY536" s="32"/>
      <c r="DC536" s="32"/>
      <c r="DG536" s="32"/>
    </row>
    <row r="537">
      <c r="CU537" s="32"/>
      <c r="CY537" s="32"/>
      <c r="DC537" s="32"/>
      <c r="DG537" s="32"/>
    </row>
    <row r="538">
      <c r="CU538" s="32"/>
      <c r="CY538" s="32"/>
      <c r="DC538" s="32"/>
      <c r="DG538" s="32"/>
    </row>
    <row r="539">
      <c r="CU539" s="32"/>
      <c r="CY539" s="32"/>
      <c r="DC539" s="32"/>
      <c r="DG539" s="32"/>
    </row>
    <row r="540">
      <c r="CU540" s="32"/>
      <c r="CY540" s="32"/>
      <c r="DC540" s="32"/>
      <c r="DG540" s="32"/>
    </row>
    <row r="541">
      <c r="CU541" s="32"/>
      <c r="CY541" s="32"/>
      <c r="DC541" s="32"/>
      <c r="DG541" s="32"/>
    </row>
    <row r="542">
      <c r="CU542" s="32"/>
      <c r="CY542" s="32"/>
      <c r="DC542" s="32"/>
      <c r="DG542" s="32"/>
    </row>
    <row r="543">
      <c r="CU543" s="32"/>
      <c r="CY543" s="32"/>
      <c r="DC543" s="32"/>
      <c r="DG543" s="32"/>
    </row>
    <row r="544">
      <c r="CU544" s="32"/>
      <c r="CY544" s="32"/>
      <c r="DC544" s="32"/>
      <c r="DG544" s="32"/>
    </row>
    <row r="545">
      <c r="CU545" s="32"/>
      <c r="CY545" s="32"/>
      <c r="DC545" s="32"/>
      <c r="DG545" s="32"/>
    </row>
    <row r="546">
      <c r="CU546" s="32"/>
      <c r="CY546" s="32"/>
      <c r="DC546" s="32"/>
      <c r="DG546" s="32"/>
    </row>
    <row r="547">
      <c r="CU547" s="32"/>
      <c r="CY547" s="32"/>
      <c r="DC547" s="32"/>
      <c r="DG547" s="32"/>
    </row>
    <row r="548">
      <c r="CU548" s="32"/>
      <c r="CY548" s="32"/>
      <c r="DC548" s="32"/>
      <c r="DG548" s="32"/>
    </row>
    <row r="549">
      <c r="CU549" s="32"/>
      <c r="CY549" s="32"/>
      <c r="DC549" s="32"/>
      <c r="DG549" s="32"/>
    </row>
    <row r="550">
      <c r="CU550" s="32"/>
      <c r="CY550" s="32"/>
      <c r="DC550" s="32"/>
      <c r="DG550" s="32"/>
    </row>
    <row r="551">
      <c r="CU551" s="32"/>
      <c r="CY551" s="32"/>
      <c r="DC551" s="32"/>
      <c r="DG551" s="32"/>
    </row>
    <row r="552">
      <c r="CU552" s="32"/>
      <c r="CY552" s="32"/>
      <c r="DC552" s="32"/>
      <c r="DG552" s="32"/>
    </row>
    <row r="553">
      <c r="CU553" s="32"/>
      <c r="CY553" s="32"/>
      <c r="DC553" s="32"/>
      <c r="DG553" s="32"/>
    </row>
    <row r="554">
      <c r="CU554" s="32"/>
      <c r="CY554" s="32"/>
      <c r="DC554" s="32"/>
      <c r="DG554" s="32"/>
    </row>
    <row r="555">
      <c r="CU555" s="32"/>
      <c r="CY555" s="32"/>
      <c r="DC555" s="32"/>
      <c r="DG555" s="32"/>
    </row>
    <row r="556">
      <c r="CU556" s="32"/>
      <c r="CY556" s="32"/>
      <c r="DC556" s="32"/>
      <c r="DG556" s="32"/>
    </row>
    <row r="557">
      <c r="CU557" s="32"/>
      <c r="CY557" s="32"/>
      <c r="DC557" s="32"/>
      <c r="DG557" s="32"/>
    </row>
    <row r="558">
      <c r="CU558" s="32"/>
      <c r="CY558" s="32"/>
      <c r="DC558" s="32"/>
      <c r="DG558" s="32"/>
    </row>
    <row r="559">
      <c r="CU559" s="32"/>
      <c r="CY559" s="32"/>
      <c r="DC559" s="32"/>
      <c r="DG559" s="32"/>
    </row>
    <row r="560">
      <c r="CU560" s="32"/>
      <c r="CY560" s="32"/>
      <c r="DC560" s="32"/>
      <c r="DG560" s="32"/>
    </row>
    <row r="561">
      <c r="CU561" s="32"/>
      <c r="CY561" s="32"/>
      <c r="DC561" s="32"/>
      <c r="DG561" s="32"/>
    </row>
    <row r="562">
      <c r="CU562" s="32"/>
      <c r="CY562" s="32"/>
      <c r="DC562" s="32"/>
      <c r="DG562" s="32"/>
    </row>
    <row r="563">
      <c r="CU563" s="32"/>
      <c r="CY563" s="32"/>
      <c r="DC563" s="32"/>
      <c r="DG563" s="32"/>
    </row>
    <row r="564">
      <c r="CU564" s="32"/>
      <c r="CY564" s="32"/>
      <c r="DC564" s="32"/>
      <c r="DG564" s="32"/>
    </row>
    <row r="565">
      <c r="CU565" s="32"/>
      <c r="CY565" s="32"/>
      <c r="DC565" s="32"/>
      <c r="DG565" s="32"/>
    </row>
    <row r="566">
      <c r="CU566" s="32"/>
      <c r="CY566" s="32"/>
      <c r="DC566" s="32"/>
      <c r="DG566" s="32"/>
    </row>
    <row r="567">
      <c r="CU567" s="32"/>
      <c r="CY567" s="32"/>
      <c r="DC567" s="32"/>
      <c r="DG567" s="32"/>
    </row>
    <row r="568">
      <c r="CU568" s="32"/>
      <c r="CY568" s="32"/>
      <c r="DC568" s="32"/>
      <c r="DG568" s="32"/>
    </row>
    <row r="569">
      <c r="CU569" s="32"/>
      <c r="CY569" s="32"/>
      <c r="DC569" s="32"/>
      <c r="DG569" s="32"/>
    </row>
    <row r="570">
      <c r="CU570" s="32"/>
      <c r="CY570" s="32"/>
      <c r="DC570" s="32"/>
      <c r="DG570" s="32"/>
    </row>
    <row r="571">
      <c r="CU571" s="32"/>
      <c r="CY571" s="32"/>
      <c r="DC571" s="32"/>
      <c r="DG571" s="32"/>
    </row>
    <row r="572">
      <c r="CU572" s="32"/>
      <c r="CY572" s="32"/>
      <c r="DC572" s="32"/>
      <c r="DG572" s="32"/>
    </row>
    <row r="573">
      <c r="CU573" s="32"/>
      <c r="CY573" s="32"/>
      <c r="DC573" s="32"/>
      <c r="DG573" s="32"/>
    </row>
    <row r="574">
      <c r="CU574" s="32"/>
      <c r="CY574" s="32"/>
      <c r="DC574" s="32"/>
      <c r="DG574" s="32"/>
    </row>
    <row r="575">
      <c r="CU575" s="32"/>
      <c r="CY575" s="32"/>
      <c r="DC575" s="32"/>
      <c r="DG575" s="32"/>
    </row>
    <row r="576">
      <c r="CU576" s="32"/>
      <c r="CY576" s="32"/>
      <c r="DC576" s="32"/>
      <c r="DG576" s="32"/>
    </row>
    <row r="577">
      <c r="CU577" s="32"/>
      <c r="CY577" s="32"/>
      <c r="DC577" s="32"/>
      <c r="DG577" s="32"/>
    </row>
    <row r="578">
      <c r="CU578" s="32"/>
      <c r="CY578" s="32"/>
      <c r="DC578" s="32"/>
      <c r="DG578" s="32"/>
    </row>
    <row r="579">
      <c r="CU579" s="32"/>
      <c r="CY579" s="32"/>
      <c r="DC579" s="32"/>
      <c r="DG579" s="32"/>
    </row>
    <row r="580">
      <c r="CU580" s="32"/>
      <c r="CY580" s="32"/>
      <c r="DC580" s="32"/>
      <c r="DG580" s="32"/>
    </row>
    <row r="581">
      <c r="CU581" s="32"/>
      <c r="CY581" s="32"/>
      <c r="DC581" s="32"/>
      <c r="DG581" s="32"/>
    </row>
    <row r="582">
      <c r="CU582" s="32"/>
      <c r="CY582" s="32"/>
      <c r="DC582" s="32"/>
      <c r="DG582" s="32"/>
    </row>
    <row r="583">
      <c r="CU583" s="32"/>
      <c r="CY583" s="32"/>
      <c r="DC583" s="32"/>
      <c r="DG583" s="32"/>
    </row>
    <row r="584">
      <c r="CU584" s="32"/>
      <c r="CY584" s="32"/>
      <c r="DC584" s="32"/>
      <c r="DG584" s="32"/>
    </row>
    <row r="585">
      <c r="CU585" s="32"/>
      <c r="CY585" s="32"/>
      <c r="DC585" s="32"/>
      <c r="DG585" s="32"/>
    </row>
    <row r="586">
      <c r="CU586" s="32"/>
      <c r="CY586" s="32"/>
      <c r="DC586" s="32"/>
      <c r="DG586" s="32"/>
    </row>
    <row r="587">
      <c r="CU587" s="32"/>
      <c r="CY587" s="32"/>
      <c r="DC587" s="32"/>
      <c r="DG587" s="32"/>
    </row>
    <row r="588">
      <c r="CU588" s="32"/>
      <c r="CY588" s="32"/>
      <c r="DC588" s="32"/>
      <c r="DG588" s="32"/>
    </row>
    <row r="589">
      <c r="CU589" s="32"/>
      <c r="CY589" s="32"/>
      <c r="DC589" s="32"/>
      <c r="DG589" s="32"/>
    </row>
    <row r="590">
      <c r="CU590" s="32"/>
      <c r="CY590" s="32"/>
      <c r="DC590" s="32"/>
      <c r="DG590" s="32"/>
    </row>
    <row r="591">
      <c r="CU591" s="32"/>
      <c r="CY591" s="32"/>
      <c r="DC591" s="32"/>
      <c r="DG591" s="32"/>
    </row>
    <row r="592">
      <c r="CU592" s="32"/>
      <c r="CY592" s="32"/>
      <c r="DC592" s="32"/>
      <c r="DG592" s="32"/>
    </row>
    <row r="593">
      <c r="CU593" s="32"/>
      <c r="CY593" s="32"/>
      <c r="DC593" s="32"/>
      <c r="DG593" s="32"/>
    </row>
    <row r="594">
      <c r="CU594" s="32"/>
      <c r="CY594" s="32"/>
      <c r="DC594" s="32"/>
      <c r="DG594" s="32"/>
    </row>
    <row r="595">
      <c r="CU595" s="32"/>
      <c r="CY595" s="32"/>
      <c r="DC595" s="32"/>
      <c r="DG595" s="32"/>
    </row>
    <row r="596">
      <c r="CU596" s="32"/>
      <c r="CY596" s="32"/>
      <c r="DC596" s="32"/>
      <c r="DG596" s="32"/>
    </row>
    <row r="597">
      <c r="CU597" s="32"/>
      <c r="CY597" s="32"/>
      <c r="DC597" s="32"/>
      <c r="DG597" s="32"/>
    </row>
    <row r="598">
      <c r="CU598" s="32"/>
      <c r="CY598" s="32"/>
      <c r="DC598" s="32"/>
      <c r="DG598" s="32"/>
    </row>
    <row r="599">
      <c r="CU599" s="32"/>
      <c r="CY599" s="32"/>
      <c r="DC599" s="32"/>
      <c r="DG599" s="32"/>
    </row>
    <row r="600">
      <c r="CU600" s="32"/>
      <c r="CY600" s="32"/>
      <c r="DC600" s="32"/>
      <c r="DG600" s="32"/>
    </row>
    <row r="601">
      <c r="CU601" s="32"/>
      <c r="CY601" s="32"/>
      <c r="DC601" s="32"/>
      <c r="DG601" s="32"/>
    </row>
    <row r="602">
      <c r="CU602" s="32"/>
      <c r="CY602" s="32"/>
      <c r="DC602" s="32"/>
      <c r="DG602" s="32"/>
    </row>
    <row r="603">
      <c r="CU603" s="32"/>
      <c r="CY603" s="32"/>
      <c r="DC603" s="32"/>
      <c r="DG603" s="32"/>
    </row>
    <row r="604">
      <c r="CU604" s="32"/>
      <c r="CY604" s="32"/>
      <c r="DC604" s="32"/>
      <c r="DG604" s="32"/>
    </row>
    <row r="605">
      <c r="CU605" s="32"/>
      <c r="CY605" s="32"/>
      <c r="DC605" s="32"/>
      <c r="DG605" s="32"/>
    </row>
    <row r="606">
      <c r="CU606" s="32"/>
      <c r="CY606" s="32"/>
      <c r="DC606" s="32"/>
      <c r="DG606" s="32"/>
    </row>
    <row r="607">
      <c r="CU607" s="32"/>
      <c r="CY607" s="32"/>
      <c r="DC607" s="32"/>
      <c r="DG607" s="32"/>
    </row>
    <row r="608">
      <c r="CU608" s="32"/>
      <c r="CY608" s="32"/>
      <c r="DC608" s="32"/>
      <c r="DG608" s="32"/>
    </row>
    <row r="609">
      <c r="CU609" s="32"/>
      <c r="CY609" s="32"/>
      <c r="DC609" s="32"/>
      <c r="DG609" s="32"/>
    </row>
    <row r="610">
      <c r="CU610" s="32"/>
      <c r="CY610" s="32"/>
      <c r="DC610" s="32"/>
      <c r="DG610" s="32"/>
    </row>
    <row r="611">
      <c r="CU611" s="32"/>
      <c r="CY611" s="32"/>
      <c r="DC611" s="32"/>
      <c r="DG611" s="32"/>
    </row>
    <row r="612">
      <c r="CU612" s="32"/>
      <c r="CY612" s="32"/>
      <c r="DC612" s="32"/>
      <c r="DG612" s="32"/>
    </row>
    <row r="613">
      <c r="CU613" s="32"/>
      <c r="CY613" s="32"/>
      <c r="DC613" s="32"/>
      <c r="DG613" s="32"/>
    </row>
    <row r="614">
      <c r="CU614" s="32"/>
      <c r="CY614" s="32"/>
      <c r="DC614" s="32"/>
      <c r="DG614" s="32"/>
    </row>
    <row r="615">
      <c r="CU615" s="32"/>
      <c r="CY615" s="32"/>
      <c r="DC615" s="32"/>
      <c r="DG615" s="32"/>
    </row>
    <row r="616">
      <c r="CU616" s="32"/>
      <c r="CY616" s="32"/>
      <c r="DC616" s="32"/>
      <c r="DG616" s="32"/>
    </row>
    <row r="617">
      <c r="CU617" s="32"/>
      <c r="CY617" s="32"/>
      <c r="DC617" s="32"/>
      <c r="DG617" s="32"/>
    </row>
    <row r="618">
      <c r="CU618" s="32"/>
      <c r="CY618" s="32"/>
      <c r="DC618" s="32"/>
      <c r="DG618" s="32"/>
    </row>
    <row r="619">
      <c r="CU619" s="32"/>
      <c r="CY619" s="32"/>
      <c r="DC619" s="32"/>
      <c r="DG619" s="32"/>
    </row>
    <row r="620">
      <c r="CU620" s="32"/>
      <c r="CY620" s="32"/>
      <c r="DC620" s="32"/>
      <c r="DG620" s="32"/>
    </row>
    <row r="621">
      <c r="CU621" s="32"/>
      <c r="CY621" s="32"/>
      <c r="DC621" s="32"/>
      <c r="DG621" s="32"/>
    </row>
    <row r="622">
      <c r="CU622" s="32"/>
      <c r="CY622" s="32"/>
      <c r="DC622" s="32"/>
      <c r="DG622" s="32"/>
    </row>
    <row r="623">
      <c r="CU623" s="32"/>
      <c r="CY623" s="32"/>
      <c r="DC623" s="32"/>
      <c r="DG623" s="32"/>
    </row>
    <row r="624">
      <c r="CU624" s="32"/>
      <c r="CY624" s="32"/>
      <c r="DC624" s="32"/>
      <c r="DG624" s="32"/>
    </row>
    <row r="625">
      <c r="CU625" s="32"/>
      <c r="CY625" s="32"/>
      <c r="DC625" s="32"/>
      <c r="DG625" s="32"/>
    </row>
    <row r="626">
      <c r="CU626" s="32"/>
      <c r="CY626" s="32"/>
      <c r="DC626" s="32"/>
      <c r="DG626" s="32"/>
    </row>
    <row r="627">
      <c r="CU627" s="32"/>
      <c r="CY627" s="32"/>
      <c r="DC627" s="32"/>
      <c r="DG627" s="32"/>
    </row>
    <row r="628">
      <c r="CU628" s="32"/>
      <c r="CY628" s="32"/>
      <c r="DC628" s="32"/>
      <c r="DG628" s="32"/>
    </row>
    <row r="629">
      <c r="CU629" s="32"/>
      <c r="CY629" s="32"/>
      <c r="DC629" s="32"/>
      <c r="DG629" s="32"/>
    </row>
    <row r="630">
      <c r="CU630" s="32"/>
      <c r="CY630" s="32"/>
      <c r="DC630" s="32"/>
      <c r="DG630" s="32"/>
    </row>
    <row r="631">
      <c r="CU631" s="32"/>
      <c r="CY631" s="32"/>
      <c r="DC631" s="32"/>
      <c r="DG631" s="32"/>
    </row>
    <row r="632">
      <c r="CU632" s="32"/>
      <c r="CY632" s="32"/>
      <c r="DC632" s="32"/>
      <c r="DG632" s="32"/>
    </row>
    <row r="633">
      <c r="CU633" s="32"/>
      <c r="CY633" s="32"/>
      <c r="DC633" s="32"/>
      <c r="DG633" s="32"/>
    </row>
    <row r="634">
      <c r="CU634" s="32"/>
      <c r="CY634" s="32"/>
      <c r="DC634" s="32"/>
      <c r="DG634" s="32"/>
    </row>
    <row r="635">
      <c r="CU635" s="32"/>
      <c r="CY635" s="32"/>
      <c r="DC635" s="32"/>
      <c r="DG635" s="32"/>
    </row>
    <row r="636">
      <c r="CU636" s="32"/>
      <c r="CY636" s="32"/>
      <c r="DC636" s="32"/>
      <c r="DG636" s="32"/>
    </row>
    <row r="637">
      <c r="CU637" s="32"/>
      <c r="CY637" s="32"/>
      <c r="DC637" s="32"/>
      <c r="DG637" s="32"/>
    </row>
    <row r="638">
      <c r="CU638" s="32"/>
      <c r="CY638" s="32"/>
      <c r="DC638" s="32"/>
      <c r="DG638" s="32"/>
    </row>
    <row r="639">
      <c r="CU639" s="32"/>
      <c r="CY639" s="32"/>
      <c r="DC639" s="32"/>
      <c r="DG639" s="32"/>
    </row>
    <row r="640">
      <c r="CU640" s="32"/>
      <c r="CY640" s="32"/>
      <c r="DC640" s="32"/>
      <c r="DG640" s="32"/>
    </row>
    <row r="641">
      <c r="CU641" s="32"/>
      <c r="CY641" s="32"/>
      <c r="DC641" s="32"/>
      <c r="DG641" s="32"/>
    </row>
    <row r="642">
      <c r="CU642" s="32"/>
      <c r="CY642" s="32"/>
      <c r="DC642" s="32"/>
      <c r="DG642" s="32"/>
    </row>
    <row r="643">
      <c r="CU643" s="32"/>
      <c r="CY643" s="32"/>
      <c r="DC643" s="32"/>
      <c r="DG643" s="32"/>
    </row>
    <row r="644">
      <c r="CU644" s="32"/>
      <c r="CY644" s="32"/>
      <c r="DC644" s="32"/>
      <c r="DG644" s="32"/>
    </row>
    <row r="645">
      <c r="CU645" s="32"/>
      <c r="CY645" s="32"/>
      <c r="DC645" s="32"/>
      <c r="DG645" s="32"/>
    </row>
    <row r="646">
      <c r="CU646" s="32"/>
      <c r="CY646" s="32"/>
      <c r="DC646" s="32"/>
      <c r="DG646" s="32"/>
    </row>
    <row r="647">
      <c r="CU647" s="32"/>
      <c r="CY647" s="32"/>
      <c r="DC647" s="32"/>
      <c r="DG647" s="32"/>
    </row>
    <row r="648">
      <c r="CU648" s="32"/>
      <c r="CY648" s="32"/>
      <c r="DC648" s="32"/>
      <c r="DG648" s="32"/>
    </row>
    <row r="649">
      <c r="CU649" s="32"/>
      <c r="CY649" s="32"/>
      <c r="DC649" s="32"/>
      <c r="DG649" s="32"/>
    </row>
    <row r="650">
      <c r="CU650" s="32"/>
      <c r="CY650" s="32"/>
      <c r="DC650" s="32"/>
      <c r="DG650" s="32"/>
    </row>
    <row r="651">
      <c r="CU651" s="32"/>
      <c r="CY651" s="32"/>
      <c r="DC651" s="32"/>
      <c r="DG651" s="32"/>
    </row>
    <row r="652">
      <c r="CU652" s="32"/>
      <c r="CY652" s="32"/>
      <c r="DC652" s="32"/>
      <c r="DG652" s="32"/>
    </row>
    <row r="653">
      <c r="CU653" s="32"/>
      <c r="CY653" s="32"/>
      <c r="DC653" s="32"/>
      <c r="DG653" s="32"/>
    </row>
    <row r="654">
      <c r="CU654" s="32"/>
      <c r="CY654" s="32"/>
      <c r="DC654" s="32"/>
      <c r="DG654" s="32"/>
    </row>
    <row r="655">
      <c r="CU655" s="32"/>
      <c r="CY655" s="32"/>
      <c r="DC655" s="32"/>
      <c r="DG655" s="32"/>
    </row>
    <row r="656">
      <c r="CU656" s="32"/>
      <c r="CY656" s="32"/>
      <c r="DC656" s="32"/>
      <c r="DG656" s="32"/>
    </row>
    <row r="657">
      <c r="CU657" s="32"/>
      <c r="CY657" s="32"/>
      <c r="DC657" s="32"/>
      <c r="DG657" s="32"/>
    </row>
    <row r="658">
      <c r="CU658" s="32"/>
      <c r="CY658" s="32"/>
      <c r="DC658" s="32"/>
      <c r="DG658" s="32"/>
    </row>
    <row r="659">
      <c r="CU659" s="32"/>
      <c r="CY659" s="32"/>
      <c r="DC659" s="32"/>
      <c r="DG659" s="32"/>
    </row>
    <row r="660">
      <c r="CU660" s="32"/>
      <c r="CY660" s="32"/>
      <c r="DC660" s="32"/>
      <c r="DG660" s="32"/>
    </row>
    <row r="661">
      <c r="CU661" s="32"/>
      <c r="CY661" s="32"/>
      <c r="DC661" s="32"/>
      <c r="DG661" s="32"/>
    </row>
    <row r="662">
      <c r="CU662" s="32"/>
      <c r="CY662" s="32"/>
      <c r="DC662" s="32"/>
      <c r="DG662" s="32"/>
    </row>
    <row r="663">
      <c r="CU663" s="32"/>
      <c r="CY663" s="32"/>
      <c r="DC663" s="32"/>
      <c r="DG663" s="32"/>
    </row>
    <row r="664">
      <c r="CU664" s="32"/>
      <c r="CY664" s="32"/>
      <c r="DC664" s="32"/>
      <c r="DG664" s="32"/>
    </row>
    <row r="665">
      <c r="CU665" s="32"/>
      <c r="CY665" s="32"/>
      <c r="DC665" s="32"/>
      <c r="DG665" s="32"/>
    </row>
    <row r="666">
      <c r="CU666" s="32"/>
      <c r="CY666" s="32"/>
      <c r="DC666" s="32"/>
      <c r="DG666" s="32"/>
    </row>
    <row r="667">
      <c r="CU667" s="32"/>
      <c r="CY667" s="32"/>
      <c r="DC667" s="32"/>
      <c r="DG667" s="32"/>
    </row>
    <row r="668">
      <c r="CU668" s="32"/>
      <c r="CY668" s="32"/>
      <c r="DC668" s="32"/>
      <c r="DG668" s="32"/>
    </row>
    <row r="669">
      <c r="CU669" s="32"/>
      <c r="CY669" s="32"/>
      <c r="DC669" s="32"/>
      <c r="DG669" s="32"/>
    </row>
    <row r="670">
      <c r="CU670" s="32"/>
      <c r="CY670" s="32"/>
      <c r="DC670" s="32"/>
      <c r="DG670" s="32"/>
    </row>
    <row r="671">
      <c r="CU671" s="32"/>
      <c r="CY671" s="32"/>
      <c r="DC671" s="32"/>
      <c r="DG671" s="32"/>
    </row>
    <row r="672">
      <c r="CU672" s="32"/>
      <c r="CY672" s="32"/>
      <c r="DC672" s="32"/>
      <c r="DG672" s="32"/>
    </row>
    <row r="673">
      <c r="CU673" s="32"/>
      <c r="CY673" s="32"/>
      <c r="DC673" s="32"/>
      <c r="DG673" s="32"/>
    </row>
    <row r="674">
      <c r="CU674" s="32"/>
      <c r="CY674" s="32"/>
      <c r="DC674" s="32"/>
      <c r="DG674" s="32"/>
    </row>
    <row r="675">
      <c r="CU675" s="32"/>
      <c r="CY675" s="32"/>
      <c r="DC675" s="32"/>
      <c r="DG675" s="32"/>
    </row>
    <row r="676">
      <c r="CU676" s="32"/>
      <c r="CY676" s="32"/>
      <c r="DC676" s="32"/>
      <c r="DG676" s="32"/>
    </row>
    <row r="677">
      <c r="CU677" s="32"/>
      <c r="CY677" s="32"/>
      <c r="DC677" s="32"/>
      <c r="DG677" s="32"/>
    </row>
    <row r="678">
      <c r="CU678" s="32"/>
      <c r="CY678" s="32"/>
      <c r="DC678" s="32"/>
      <c r="DG678" s="32"/>
    </row>
    <row r="679">
      <c r="CU679" s="32"/>
      <c r="CY679" s="32"/>
      <c r="DC679" s="32"/>
      <c r="DG679" s="32"/>
    </row>
    <row r="680">
      <c r="CU680" s="32"/>
      <c r="CY680" s="32"/>
      <c r="DC680" s="32"/>
      <c r="DG680" s="32"/>
    </row>
    <row r="681">
      <c r="CU681" s="32"/>
      <c r="CY681" s="32"/>
      <c r="DC681" s="32"/>
      <c r="DG681" s="32"/>
    </row>
    <row r="682">
      <c r="CU682" s="32"/>
      <c r="CY682" s="32"/>
      <c r="DC682" s="32"/>
      <c r="DG682" s="32"/>
    </row>
    <row r="683">
      <c r="CU683" s="32"/>
      <c r="CY683" s="32"/>
      <c r="DC683" s="32"/>
      <c r="DG683" s="32"/>
    </row>
    <row r="684">
      <c r="CU684" s="32"/>
      <c r="CY684" s="32"/>
      <c r="DC684" s="32"/>
      <c r="DG684" s="32"/>
    </row>
    <row r="685">
      <c r="CU685" s="32"/>
      <c r="CY685" s="32"/>
      <c r="DC685" s="32"/>
      <c r="DG685" s="32"/>
    </row>
    <row r="686">
      <c r="CU686" s="32"/>
      <c r="CY686" s="32"/>
      <c r="DC686" s="32"/>
      <c r="DG686" s="32"/>
    </row>
    <row r="687">
      <c r="CU687" s="32"/>
      <c r="CY687" s="32"/>
      <c r="DC687" s="32"/>
      <c r="DG687" s="32"/>
    </row>
    <row r="688">
      <c r="CU688" s="32"/>
      <c r="CY688" s="32"/>
      <c r="DC688" s="32"/>
      <c r="DG688" s="32"/>
    </row>
    <row r="689">
      <c r="CU689" s="32"/>
      <c r="CY689" s="32"/>
      <c r="DC689" s="32"/>
      <c r="DG689" s="32"/>
    </row>
    <row r="690">
      <c r="CU690" s="32"/>
      <c r="CY690" s="32"/>
      <c r="DC690" s="32"/>
      <c r="DG690" s="32"/>
    </row>
    <row r="691">
      <c r="CU691" s="32"/>
      <c r="CY691" s="32"/>
      <c r="DC691" s="32"/>
      <c r="DG691" s="32"/>
    </row>
    <row r="692">
      <c r="CU692" s="32"/>
      <c r="CY692" s="32"/>
      <c r="DC692" s="32"/>
      <c r="DG692" s="32"/>
    </row>
    <row r="693">
      <c r="CU693" s="32"/>
      <c r="CY693" s="32"/>
      <c r="DC693" s="32"/>
      <c r="DG693" s="32"/>
    </row>
    <row r="694">
      <c r="CU694" s="32"/>
      <c r="CY694" s="32"/>
      <c r="DC694" s="32"/>
      <c r="DG694" s="32"/>
    </row>
    <row r="695">
      <c r="CU695" s="32"/>
      <c r="CY695" s="32"/>
      <c r="DC695" s="32"/>
      <c r="DG695" s="32"/>
    </row>
    <row r="696">
      <c r="CU696" s="32"/>
      <c r="CY696" s="32"/>
      <c r="DC696" s="32"/>
      <c r="DG696" s="32"/>
    </row>
    <row r="697">
      <c r="CU697" s="32"/>
      <c r="CY697" s="32"/>
      <c r="DC697" s="32"/>
      <c r="DG697" s="32"/>
    </row>
    <row r="698">
      <c r="CU698" s="32"/>
      <c r="CY698" s="32"/>
      <c r="DC698" s="32"/>
      <c r="DG698" s="32"/>
    </row>
    <row r="699">
      <c r="CU699" s="32"/>
      <c r="CY699" s="32"/>
      <c r="DC699" s="32"/>
      <c r="DG699" s="32"/>
    </row>
    <row r="700">
      <c r="CU700" s="32"/>
      <c r="CY700" s="32"/>
      <c r="DC700" s="32"/>
      <c r="DG700" s="32"/>
    </row>
    <row r="701">
      <c r="CU701" s="32"/>
      <c r="CY701" s="32"/>
      <c r="DC701" s="32"/>
      <c r="DG701" s="32"/>
    </row>
    <row r="702">
      <c r="CU702" s="32"/>
      <c r="CY702" s="32"/>
      <c r="DC702" s="32"/>
      <c r="DG702" s="32"/>
    </row>
    <row r="703">
      <c r="CU703" s="32"/>
      <c r="CY703" s="32"/>
      <c r="DC703" s="32"/>
      <c r="DG703" s="32"/>
    </row>
    <row r="704">
      <c r="CU704" s="32"/>
      <c r="CY704" s="32"/>
      <c r="DC704" s="32"/>
      <c r="DG704" s="32"/>
    </row>
    <row r="705">
      <c r="CU705" s="32"/>
      <c r="CY705" s="32"/>
      <c r="DC705" s="32"/>
      <c r="DG705" s="32"/>
    </row>
    <row r="706">
      <c r="CU706" s="32"/>
      <c r="CY706" s="32"/>
      <c r="DC706" s="32"/>
      <c r="DG706" s="32"/>
    </row>
    <row r="707">
      <c r="CU707" s="32"/>
      <c r="CY707" s="32"/>
      <c r="DC707" s="32"/>
      <c r="DG707" s="32"/>
    </row>
    <row r="708">
      <c r="CU708" s="32"/>
      <c r="CY708" s="32"/>
      <c r="DC708" s="32"/>
      <c r="DG708" s="32"/>
    </row>
    <row r="709">
      <c r="CU709" s="32"/>
      <c r="CY709" s="32"/>
      <c r="DC709" s="32"/>
      <c r="DG709" s="32"/>
    </row>
    <row r="710">
      <c r="CU710" s="32"/>
      <c r="CY710" s="32"/>
      <c r="DC710" s="32"/>
      <c r="DG710" s="32"/>
    </row>
    <row r="711">
      <c r="CU711" s="32"/>
      <c r="CY711" s="32"/>
      <c r="DC711" s="32"/>
      <c r="DG711" s="32"/>
    </row>
    <row r="712">
      <c r="CU712" s="32"/>
      <c r="CY712" s="32"/>
      <c r="DC712" s="32"/>
      <c r="DG712" s="32"/>
    </row>
    <row r="713">
      <c r="CU713" s="32"/>
      <c r="CY713" s="32"/>
      <c r="DC713" s="32"/>
      <c r="DG713" s="32"/>
    </row>
    <row r="714">
      <c r="CU714" s="32"/>
      <c r="CY714" s="32"/>
      <c r="DC714" s="32"/>
      <c r="DG714" s="32"/>
    </row>
    <row r="715">
      <c r="CU715" s="32"/>
      <c r="CY715" s="32"/>
      <c r="DC715" s="32"/>
      <c r="DG715" s="32"/>
    </row>
    <row r="716">
      <c r="CU716" s="32"/>
      <c r="CY716" s="32"/>
      <c r="DC716" s="32"/>
      <c r="DG716" s="32"/>
    </row>
    <row r="717">
      <c r="CU717" s="32"/>
      <c r="CY717" s="32"/>
      <c r="DC717" s="32"/>
      <c r="DG717" s="32"/>
    </row>
    <row r="718">
      <c r="CU718" s="32"/>
      <c r="CY718" s="32"/>
      <c r="DC718" s="32"/>
      <c r="DG718" s="32"/>
    </row>
    <row r="719">
      <c r="CU719" s="32"/>
      <c r="CY719" s="32"/>
      <c r="DC719" s="32"/>
      <c r="DG719" s="32"/>
    </row>
    <row r="720">
      <c r="CU720" s="32"/>
      <c r="CY720" s="32"/>
      <c r="DC720" s="32"/>
      <c r="DG720" s="32"/>
    </row>
    <row r="721">
      <c r="CU721" s="32"/>
      <c r="CY721" s="32"/>
      <c r="DC721" s="32"/>
      <c r="DG721" s="32"/>
    </row>
    <row r="722">
      <c r="CU722" s="32"/>
      <c r="CY722" s="32"/>
      <c r="DC722" s="32"/>
      <c r="DG722" s="32"/>
    </row>
    <row r="723">
      <c r="CU723" s="32"/>
      <c r="CY723" s="32"/>
      <c r="DC723" s="32"/>
      <c r="DG723" s="32"/>
    </row>
    <row r="724">
      <c r="CU724" s="32"/>
      <c r="CY724" s="32"/>
      <c r="DC724" s="32"/>
      <c r="DG724" s="32"/>
    </row>
    <row r="725">
      <c r="CU725" s="32"/>
      <c r="CY725" s="32"/>
      <c r="DC725" s="32"/>
      <c r="DG725" s="32"/>
    </row>
    <row r="726">
      <c r="CU726" s="32"/>
      <c r="CY726" s="32"/>
      <c r="DC726" s="32"/>
      <c r="DG726" s="32"/>
    </row>
    <row r="727">
      <c r="CU727" s="32"/>
      <c r="CY727" s="32"/>
      <c r="DC727" s="32"/>
      <c r="DG727" s="32"/>
    </row>
    <row r="728">
      <c r="CU728" s="32"/>
      <c r="CY728" s="32"/>
      <c r="DC728" s="32"/>
      <c r="DG728" s="32"/>
    </row>
    <row r="729">
      <c r="CU729" s="32"/>
      <c r="CY729" s="32"/>
      <c r="DC729" s="32"/>
      <c r="DG729" s="32"/>
    </row>
    <row r="730">
      <c r="CU730" s="32"/>
      <c r="CY730" s="32"/>
      <c r="DC730" s="32"/>
      <c r="DG730" s="32"/>
    </row>
    <row r="731">
      <c r="CU731" s="32"/>
      <c r="CY731" s="32"/>
      <c r="DC731" s="32"/>
      <c r="DG731" s="32"/>
    </row>
    <row r="732">
      <c r="CU732" s="32"/>
      <c r="CY732" s="32"/>
      <c r="DC732" s="32"/>
      <c r="DG732" s="32"/>
    </row>
    <row r="733">
      <c r="CU733" s="32"/>
      <c r="CY733" s="32"/>
      <c r="DC733" s="32"/>
      <c r="DG733" s="32"/>
    </row>
    <row r="734">
      <c r="CU734" s="32"/>
      <c r="CY734" s="32"/>
      <c r="DC734" s="32"/>
      <c r="DG734" s="32"/>
    </row>
    <row r="735">
      <c r="CU735" s="32"/>
      <c r="CY735" s="32"/>
      <c r="DC735" s="32"/>
      <c r="DG735" s="32"/>
    </row>
    <row r="736">
      <c r="CU736" s="32"/>
      <c r="CY736" s="32"/>
      <c r="DC736" s="32"/>
      <c r="DG736" s="32"/>
    </row>
    <row r="737">
      <c r="CU737" s="32"/>
      <c r="CY737" s="32"/>
      <c r="DC737" s="32"/>
      <c r="DG737" s="32"/>
    </row>
    <row r="738">
      <c r="CU738" s="32"/>
      <c r="CY738" s="32"/>
      <c r="DC738" s="32"/>
      <c r="DG738" s="32"/>
    </row>
    <row r="739">
      <c r="CU739" s="32"/>
      <c r="CY739" s="32"/>
      <c r="DC739" s="32"/>
      <c r="DG739" s="32"/>
    </row>
    <row r="740">
      <c r="CU740" s="32"/>
      <c r="CY740" s="32"/>
      <c r="DC740" s="32"/>
      <c r="DG740" s="32"/>
    </row>
    <row r="741">
      <c r="CU741" s="32"/>
      <c r="CY741" s="32"/>
      <c r="DC741" s="32"/>
      <c r="DG741" s="32"/>
    </row>
    <row r="742">
      <c r="CU742" s="32"/>
      <c r="CY742" s="32"/>
      <c r="DC742" s="32"/>
      <c r="DG742" s="32"/>
    </row>
    <row r="743">
      <c r="CU743" s="32"/>
      <c r="CY743" s="32"/>
      <c r="DC743" s="32"/>
      <c r="DG743" s="32"/>
    </row>
    <row r="744">
      <c r="CU744" s="32"/>
      <c r="CY744" s="32"/>
      <c r="DC744" s="32"/>
      <c r="DG744" s="32"/>
    </row>
    <row r="745">
      <c r="CU745" s="32"/>
      <c r="CY745" s="32"/>
      <c r="DC745" s="32"/>
      <c r="DG745" s="32"/>
    </row>
    <row r="746">
      <c r="CU746" s="32"/>
      <c r="CY746" s="32"/>
      <c r="DC746" s="32"/>
      <c r="DG746" s="32"/>
    </row>
    <row r="747">
      <c r="CU747" s="32"/>
      <c r="CY747" s="32"/>
      <c r="DC747" s="32"/>
      <c r="DG747" s="32"/>
    </row>
    <row r="748">
      <c r="CU748" s="32"/>
      <c r="CY748" s="32"/>
      <c r="DC748" s="32"/>
      <c r="DG748" s="32"/>
    </row>
    <row r="749">
      <c r="CU749" s="32"/>
      <c r="CY749" s="32"/>
      <c r="DC749" s="32"/>
      <c r="DG749" s="32"/>
    </row>
    <row r="750">
      <c r="CU750" s="32"/>
      <c r="CY750" s="32"/>
      <c r="DC750" s="32"/>
      <c r="DG750" s="32"/>
    </row>
    <row r="751">
      <c r="CU751" s="32"/>
      <c r="CY751" s="32"/>
      <c r="DC751" s="32"/>
      <c r="DG751" s="32"/>
    </row>
    <row r="752">
      <c r="CU752" s="32"/>
      <c r="CY752" s="32"/>
      <c r="DC752" s="32"/>
      <c r="DG752" s="32"/>
    </row>
    <row r="753">
      <c r="CU753" s="32"/>
      <c r="CY753" s="32"/>
      <c r="DC753" s="32"/>
      <c r="DG753" s="32"/>
    </row>
    <row r="754">
      <c r="CU754" s="32"/>
      <c r="CY754" s="32"/>
      <c r="DC754" s="32"/>
      <c r="DG754" s="32"/>
    </row>
    <row r="755">
      <c r="CU755" s="32"/>
      <c r="CY755" s="32"/>
      <c r="DC755" s="32"/>
      <c r="DG755" s="32"/>
    </row>
    <row r="756">
      <c r="CU756" s="32"/>
      <c r="CY756" s="32"/>
      <c r="DC756" s="32"/>
      <c r="DG756" s="32"/>
    </row>
    <row r="757">
      <c r="CU757" s="32"/>
      <c r="CY757" s="32"/>
      <c r="DC757" s="32"/>
      <c r="DG757" s="32"/>
    </row>
    <row r="758">
      <c r="CU758" s="32"/>
      <c r="CY758" s="32"/>
      <c r="DC758" s="32"/>
      <c r="DG758" s="32"/>
    </row>
    <row r="759">
      <c r="CU759" s="32"/>
      <c r="CY759" s="32"/>
      <c r="DC759" s="32"/>
      <c r="DG759" s="32"/>
    </row>
    <row r="760">
      <c r="CU760" s="32"/>
      <c r="CY760" s="32"/>
      <c r="DC760" s="32"/>
      <c r="DG760" s="32"/>
    </row>
    <row r="761">
      <c r="CU761" s="32"/>
      <c r="CY761" s="32"/>
      <c r="DC761" s="32"/>
      <c r="DG761" s="32"/>
    </row>
    <row r="762">
      <c r="CU762" s="32"/>
      <c r="CY762" s="32"/>
      <c r="DC762" s="32"/>
      <c r="DG762" s="32"/>
    </row>
    <row r="763">
      <c r="CU763" s="32"/>
      <c r="CY763" s="32"/>
      <c r="DC763" s="32"/>
      <c r="DG763" s="32"/>
    </row>
    <row r="764">
      <c r="CU764" s="32"/>
      <c r="CY764" s="32"/>
      <c r="DC764" s="32"/>
      <c r="DG764" s="32"/>
    </row>
    <row r="765">
      <c r="CU765" s="32"/>
      <c r="CY765" s="32"/>
      <c r="DC765" s="32"/>
      <c r="DG765" s="32"/>
    </row>
    <row r="766">
      <c r="CU766" s="32"/>
      <c r="CY766" s="32"/>
      <c r="DC766" s="32"/>
      <c r="DG766" s="32"/>
    </row>
    <row r="767">
      <c r="CU767" s="32"/>
      <c r="CY767" s="32"/>
      <c r="DC767" s="32"/>
      <c r="DG767" s="32"/>
    </row>
    <row r="768">
      <c r="CU768" s="32"/>
      <c r="CY768" s="32"/>
      <c r="DC768" s="32"/>
      <c r="DG768" s="32"/>
    </row>
    <row r="769">
      <c r="CU769" s="32"/>
      <c r="CY769" s="32"/>
      <c r="DC769" s="32"/>
      <c r="DG769" s="32"/>
    </row>
    <row r="770">
      <c r="CU770" s="32"/>
      <c r="CY770" s="32"/>
      <c r="DC770" s="32"/>
      <c r="DG770" s="32"/>
    </row>
    <row r="771">
      <c r="CU771" s="32"/>
      <c r="CY771" s="32"/>
      <c r="DC771" s="32"/>
      <c r="DG771" s="32"/>
    </row>
    <row r="772">
      <c r="CU772" s="32"/>
      <c r="CY772" s="32"/>
      <c r="DC772" s="32"/>
      <c r="DG772" s="32"/>
    </row>
    <row r="773">
      <c r="CU773" s="32"/>
      <c r="CY773" s="32"/>
      <c r="DC773" s="32"/>
      <c r="DG773" s="32"/>
    </row>
    <row r="774">
      <c r="CU774" s="32"/>
      <c r="CY774" s="32"/>
      <c r="DC774" s="32"/>
      <c r="DG774" s="32"/>
    </row>
    <row r="775">
      <c r="CU775" s="32"/>
      <c r="CY775" s="32"/>
      <c r="DC775" s="32"/>
      <c r="DG775" s="32"/>
    </row>
    <row r="776">
      <c r="CU776" s="32"/>
      <c r="CY776" s="32"/>
      <c r="DC776" s="32"/>
      <c r="DG776" s="32"/>
    </row>
    <row r="777">
      <c r="CU777" s="32"/>
      <c r="CY777" s="32"/>
      <c r="DC777" s="32"/>
      <c r="DG777" s="32"/>
    </row>
    <row r="778">
      <c r="CU778" s="32"/>
      <c r="CY778" s="32"/>
      <c r="DC778" s="32"/>
      <c r="DG778" s="32"/>
    </row>
    <row r="779">
      <c r="CU779" s="32"/>
      <c r="CY779" s="32"/>
      <c r="DC779" s="32"/>
      <c r="DG779" s="32"/>
    </row>
    <row r="780">
      <c r="CU780" s="32"/>
      <c r="CY780" s="32"/>
      <c r="DC780" s="32"/>
      <c r="DG780" s="32"/>
    </row>
    <row r="781">
      <c r="CU781" s="32"/>
      <c r="CY781" s="32"/>
      <c r="DC781" s="32"/>
      <c r="DG781" s="32"/>
    </row>
    <row r="782">
      <c r="CU782" s="32"/>
      <c r="CY782" s="32"/>
      <c r="DC782" s="32"/>
      <c r="DG782" s="32"/>
    </row>
    <row r="783">
      <c r="CU783" s="32"/>
      <c r="CY783" s="32"/>
      <c r="DC783" s="32"/>
      <c r="DG783" s="32"/>
    </row>
    <row r="784">
      <c r="CU784" s="32"/>
      <c r="CY784" s="32"/>
      <c r="DC784" s="32"/>
      <c r="DG784" s="32"/>
    </row>
    <row r="785">
      <c r="CU785" s="32"/>
      <c r="CY785" s="32"/>
      <c r="DC785" s="32"/>
      <c r="DG785" s="32"/>
    </row>
    <row r="786">
      <c r="CU786" s="32"/>
      <c r="CY786" s="32"/>
      <c r="DC786" s="32"/>
      <c r="DG786" s="32"/>
    </row>
    <row r="787">
      <c r="CU787" s="32"/>
      <c r="CY787" s="32"/>
      <c r="DC787" s="32"/>
      <c r="DG787" s="32"/>
    </row>
    <row r="788">
      <c r="CU788" s="32"/>
      <c r="CY788" s="32"/>
      <c r="DC788" s="32"/>
      <c r="DG788" s="32"/>
    </row>
    <row r="789">
      <c r="CU789" s="32"/>
      <c r="CY789" s="32"/>
      <c r="DC789" s="32"/>
      <c r="DG789" s="32"/>
    </row>
    <row r="790">
      <c r="CU790" s="32"/>
      <c r="CY790" s="32"/>
      <c r="DC790" s="32"/>
      <c r="DG790" s="32"/>
    </row>
    <row r="791">
      <c r="CU791" s="32"/>
      <c r="CY791" s="32"/>
      <c r="DC791" s="32"/>
      <c r="DG791" s="32"/>
    </row>
    <row r="792">
      <c r="CU792" s="32"/>
      <c r="CY792" s="32"/>
      <c r="DC792" s="32"/>
      <c r="DG792" s="32"/>
    </row>
    <row r="793">
      <c r="CU793" s="32"/>
      <c r="CY793" s="32"/>
      <c r="DC793" s="32"/>
      <c r="DG793" s="32"/>
    </row>
    <row r="794">
      <c r="CU794" s="32"/>
      <c r="CY794" s="32"/>
      <c r="DC794" s="32"/>
      <c r="DG794" s="32"/>
    </row>
    <row r="795">
      <c r="CU795" s="32"/>
      <c r="CY795" s="32"/>
      <c r="DC795" s="32"/>
      <c r="DG795" s="32"/>
    </row>
    <row r="796">
      <c r="CU796" s="32"/>
      <c r="CY796" s="32"/>
      <c r="DC796" s="32"/>
      <c r="DG796" s="32"/>
    </row>
    <row r="797">
      <c r="CU797" s="32"/>
      <c r="CY797" s="32"/>
      <c r="DC797" s="32"/>
      <c r="DG797" s="32"/>
    </row>
    <row r="798">
      <c r="CU798" s="32"/>
      <c r="CY798" s="32"/>
      <c r="DC798" s="32"/>
      <c r="DG798" s="32"/>
    </row>
    <row r="799">
      <c r="CU799" s="32"/>
      <c r="CY799" s="32"/>
      <c r="DC799" s="32"/>
      <c r="DG799" s="32"/>
    </row>
    <row r="800">
      <c r="CU800" s="32"/>
      <c r="CY800" s="32"/>
      <c r="DC800" s="32"/>
      <c r="DG800" s="32"/>
    </row>
    <row r="801">
      <c r="CU801" s="32"/>
      <c r="CY801" s="32"/>
      <c r="DC801" s="32"/>
      <c r="DG801" s="32"/>
    </row>
    <row r="802">
      <c r="CU802" s="32"/>
      <c r="CY802" s="32"/>
      <c r="DC802" s="32"/>
      <c r="DG802" s="32"/>
    </row>
    <row r="803">
      <c r="CU803" s="32"/>
      <c r="CY803" s="32"/>
      <c r="DC803" s="32"/>
      <c r="DG803" s="32"/>
    </row>
    <row r="804">
      <c r="CU804" s="32"/>
      <c r="CY804" s="32"/>
      <c r="DC804" s="32"/>
      <c r="DG804" s="32"/>
    </row>
    <row r="805">
      <c r="CU805" s="32"/>
      <c r="CY805" s="32"/>
      <c r="DC805" s="32"/>
      <c r="DG805" s="32"/>
    </row>
    <row r="806">
      <c r="CU806" s="32"/>
      <c r="CY806" s="32"/>
      <c r="DC806" s="32"/>
      <c r="DG806" s="32"/>
    </row>
    <row r="807">
      <c r="CU807" s="32"/>
      <c r="CY807" s="32"/>
      <c r="DC807" s="32"/>
      <c r="DG807" s="32"/>
    </row>
    <row r="808">
      <c r="CU808" s="32"/>
      <c r="CY808" s="32"/>
      <c r="DC808" s="32"/>
      <c r="DG808" s="32"/>
    </row>
    <row r="809">
      <c r="CU809" s="32"/>
      <c r="CY809" s="32"/>
      <c r="DC809" s="32"/>
      <c r="DG809" s="32"/>
    </row>
    <row r="810">
      <c r="CU810" s="32"/>
      <c r="CY810" s="32"/>
      <c r="DC810" s="32"/>
      <c r="DG810" s="32"/>
    </row>
    <row r="811">
      <c r="CU811" s="32"/>
      <c r="CY811" s="32"/>
      <c r="DC811" s="32"/>
      <c r="DG811" s="32"/>
    </row>
    <row r="812">
      <c r="CU812" s="32"/>
      <c r="CY812" s="32"/>
      <c r="DC812" s="32"/>
      <c r="DG812" s="32"/>
    </row>
    <row r="813">
      <c r="CU813" s="32"/>
      <c r="CY813" s="32"/>
      <c r="DC813" s="32"/>
      <c r="DG813" s="32"/>
    </row>
    <row r="814">
      <c r="CU814" s="32"/>
      <c r="CY814" s="32"/>
      <c r="DC814" s="32"/>
      <c r="DG814" s="32"/>
    </row>
    <row r="815">
      <c r="CU815" s="32"/>
      <c r="CY815" s="32"/>
      <c r="DC815" s="32"/>
      <c r="DG815" s="32"/>
    </row>
    <row r="816">
      <c r="CU816" s="32"/>
      <c r="CY816" s="32"/>
      <c r="DC816" s="32"/>
      <c r="DG816" s="32"/>
    </row>
    <row r="817">
      <c r="CU817" s="32"/>
      <c r="CY817" s="32"/>
      <c r="DC817" s="32"/>
      <c r="DG817" s="32"/>
    </row>
    <row r="818">
      <c r="CU818" s="32"/>
      <c r="CY818" s="32"/>
      <c r="DC818" s="32"/>
      <c r="DG818" s="32"/>
    </row>
    <row r="819">
      <c r="CU819" s="32"/>
      <c r="CY819" s="32"/>
      <c r="DC819" s="32"/>
      <c r="DG819" s="32"/>
    </row>
    <row r="820">
      <c r="CU820" s="32"/>
      <c r="CY820" s="32"/>
      <c r="DC820" s="32"/>
      <c r="DG820" s="32"/>
    </row>
    <row r="821">
      <c r="CU821" s="32"/>
      <c r="CY821" s="32"/>
      <c r="DC821" s="32"/>
      <c r="DG821" s="32"/>
    </row>
    <row r="822">
      <c r="CU822" s="32"/>
      <c r="CY822" s="32"/>
      <c r="DC822" s="32"/>
      <c r="DG822" s="32"/>
    </row>
    <row r="823">
      <c r="CU823" s="32"/>
      <c r="CY823" s="32"/>
      <c r="DC823" s="32"/>
      <c r="DG823" s="32"/>
    </row>
    <row r="824">
      <c r="CU824" s="32"/>
      <c r="CY824" s="32"/>
      <c r="DC824" s="32"/>
      <c r="DG824" s="32"/>
    </row>
    <row r="825">
      <c r="CU825" s="32"/>
      <c r="CY825" s="32"/>
      <c r="DC825" s="32"/>
      <c r="DG825" s="32"/>
    </row>
    <row r="826">
      <c r="CU826" s="32"/>
      <c r="CY826" s="32"/>
      <c r="DC826" s="32"/>
      <c r="DG826" s="32"/>
    </row>
    <row r="827">
      <c r="CU827" s="32"/>
      <c r="CY827" s="32"/>
      <c r="DC827" s="32"/>
      <c r="DG827" s="32"/>
    </row>
    <row r="828">
      <c r="CU828" s="32"/>
      <c r="CY828" s="32"/>
      <c r="DC828" s="32"/>
      <c r="DG828" s="32"/>
    </row>
    <row r="829">
      <c r="CU829" s="32"/>
      <c r="CY829" s="32"/>
      <c r="DC829" s="32"/>
      <c r="DG829" s="32"/>
    </row>
    <row r="830">
      <c r="CU830" s="32"/>
      <c r="CY830" s="32"/>
      <c r="DC830" s="32"/>
      <c r="DG830" s="32"/>
    </row>
    <row r="831">
      <c r="CU831" s="32"/>
      <c r="CY831" s="32"/>
      <c r="DC831" s="32"/>
      <c r="DG831" s="32"/>
    </row>
    <row r="832">
      <c r="CU832" s="32"/>
      <c r="CY832" s="32"/>
      <c r="DC832" s="32"/>
      <c r="DG832" s="32"/>
    </row>
    <row r="833">
      <c r="CU833" s="32"/>
      <c r="CY833" s="32"/>
      <c r="DC833" s="32"/>
      <c r="DG833" s="32"/>
    </row>
    <row r="834">
      <c r="CU834" s="32"/>
      <c r="CY834" s="32"/>
      <c r="DC834" s="32"/>
      <c r="DG834" s="32"/>
    </row>
    <row r="835">
      <c r="CU835" s="32"/>
      <c r="CY835" s="32"/>
      <c r="DC835" s="32"/>
      <c r="DG835" s="32"/>
    </row>
    <row r="836">
      <c r="CU836" s="32"/>
      <c r="CY836" s="32"/>
      <c r="DC836" s="32"/>
      <c r="DG836" s="32"/>
    </row>
    <row r="837">
      <c r="CU837" s="32"/>
      <c r="CY837" s="32"/>
      <c r="DC837" s="32"/>
      <c r="DG837" s="32"/>
    </row>
    <row r="838">
      <c r="CU838" s="32"/>
      <c r="CY838" s="32"/>
      <c r="DC838" s="32"/>
      <c r="DG838" s="32"/>
    </row>
    <row r="839">
      <c r="CU839" s="32"/>
      <c r="CY839" s="32"/>
      <c r="DC839" s="32"/>
      <c r="DG839" s="32"/>
    </row>
    <row r="840">
      <c r="CU840" s="32"/>
      <c r="CY840" s="32"/>
      <c r="DC840" s="32"/>
      <c r="DG840" s="32"/>
    </row>
    <row r="841">
      <c r="CU841" s="32"/>
      <c r="CY841" s="32"/>
      <c r="DC841" s="32"/>
      <c r="DG841" s="32"/>
    </row>
    <row r="842">
      <c r="CU842" s="32"/>
      <c r="CY842" s="32"/>
      <c r="DC842" s="32"/>
      <c r="DG842" s="32"/>
    </row>
    <row r="843">
      <c r="CU843" s="32"/>
      <c r="CY843" s="32"/>
      <c r="DC843" s="32"/>
      <c r="DG843" s="32"/>
    </row>
    <row r="844">
      <c r="CU844" s="32"/>
      <c r="CY844" s="32"/>
      <c r="DC844" s="32"/>
      <c r="DG844" s="32"/>
    </row>
    <row r="845">
      <c r="CU845" s="32"/>
      <c r="CY845" s="32"/>
      <c r="DC845" s="32"/>
      <c r="DG845" s="32"/>
    </row>
    <row r="846">
      <c r="CU846" s="32"/>
      <c r="CY846" s="32"/>
      <c r="DC846" s="32"/>
      <c r="DG846" s="32"/>
    </row>
    <row r="847">
      <c r="CU847" s="32"/>
      <c r="CY847" s="32"/>
      <c r="DC847" s="32"/>
      <c r="DG847" s="32"/>
    </row>
    <row r="848">
      <c r="CU848" s="32"/>
      <c r="CY848" s="32"/>
      <c r="DC848" s="32"/>
      <c r="DG848" s="32"/>
    </row>
    <row r="849">
      <c r="CU849" s="32"/>
      <c r="CY849" s="32"/>
      <c r="DC849" s="32"/>
      <c r="DG849" s="32"/>
    </row>
    <row r="850">
      <c r="CU850" s="32"/>
      <c r="CY850" s="32"/>
      <c r="DC850" s="32"/>
      <c r="DG850" s="32"/>
    </row>
    <row r="851">
      <c r="CU851" s="32"/>
      <c r="CY851" s="32"/>
      <c r="DC851" s="32"/>
      <c r="DG851" s="32"/>
    </row>
    <row r="852">
      <c r="CU852" s="32"/>
      <c r="CY852" s="32"/>
      <c r="DC852" s="32"/>
      <c r="DG852" s="32"/>
    </row>
    <row r="853">
      <c r="CU853" s="32"/>
      <c r="CY853" s="32"/>
      <c r="DC853" s="32"/>
      <c r="DG853" s="32"/>
    </row>
    <row r="854">
      <c r="CU854" s="32"/>
      <c r="CY854" s="32"/>
      <c r="DC854" s="32"/>
      <c r="DG854" s="32"/>
    </row>
    <row r="855">
      <c r="CU855" s="32"/>
      <c r="CY855" s="32"/>
      <c r="DC855" s="32"/>
      <c r="DG855" s="32"/>
    </row>
    <row r="856">
      <c r="CU856" s="32"/>
      <c r="CY856" s="32"/>
      <c r="DC856" s="32"/>
      <c r="DG856" s="32"/>
    </row>
    <row r="857">
      <c r="CU857" s="32"/>
      <c r="CY857" s="32"/>
      <c r="DC857" s="32"/>
      <c r="DG857" s="32"/>
    </row>
    <row r="858">
      <c r="CU858" s="32"/>
      <c r="CY858" s="32"/>
      <c r="DC858" s="32"/>
      <c r="DG858" s="32"/>
    </row>
    <row r="859">
      <c r="CU859" s="32"/>
      <c r="CY859" s="32"/>
      <c r="DC859" s="32"/>
      <c r="DG859" s="32"/>
    </row>
    <row r="860">
      <c r="CU860" s="32"/>
      <c r="CY860" s="32"/>
      <c r="DC860" s="32"/>
      <c r="DG860" s="32"/>
    </row>
    <row r="861">
      <c r="CU861" s="32"/>
      <c r="CY861" s="32"/>
      <c r="DC861" s="32"/>
      <c r="DG861" s="32"/>
    </row>
    <row r="862">
      <c r="CU862" s="32"/>
      <c r="CY862" s="32"/>
      <c r="DC862" s="32"/>
      <c r="DG862" s="32"/>
    </row>
    <row r="863">
      <c r="CU863" s="32"/>
      <c r="CY863" s="32"/>
      <c r="DC863" s="32"/>
      <c r="DG863" s="32"/>
    </row>
    <row r="864">
      <c r="CU864" s="32"/>
      <c r="CY864" s="32"/>
      <c r="DC864" s="32"/>
      <c r="DG864" s="32"/>
    </row>
    <row r="865">
      <c r="CU865" s="32"/>
      <c r="CY865" s="32"/>
      <c r="DC865" s="32"/>
      <c r="DG865" s="32"/>
    </row>
    <row r="866">
      <c r="CU866" s="32"/>
      <c r="CY866" s="32"/>
      <c r="DC866" s="32"/>
      <c r="DG866" s="32"/>
    </row>
    <row r="867">
      <c r="CU867" s="32"/>
      <c r="CY867" s="32"/>
      <c r="DC867" s="32"/>
      <c r="DG867" s="32"/>
    </row>
    <row r="868">
      <c r="CU868" s="32"/>
      <c r="CY868" s="32"/>
      <c r="DC868" s="32"/>
      <c r="DG868" s="32"/>
    </row>
    <row r="869">
      <c r="CU869" s="32"/>
      <c r="CY869" s="32"/>
      <c r="DC869" s="32"/>
      <c r="DG869" s="32"/>
    </row>
    <row r="870">
      <c r="CU870" s="32"/>
      <c r="CY870" s="32"/>
      <c r="DC870" s="32"/>
      <c r="DG870" s="32"/>
    </row>
    <row r="871">
      <c r="CU871" s="32"/>
      <c r="CY871" s="32"/>
      <c r="DC871" s="32"/>
      <c r="DG871" s="32"/>
    </row>
    <row r="872">
      <c r="CU872" s="32"/>
      <c r="CY872" s="32"/>
      <c r="DC872" s="32"/>
      <c r="DG872" s="32"/>
    </row>
    <row r="873">
      <c r="CU873" s="32"/>
      <c r="CY873" s="32"/>
      <c r="DC873" s="32"/>
      <c r="DG873" s="32"/>
    </row>
    <row r="874">
      <c r="CU874" s="32"/>
      <c r="CY874" s="32"/>
      <c r="DC874" s="32"/>
      <c r="DG874" s="32"/>
    </row>
    <row r="875">
      <c r="CU875" s="32"/>
      <c r="CY875" s="32"/>
      <c r="DC875" s="32"/>
      <c r="DG875" s="32"/>
    </row>
    <row r="876">
      <c r="CU876" s="32"/>
      <c r="CY876" s="32"/>
      <c r="DC876" s="32"/>
      <c r="DG876" s="32"/>
    </row>
    <row r="877">
      <c r="CU877" s="32"/>
      <c r="CY877" s="32"/>
      <c r="DC877" s="32"/>
      <c r="DG877" s="32"/>
    </row>
    <row r="878">
      <c r="CU878" s="32"/>
      <c r="CY878" s="32"/>
      <c r="DC878" s="32"/>
      <c r="DG878" s="32"/>
    </row>
    <row r="879">
      <c r="CU879" s="32"/>
      <c r="CY879" s="32"/>
      <c r="DC879" s="32"/>
      <c r="DG879" s="32"/>
    </row>
    <row r="880">
      <c r="CU880" s="32"/>
      <c r="CY880" s="32"/>
      <c r="DC880" s="32"/>
      <c r="DG880" s="32"/>
    </row>
    <row r="881">
      <c r="CU881" s="32"/>
      <c r="CY881" s="32"/>
      <c r="DC881" s="32"/>
      <c r="DG881" s="32"/>
    </row>
    <row r="882">
      <c r="CU882" s="32"/>
      <c r="CY882" s="32"/>
      <c r="DC882" s="32"/>
      <c r="DG882" s="32"/>
    </row>
    <row r="883">
      <c r="CU883" s="32"/>
      <c r="CY883" s="32"/>
      <c r="DC883" s="32"/>
      <c r="DG883" s="32"/>
    </row>
    <row r="884">
      <c r="CU884" s="32"/>
      <c r="CY884" s="32"/>
      <c r="DC884" s="32"/>
      <c r="DG884" s="32"/>
    </row>
    <row r="885">
      <c r="CU885" s="32"/>
      <c r="CY885" s="32"/>
      <c r="DC885" s="32"/>
      <c r="DG885" s="32"/>
    </row>
    <row r="886">
      <c r="CU886" s="32"/>
      <c r="CY886" s="32"/>
      <c r="DC886" s="32"/>
      <c r="DG886" s="32"/>
    </row>
    <row r="887">
      <c r="CU887" s="32"/>
      <c r="CY887" s="32"/>
      <c r="DC887" s="32"/>
      <c r="DG887" s="32"/>
    </row>
    <row r="888">
      <c r="CU888" s="32"/>
      <c r="CY888" s="32"/>
      <c r="DC888" s="32"/>
      <c r="DG888" s="32"/>
    </row>
    <row r="889">
      <c r="CU889" s="32"/>
      <c r="CY889" s="32"/>
      <c r="DC889" s="32"/>
      <c r="DG889" s="32"/>
    </row>
    <row r="890">
      <c r="CU890" s="32"/>
      <c r="CY890" s="32"/>
      <c r="DC890" s="32"/>
      <c r="DG890" s="32"/>
    </row>
    <row r="891">
      <c r="CU891" s="32"/>
      <c r="CY891" s="32"/>
      <c r="DC891" s="32"/>
      <c r="DG891" s="32"/>
    </row>
    <row r="892">
      <c r="CU892" s="32"/>
      <c r="CY892" s="32"/>
      <c r="DC892" s="32"/>
      <c r="DG892" s="32"/>
    </row>
    <row r="893">
      <c r="CU893" s="32"/>
      <c r="CY893" s="32"/>
      <c r="DC893" s="32"/>
      <c r="DG893" s="32"/>
    </row>
    <row r="894">
      <c r="CU894" s="32"/>
      <c r="CY894" s="32"/>
      <c r="DC894" s="32"/>
      <c r="DG894" s="32"/>
    </row>
    <row r="895">
      <c r="CU895" s="32"/>
      <c r="CY895" s="32"/>
      <c r="DC895" s="32"/>
      <c r="DG895" s="32"/>
    </row>
    <row r="896">
      <c r="CU896" s="32"/>
      <c r="CY896" s="32"/>
      <c r="DC896" s="32"/>
      <c r="DG896" s="32"/>
    </row>
    <row r="897">
      <c r="CU897" s="32"/>
      <c r="CY897" s="32"/>
      <c r="DC897" s="32"/>
      <c r="DG897" s="32"/>
    </row>
    <row r="898">
      <c r="CU898" s="32"/>
      <c r="CY898" s="32"/>
      <c r="DC898" s="32"/>
      <c r="DG898" s="32"/>
    </row>
    <row r="899">
      <c r="CU899" s="32"/>
      <c r="CY899" s="32"/>
      <c r="DC899" s="32"/>
      <c r="DG899" s="32"/>
    </row>
    <row r="900">
      <c r="CU900" s="32"/>
      <c r="CY900" s="32"/>
      <c r="DC900" s="32"/>
      <c r="DG900" s="32"/>
    </row>
    <row r="901">
      <c r="CU901" s="32"/>
      <c r="CY901" s="32"/>
      <c r="DC901" s="32"/>
      <c r="DG901" s="32"/>
    </row>
    <row r="902">
      <c r="CU902" s="32"/>
      <c r="CY902" s="32"/>
      <c r="DC902" s="32"/>
      <c r="DG902" s="32"/>
    </row>
    <row r="903">
      <c r="CU903" s="32"/>
      <c r="CY903" s="32"/>
      <c r="DC903" s="32"/>
      <c r="DG903" s="32"/>
    </row>
    <row r="904">
      <c r="CU904" s="32"/>
      <c r="CY904" s="32"/>
      <c r="DC904" s="32"/>
      <c r="DG904" s="32"/>
    </row>
    <row r="905">
      <c r="CU905" s="32"/>
      <c r="CY905" s="32"/>
      <c r="DC905" s="32"/>
      <c r="DG905" s="32"/>
    </row>
    <row r="906">
      <c r="CU906" s="32"/>
      <c r="CY906" s="32"/>
      <c r="DC906" s="32"/>
      <c r="DG906" s="32"/>
    </row>
    <row r="907">
      <c r="CU907" s="32"/>
      <c r="CY907" s="32"/>
      <c r="DC907" s="32"/>
      <c r="DG907" s="32"/>
    </row>
    <row r="908">
      <c r="CU908" s="32"/>
      <c r="CY908" s="32"/>
      <c r="DC908" s="32"/>
      <c r="DG908" s="32"/>
    </row>
    <row r="909">
      <c r="CU909" s="32"/>
      <c r="CY909" s="32"/>
      <c r="DC909" s="32"/>
      <c r="DG909" s="32"/>
    </row>
    <row r="910">
      <c r="CU910" s="32"/>
      <c r="CY910" s="32"/>
      <c r="DC910" s="32"/>
      <c r="DG910" s="32"/>
    </row>
    <row r="911">
      <c r="CU911" s="32"/>
      <c r="CY911" s="32"/>
      <c r="DC911" s="32"/>
      <c r="DG911" s="32"/>
    </row>
    <row r="912">
      <c r="CU912" s="32"/>
      <c r="CY912" s="32"/>
      <c r="DC912" s="32"/>
      <c r="DG912" s="32"/>
    </row>
    <row r="913">
      <c r="CU913" s="32"/>
      <c r="CY913" s="32"/>
      <c r="DC913" s="32"/>
      <c r="DG913" s="32"/>
    </row>
    <row r="914">
      <c r="CU914" s="32"/>
      <c r="CY914" s="32"/>
      <c r="DC914" s="32"/>
      <c r="DG914" s="32"/>
    </row>
    <row r="915">
      <c r="CU915" s="32"/>
      <c r="CY915" s="32"/>
      <c r="DC915" s="32"/>
      <c r="DG915" s="32"/>
    </row>
    <row r="916">
      <c r="CU916" s="32"/>
      <c r="CY916" s="32"/>
      <c r="DC916" s="32"/>
      <c r="DG916" s="32"/>
    </row>
    <row r="917">
      <c r="CU917" s="32"/>
      <c r="CY917" s="32"/>
      <c r="DC917" s="32"/>
      <c r="DG917" s="32"/>
    </row>
    <row r="918">
      <c r="CU918" s="32"/>
      <c r="CY918" s="32"/>
      <c r="DC918" s="32"/>
      <c r="DG918" s="32"/>
    </row>
    <row r="919">
      <c r="CU919" s="32"/>
      <c r="CY919" s="32"/>
      <c r="DC919" s="32"/>
      <c r="DG919" s="32"/>
    </row>
    <row r="920">
      <c r="CU920" s="32"/>
      <c r="CY920" s="32"/>
      <c r="DC920" s="32"/>
      <c r="DG920" s="32"/>
    </row>
    <row r="921">
      <c r="CU921" s="32"/>
      <c r="CY921" s="32"/>
      <c r="DC921" s="32"/>
      <c r="DG921" s="32"/>
    </row>
    <row r="922">
      <c r="CU922" s="32"/>
      <c r="CY922" s="32"/>
      <c r="DC922" s="32"/>
      <c r="DG922" s="32"/>
    </row>
    <row r="923">
      <c r="CU923" s="32"/>
      <c r="CY923" s="32"/>
      <c r="DC923" s="32"/>
      <c r="DG923" s="32"/>
    </row>
    <row r="924">
      <c r="CU924" s="32"/>
      <c r="CY924" s="32"/>
      <c r="DC924" s="32"/>
      <c r="DG924" s="32"/>
    </row>
    <row r="925">
      <c r="CU925" s="32"/>
      <c r="CY925" s="32"/>
      <c r="DC925" s="32"/>
      <c r="DG925" s="32"/>
    </row>
    <row r="926">
      <c r="CU926" s="32"/>
      <c r="CY926" s="32"/>
      <c r="DC926" s="32"/>
      <c r="DG926" s="32"/>
    </row>
    <row r="927">
      <c r="CU927" s="32"/>
      <c r="CY927" s="32"/>
      <c r="DC927" s="32"/>
      <c r="DG927" s="32"/>
    </row>
    <row r="928">
      <c r="CU928" s="32"/>
      <c r="CY928" s="32"/>
      <c r="DC928" s="32"/>
      <c r="DG928" s="32"/>
    </row>
    <row r="929">
      <c r="CU929" s="32"/>
      <c r="CY929" s="32"/>
      <c r="DC929" s="32"/>
      <c r="DG929" s="32"/>
    </row>
    <row r="930">
      <c r="CU930" s="32"/>
      <c r="CY930" s="32"/>
      <c r="DC930" s="32"/>
      <c r="DG930" s="32"/>
    </row>
    <row r="931">
      <c r="CU931" s="32"/>
      <c r="CY931" s="32"/>
      <c r="DC931" s="32"/>
      <c r="DG931" s="32"/>
    </row>
    <row r="932">
      <c r="CU932" s="32"/>
      <c r="CY932" s="32"/>
      <c r="DC932" s="32"/>
      <c r="DG932" s="32"/>
    </row>
    <row r="933">
      <c r="CU933" s="32"/>
      <c r="CY933" s="32"/>
      <c r="DC933" s="32"/>
      <c r="DG933" s="32"/>
    </row>
    <row r="934">
      <c r="CU934" s="32"/>
      <c r="CY934" s="32"/>
      <c r="DC934" s="32"/>
      <c r="DG934" s="32"/>
    </row>
    <row r="935">
      <c r="CU935" s="32"/>
      <c r="CY935" s="32"/>
      <c r="DC935" s="32"/>
      <c r="DG935" s="32"/>
    </row>
    <row r="936">
      <c r="CU936" s="32"/>
      <c r="CY936" s="32"/>
      <c r="DC936" s="32"/>
      <c r="DG936" s="32"/>
    </row>
    <row r="937">
      <c r="CU937" s="32"/>
      <c r="CY937" s="32"/>
      <c r="DC937" s="32"/>
      <c r="DG937" s="32"/>
    </row>
    <row r="938">
      <c r="CU938" s="32"/>
      <c r="CY938" s="32"/>
      <c r="DC938" s="32"/>
      <c r="DG938" s="32"/>
    </row>
    <row r="939">
      <c r="CU939" s="32"/>
      <c r="CY939" s="32"/>
      <c r="DC939" s="32"/>
      <c r="DG939" s="32"/>
    </row>
    <row r="940">
      <c r="CU940" s="32"/>
      <c r="CY940" s="32"/>
      <c r="DC940" s="32"/>
      <c r="DG940" s="32"/>
    </row>
    <row r="941">
      <c r="CU941" s="32"/>
      <c r="CY941" s="32"/>
      <c r="DC941" s="32"/>
      <c r="DG941" s="32"/>
    </row>
    <row r="942">
      <c r="CU942" s="32"/>
      <c r="CY942" s="32"/>
      <c r="DC942" s="32"/>
      <c r="DG942" s="32"/>
    </row>
    <row r="943">
      <c r="CU943" s="32"/>
      <c r="CY943" s="32"/>
      <c r="DC943" s="32"/>
      <c r="DG943" s="32"/>
    </row>
    <row r="944">
      <c r="CU944" s="32"/>
      <c r="CY944" s="32"/>
      <c r="DC944" s="32"/>
      <c r="DG944" s="32"/>
    </row>
    <row r="945">
      <c r="CU945" s="32"/>
      <c r="CY945" s="32"/>
      <c r="DC945" s="32"/>
      <c r="DG945" s="32"/>
    </row>
    <row r="946">
      <c r="CU946" s="32"/>
      <c r="CY946" s="32"/>
      <c r="DC946" s="32"/>
      <c r="DG946" s="32"/>
    </row>
    <row r="947">
      <c r="CU947" s="32"/>
      <c r="CY947" s="32"/>
      <c r="DC947" s="32"/>
      <c r="DG947" s="32"/>
    </row>
    <row r="948">
      <c r="CU948" s="32"/>
      <c r="CY948" s="32"/>
      <c r="DC948" s="32"/>
      <c r="DG948" s="32"/>
    </row>
    <row r="949">
      <c r="CU949" s="32"/>
      <c r="CY949" s="32"/>
      <c r="DC949" s="32"/>
      <c r="DG949" s="32"/>
    </row>
    <row r="950">
      <c r="CU950" s="32"/>
      <c r="CY950" s="32"/>
      <c r="DC950" s="32"/>
      <c r="DG950" s="32"/>
    </row>
    <row r="951">
      <c r="CU951" s="32"/>
      <c r="CY951" s="32"/>
      <c r="DC951" s="32"/>
      <c r="DG951" s="32"/>
    </row>
    <row r="952">
      <c r="CU952" s="32"/>
      <c r="CY952" s="32"/>
      <c r="DC952" s="32"/>
      <c r="DG952" s="32"/>
    </row>
    <row r="953">
      <c r="CU953" s="32"/>
      <c r="CY953" s="32"/>
      <c r="DC953" s="32"/>
      <c r="DG953" s="32"/>
    </row>
    <row r="954">
      <c r="CU954" s="32"/>
      <c r="CY954" s="32"/>
      <c r="DC954" s="32"/>
      <c r="DG954" s="32"/>
    </row>
    <row r="955">
      <c r="CU955" s="32"/>
      <c r="CY955" s="32"/>
      <c r="DC955" s="32"/>
      <c r="DG955" s="32"/>
    </row>
    <row r="956">
      <c r="CU956" s="32"/>
      <c r="CY956" s="32"/>
      <c r="DC956" s="32"/>
      <c r="DG956" s="32"/>
    </row>
    <row r="957">
      <c r="CU957" s="32"/>
      <c r="CY957" s="32"/>
      <c r="DC957" s="32"/>
      <c r="DG957" s="32"/>
    </row>
    <row r="958">
      <c r="CU958" s="32"/>
      <c r="CY958" s="32"/>
      <c r="DC958" s="32"/>
      <c r="DG958" s="32"/>
    </row>
    <row r="959">
      <c r="CU959" s="32"/>
      <c r="CY959" s="32"/>
      <c r="DC959" s="32"/>
      <c r="DG959" s="32"/>
    </row>
    <row r="960">
      <c r="CU960" s="32"/>
      <c r="CY960" s="32"/>
      <c r="DC960" s="32"/>
      <c r="DG960" s="32"/>
    </row>
    <row r="961">
      <c r="CU961" s="32"/>
      <c r="CY961" s="32"/>
      <c r="DC961" s="32"/>
      <c r="DG961" s="32"/>
    </row>
    <row r="962">
      <c r="CU962" s="32"/>
      <c r="CY962" s="32"/>
      <c r="DC962" s="32"/>
      <c r="DG962" s="32"/>
    </row>
    <row r="963">
      <c r="CU963" s="32"/>
      <c r="CY963" s="32"/>
      <c r="DC963" s="32"/>
      <c r="DG963" s="32"/>
    </row>
    <row r="964">
      <c r="CU964" s="32"/>
      <c r="CY964" s="32"/>
      <c r="DC964" s="32"/>
      <c r="DG964" s="32"/>
    </row>
    <row r="965">
      <c r="CU965" s="32"/>
      <c r="CY965" s="32"/>
      <c r="DC965" s="32"/>
      <c r="DG965" s="32"/>
    </row>
    <row r="966">
      <c r="CU966" s="32"/>
      <c r="CY966" s="32"/>
      <c r="DC966" s="32"/>
      <c r="DG966" s="32"/>
    </row>
    <row r="967">
      <c r="CU967" s="32"/>
      <c r="CY967" s="32"/>
      <c r="DC967" s="32"/>
      <c r="DG967" s="32"/>
    </row>
    <row r="968">
      <c r="CU968" s="32"/>
      <c r="CY968" s="32"/>
      <c r="DC968" s="32"/>
      <c r="DG968" s="32"/>
    </row>
    <row r="969">
      <c r="CU969" s="32"/>
      <c r="CY969" s="32"/>
      <c r="DC969" s="32"/>
      <c r="DG969" s="32"/>
    </row>
    <row r="970">
      <c r="CU970" s="32"/>
      <c r="CY970" s="32"/>
      <c r="DC970" s="32"/>
      <c r="DG970" s="32"/>
    </row>
    <row r="971">
      <c r="CU971" s="32"/>
      <c r="CY971" s="32"/>
      <c r="DC971" s="32"/>
      <c r="DG971" s="32"/>
    </row>
    <row r="972">
      <c r="CU972" s="32"/>
      <c r="CY972" s="32"/>
      <c r="DC972" s="32"/>
      <c r="DG972" s="32"/>
    </row>
    <row r="973">
      <c r="CU973" s="32"/>
      <c r="CY973" s="32"/>
      <c r="DC973" s="32"/>
      <c r="DG973" s="32"/>
    </row>
    <row r="974">
      <c r="CU974" s="32"/>
      <c r="CY974" s="32"/>
      <c r="DC974" s="32"/>
      <c r="DG974" s="32"/>
    </row>
    <row r="975">
      <c r="CU975" s="32"/>
      <c r="CY975" s="32"/>
      <c r="DC975" s="32"/>
      <c r="DG975" s="32"/>
    </row>
    <row r="976">
      <c r="CU976" s="32"/>
      <c r="CY976" s="32"/>
      <c r="DC976" s="32"/>
      <c r="DG976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8.75"/>
    <col customWidth="1" min="6" max="6" width="10.88"/>
    <col customWidth="1" min="7" max="7" width="30.13"/>
    <col customWidth="1" min="9" max="9" width="39.0"/>
    <col customWidth="1" min="13" max="13" width="39.13"/>
    <col customWidth="1" min="17" max="17" width="34.25"/>
    <col customWidth="1" min="25" max="25" width="34.25"/>
    <col customWidth="1" min="29" max="29" width="34.25"/>
    <col customWidth="1" min="33" max="33" width="33.88"/>
    <col customWidth="1" min="37" max="37" width="33.5"/>
    <col customWidth="1" min="41" max="41" width="33.5"/>
    <col customWidth="1" min="45" max="45" width="33.5"/>
    <col customWidth="1" min="49" max="49" width="35.25"/>
    <col customWidth="1" min="53" max="53" width="21.25"/>
  </cols>
  <sheetData>
    <row r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6" t="s">
        <v>856</v>
      </c>
      <c r="H1" s="6" t="s">
        <v>7</v>
      </c>
      <c r="I1" s="6" t="s">
        <v>857</v>
      </c>
      <c r="J1" s="6" t="s">
        <v>14</v>
      </c>
      <c r="K1" s="6" t="s">
        <v>9</v>
      </c>
      <c r="L1" s="6" t="s">
        <v>10</v>
      </c>
      <c r="M1" s="6" t="s">
        <v>858</v>
      </c>
      <c r="N1" s="6" t="s">
        <v>7</v>
      </c>
      <c r="O1" s="6" t="s">
        <v>9</v>
      </c>
      <c r="P1" s="6" t="s">
        <v>10</v>
      </c>
      <c r="Q1" s="6" t="s">
        <v>859</v>
      </c>
      <c r="R1" s="6" t="s">
        <v>14</v>
      </c>
      <c r="S1" s="6" t="s">
        <v>9</v>
      </c>
      <c r="T1" s="6" t="s">
        <v>10</v>
      </c>
      <c r="U1" s="6" t="s">
        <v>860</v>
      </c>
      <c r="V1" s="6" t="s">
        <v>14</v>
      </c>
      <c r="W1" s="6" t="s">
        <v>861</v>
      </c>
      <c r="X1" s="6" t="s">
        <v>862</v>
      </c>
      <c r="Y1" s="6" t="s">
        <v>863</v>
      </c>
      <c r="Z1" s="6" t="s">
        <v>14</v>
      </c>
      <c r="AA1" s="6" t="s">
        <v>861</v>
      </c>
      <c r="AB1" s="6" t="s">
        <v>10</v>
      </c>
      <c r="AC1" s="7" t="s">
        <v>864</v>
      </c>
      <c r="AD1" s="6" t="s">
        <v>14</v>
      </c>
      <c r="AE1" s="6" t="s">
        <v>861</v>
      </c>
      <c r="AF1" s="6" t="s">
        <v>10</v>
      </c>
      <c r="AG1" s="6" t="s">
        <v>865</v>
      </c>
      <c r="AH1" s="6" t="s">
        <v>14</v>
      </c>
      <c r="AI1" s="6" t="s">
        <v>9</v>
      </c>
      <c r="AJ1" s="6" t="s">
        <v>862</v>
      </c>
      <c r="AK1" s="6" t="s">
        <v>866</v>
      </c>
      <c r="AL1" s="6" t="s">
        <v>14</v>
      </c>
      <c r="AM1" s="6" t="s">
        <v>9</v>
      </c>
      <c r="AN1" s="6" t="s">
        <v>10</v>
      </c>
      <c r="AO1" s="6" t="s">
        <v>867</v>
      </c>
      <c r="AP1" s="6" t="s">
        <v>14</v>
      </c>
      <c r="AQ1" s="6" t="s">
        <v>9</v>
      </c>
      <c r="AR1" s="6" t="s">
        <v>10</v>
      </c>
      <c r="AS1" s="6" t="s">
        <v>868</v>
      </c>
      <c r="AT1" s="6" t="s">
        <v>14</v>
      </c>
      <c r="AU1" s="6" t="s">
        <v>9</v>
      </c>
      <c r="AV1" s="6" t="s">
        <v>10</v>
      </c>
      <c r="AW1" s="6" t="s">
        <v>869</v>
      </c>
      <c r="AX1" s="6" t="s">
        <v>14</v>
      </c>
      <c r="AY1" s="6" t="s">
        <v>861</v>
      </c>
      <c r="AZ1" s="6" t="s">
        <v>10</v>
      </c>
      <c r="BA1" s="7" t="s">
        <v>870</v>
      </c>
      <c r="BB1" s="6" t="s">
        <v>14</v>
      </c>
      <c r="BC1" s="6" t="s">
        <v>861</v>
      </c>
      <c r="BD1" s="6" t="s">
        <v>10</v>
      </c>
      <c r="BE1" s="34" t="s">
        <v>871</v>
      </c>
      <c r="BF1" s="34" t="s">
        <v>14</v>
      </c>
      <c r="BG1" s="35"/>
      <c r="BH1" s="35"/>
      <c r="BI1" s="35"/>
      <c r="BJ1" s="35"/>
      <c r="BK1" s="35"/>
      <c r="BL1" s="35"/>
      <c r="BM1" s="35"/>
    </row>
    <row r="2">
      <c r="A2" s="36">
        <v>1216.0</v>
      </c>
      <c r="B2" s="36" t="s">
        <v>872</v>
      </c>
      <c r="C2" s="37" t="str">
        <f t="shared" ref="C2:C42" si="1">CONCATENATE(D2,"_",F2)</f>
        <v>TK-01_BS VI HSD</v>
      </c>
      <c r="D2" s="30" t="s">
        <v>51</v>
      </c>
      <c r="E2" s="37" t="s">
        <v>52</v>
      </c>
      <c r="F2" s="30" t="s">
        <v>53</v>
      </c>
      <c r="G2" s="30" t="s">
        <v>873</v>
      </c>
      <c r="H2" s="38">
        <v>0.0</v>
      </c>
      <c r="I2" s="30" t="s">
        <v>874</v>
      </c>
      <c r="J2" s="38">
        <v>0.0</v>
      </c>
      <c r="K2" s="31" t="str">
        <f t="shared" ref="K2:K42" si="2">MID(I2,13,6)</f>
        <v>LSW-01</v>
      </c>
      <c r="L2" s="39" t="s">
        <v>63</v>
      </c>
      <c r="M2" s="30" t="s">
        <v>875</v>
      </c>
      <c r="N2" s="38">
        <v>0.0</v>
      </c>
      <c r="O2" s="31" t="str">
        <f t="shared" ref="O2:O42" si="3">MID(M2,13,6)</f>
        <v>RDR-01</v>
      </c>
      <c r="P2" s="39" t="s">
        <v>67</v>
      </c>
      <c r="Q2" s="30" t="s">
        <v>876</v>
      </c>
      <c r="R2" s="38">
        <v>0.0</v>
      </c>
      <c r="S2" s="31" t="str">
        <f t="shared" ref="S2:S29" si="4">MID(Q2,5,8)</f>
        <v>ROSOV-01</v>
      </c>
      <c r="T2" s="39" t="s">
        <v>71</v>
      </c>
      <c r="U2" s="31"/>
      <c r="V2" s="31"/>
      <c r="W2" s="31"/>
      <c r="X2" s="31"/>
      <c r="Y2" s="30" t="s">
        <v>877</v>
      </c>
      <c r="Z2" s="40">
        <v>0.0</v>
      </c>
      <c r="AA2" s="31" t="str">
        <f t="shared" ref="AA2:AA29" si="5">MID(Y2,5,8)</f>
        <v>ROSOV-02</v>
      </c>
      <c r="AB2" s="39" t="s">
        <v>75</v>
      </c>
      <c r="AC2" s="22" t="s">
        <v>878</v>
      </c>
      <c r="AD2" s="38">
        <v>0.0</v>
      </c>
      <c r="AE2" s="31" t="str">
        <f t="shared" ref="AE2:AE28" si="6">MID(AC2,5,8)</f>
        <v>ROSOV-03</v>
      </c>
      <c r="AF2" s="39" t="s">
        <v>79</v>
      </c>
      <c r="AG2" s="22" t="s">
        <v>879</v>
      </c>
      <c r="AH2" s="40">
        <v>0.0</v>
      </c>
      <c r="AI2" s="31" t="str">
        <f t="shared" ref="AI2:AI28" si="7">MID(AG2,5,8)</f>
        <v>ROSOV-04</v>
      </c>
      <c r="AJ2" s="39" t="s">
        <v>83</v>
      </c>
      <c r="AK2" s="22" t="s">
        <v>880</v>
      </c>
      <c r="AL2" s="40">
        <v>0.0</v>
      </c>
      <c r="AM2" s="31" t="str">
        <f t="shared" ref="AM2:AM24" si="8">MID(AK2,5,7)</f>
        <v>MOV_201</v>
      </c>
      <c r="AN2" s="39" t="s">
        <v>87</v>
      </c>
      <c r="AO2" s="22" t="s">
        <v>881</v>
      </c>
      <c r="AP2" s="38">
        <v>0.0</v>
      </c>
      <c r="AQ2" s="31" t="str">
        <f t="shared" ref="AQ2:AQ42" si="9">MID(AO2,5,8)</f>
        <v>MOV_201A</v>
      </c>
      <c r="AR2" s="39" t="s">
        <v>89</v>
      </c>
      <c r="AS2" s="22" t="s">
        <v>882</v>
      </c>
      <c r="AT2" s="38">
        <v>0.0</v>
      </c>
      <c r="AU2" s="31" t="str">
        <f t="shared" ref="AU2:AU22" si="10">MID(AS2,5,7)</f>
        <v>MOV_204</v>
      </c>
      <c r="AV2" s="39" t="s">
        <v>95</v>
      </c>
      <c r="AW2" s="22" t="s">
        <v>883</v>
      </c>
      <c r="AX2" s="38">
        <v>0.0</v>
      </c>
      <c r="AY2" s="31" t="str">
        <f t="shared" ref="AY2:AY42" si="11">MID(AW2,5,7)</f>
        <v>MOV_203</v>
      </c>
      <c r="AZ2" s="39" t="s">
        <v>91</v>
      </c>
      <c r="BA2" s="22" t="s">
        <v>884</v>
      </c>
      <c r="BB2" s="38">
        <v>0.0</v>
      </c>
      <c r="BC2" s="31" t="str">
        <f t="shared" ref="BC2:BC42" si="12">MID(BA2,5,7)</f>
        <v>MOV_203</v>
      </c>
      <c r="BD2" s="39" t="s">
        <v>93</v>
      </c>
      <c r="BE2" s="31"/>
      <c r="BF2" s="31"/>
    </row>
    <row r="3">
      <c r="A3" s="36">
        <v>1216.0</v>
      </c>
      <c r="B3" s="36" t="s">
        <v>872</v>
      </c>
      <c r="C3" s="37" t="str">
        <f t="shared" si="1"/>
        <v>TK-02_BS VI HSD</v>
      </c>
      <c r="D3" s="30" t="s">
        <v>96</v>
      </c>
      <c r="E3" s="31"/>
      <c r="F3" s="30" t="s">
        <v>53</v>
      </c>
      <c r="G3" s="30" t="s">
        <v>885</v>
      </c>
      <c r="H3" s="38">
        <v>0.0</v>
      </c>
      <c r="I3" s="30" t="s">
        <v>886</v>
      </c>
      <c r="J3" s="38">
        <v>0.0</v>
      </c>
      <c r="K3" s="31" t="str">
        <f t="shared" si="2"/>
        <v>LSW-02</v>
      </c>
      <c r="L3" s="39" t="s">
        <v>63</v>
      </c>
      <c r="M3" s="30" t="s">
        <v>887</v>
      </c>
      <c r="N3" s="38">
        <v>0.0</v>
      </c>
      <c r="O3" s="31" t="str">
        <f t="shared" si="3"/>
        <v>RDR-02</v>
      </c>
      <c r="P3" s="39" t="s">
        <v>67</v>
      </c>
      <c r="Q3" s="30" t="s">
        <v>888</v>
      </c>
      <c r="R3" s="38">
        <v>0.0</v>
      </c>
      <c r="S3" s="31" t="str">
        <f t="shared" si="4"/>
        <v>ROSOV-05</v>
      </c>
      <c r="T3" s="39" t="s">
        <v>71</v>
      </c>
      <c r="U3" s="31"/>
      <c r="V3" s="31"/>
      <c r="W3" s="31"/>
      <c r="X3" s="31"/>
      <c r="Y3" s="30" t="s">
        <v>889</v>
      </c>
      <c r="Z3" s="40">
        <v>0.0</v>
      </c>
      <c r="AA3" s="31" t="str">
        <f t="shared" si="5"/>
        <v>ROSOV-06</v>
      </c>
      <c r="AB3" s="39" t="s">
        <v>75</v>
      </c>
      <c r="AC3" s="22" t="s">
        <v>890</v>
      </c>
      <c r="AD3" s="38">
        <v>0.0</v>
      </c>
      <c r="AE3" s="31" t="str">
        <f t="shared" si="6"/>
        <v>ROSOV-07</v>
      </c>
      <c r="AF3" s="39" t="s">
        <v>79</v>
      </c>
      <c r="AG3" s="22" t="s">
        <v>891</v>
      </c>
      <c r="AH3" s="40">
        <v>0.0</v>
      </c>
      <c r="AI3" s="31" t="str">
        <f t="shared" si="7"/>
        <v>ROSOV-08</v>
      </c>
      <c r="AJ3" s="39" t="s">
        <v>83</v>
      </c>
      <c r="AK3" s="22" t="s">
        <v>892</v>
      </c>
      <c r="AL3" s="38">
        <v>0.0</v>
      </c>
      <c r="AM3" s="31" t="str">
        <f t="shared" si="8"/>
        <v>MOV_205</v>
      </c>
      <c r="AN3" s="39" t="s">
        <v>87</v>
      </c>
      <c r="AO3" s="22" t="s">
        <v>893</v>
      </c>
      <c r="AP3" s="38">
        <v>0.0</v>
      </c>
      <c r="AQ3" s="31" t="str">
        <f t="shared" si="9"/>
        <v>MOV_205A</v>
      </c>
      <c r="AR3" s="39" t="s">
        <v>89</v>
      </c>
      <c r="AS3" s="22" t="s">
        <v>894</v>
      </c>
      <c r="AT3" s="38">
        <v>0.0</v>
      </c>
      <c r="AU3" s="31" t="str">
        <f t="shared" si="10"/>
        <v>MOV_208</v>
      </c>
      <c r="AV3" s="39" t="s">
        <v>95</v>
      </c>
      <c r="AW3" s="22" t="s">
        <v>895</v>
      </c>
      <c r="AX3" s="38">
        <v>0.0</v>
      </c>
      <c r="AY3" s="31" t="str">
        <f t="shared" si="11"/>
        <v>MOV_207</v>
      </c>
      <c r="AZ3" s="39" t="s">
        <v>91</v>
      </c>
      <c r="BA3" s="22" t="s">
        <v>896</v>
      </c>
      <c r="BB3" s="38">
        <v>0.0</v>
      </c>
      <c r="BC3" s="31" t="str">
        <f t="shared" si="12"/>
        <v>MOV_207</v>
      </c>
      <c r="BD3" s="39" t="s">
        <v>93</v>
      </c>
      <c r="BE3" s="31"/>
      <c r="BF3" s="31"/>
    </row>
    <row r="4">
      <c r="A4" s="36">
        <v>1216.0</v>
      </c>
      <c r="B4" s="36" t="s">
        <v>872</v>
      </c>
      <c r="C4" s="37" t="str">
        <f t="shared" si="1"/>
        <v>TK-03_BS VI HSD</v>
      </c>
      <c r="D4" s="30" t="s">
        <v>122</v>
      </c>
      <c r="E4" s="31"/>
      <c r="F4" s="30" t="s">
        <v>53</v>
      </c>
      <c r="G4" s="30" t="s">
        <v>897</v>
      </c>
      <c r="H4" s="38">
        <v>0.0</v>
      </c>
      <c r="I4" s="30" t="s">
        <v>898</v>
      </c>
      <c r="J4" s="38">
        <v>0.0</v>
      </c>
      <c r="K4" s="31" t="str">
        <f t="shared" si="2"/>
        <v>LSW-03</v>
      </c>
      <c r="L4" s="39" t="s">
        <v>63</v>
      </c>
      <c r="M4" s="30" t="s">
        <v>899</v>
      </c>
      <c r="N4" s="38">
        <v>0.0</v>
      </c>
      <c r="O4" s="31" t="str">
        <f t="shared" si="3"/>
        <v>RDR-03</v>
      </c>
      <c r="P4" s="39" t="s">
        <v>67</v>
      </c>
      <c r="Q4" s="30" t="s">
        <v>900</v>
      </c>
      <c r="R4" s="38">
        <v>0.0</v>
      </c>
      <c r="S4" s="31" t="str">
        <f t="shared" si="4"/>
        <v>ROSOV-09</v>
      </c>
      <c r="T4" s="39" t="s">
        <v>71</v>
      </c>
      <c r="U4" s="31"/>
      <c r="V4" s="31"/>
      <c r="W4" s="31"/>
      <c r="X4" s="31"/>
      <c r="Y4" s="30" t="s">
        <v>901</v>
      </c>
      <c r="Z4" s="40">
        <v>0.0</v>
      </c>
      <c r="AA4" s="31" t="str">
        <f t="shared" si="5"/>
        <v>ROSOV-10</v>
      </c>
      <c r="AB4" s="39" t="s">
        <v>75</v>
      </c>
      <c r="AC4" s="22" t="s">
        <v>902</v>
      </c>
      <c r="AD4" s="38">
        <v>0.0</v>
      </c>
      <c r="AE4" s="31" t="str">
        <f t="shared" si="6"/>
        <v>ROSOV-11</v>
      </c>
      <c r="AF4" s="39" t="s">
        <v>79</v>
      </c>
      <c r="AG4" s="22" t="s">
        <v>903</v>
      </c>
      <c r="AH4" s="40">
        <v>0.0</v>
      </c>
      <c r="AI4" s="31" t="str">
        <f t="shared" si="7"/>
        <v>ROSOV-12</v>
      </c>
      <c r="AJ4" s="39" t="s">
        <v>83</v>
      </c>
      <c r="AK4" s="22" t="s">
        <v>904</v>
      </c>
      <c r="AL4" s="38">
        <v>0.0</v>
      </c>
      <c r="AM4" s="31" t="str">
        <f t="shared" si="8"/>
        <v>MOV_209</v>
      </c>
      <c r="AN4" s="39" t="s">
        <v>87</v>
      </c>
      <c r="AO4" s="22" t="s">
        <v>905</v>
      </c>
      <c r="AP4" s="38">
        <v>0.0</v>
      </c>
      <c r="AQ4" s="31" t="str">
        <f t="shared" si="9"/>
        <v>MOV_209A</v>
      </c>
      <c r="AR4" s="39" t="s">
        <v>89</v>
      </c>
      <c r="AS4" s="22" t="s">
        <v>906</v>
      </c>
      <c r="AT4" s="38">
        <v>0.0</v>
      </c>
      <c r="AU4" s="31" t="str">
        <f t="shared" si="10"/>
        <v>MOV_212</v>
      </c>
      <c r="AV4" s="39" t="s">
        <v>95</v>
      </c>
      <c r="AW4" s="22" t="s">
        <v>907</v>
      </c>
      <c r="AX4" s="38">
        <v>0.0</v>
      </c>
      <c r="AY4" s="31" t="str">
        <f t="shared" si="11"/>
        <v>MOV_211</v>
      </c>
      <c r="AZ4" s="39" t="s">
        <v>91</v>
      </c>
      <c r="BA4" s="22" t="s">
        <v>908</v>
      </c>
      <c r="BB4" s="38">
        <v>0.0</v>
      </c>
      <c r="BC4" s="31" t="str">
        <f t="shared" si="12"/>
        <v>MOV_211</v>
      </c>
      <c r="BD4" s="39" t="s">
        <v>93</v>
      </c>
      <c r="BE4" s="31"/>
      <c r="BF4" s="31"/>
    </row>
    <row r="5">
      <c r="A5" s="36">
        <v>1216.0</v>
      </c>
      <c r="B5" s="36" t="s">
        <v>872</v>
      </c>
      <c r="C5" s="37" t="str">
        <f t="shared" si="1"/>
        <v>TK-04_BS VI HSD</v>
      </c>
      <c r="D5" s="30" t="s">
        <v>148</v>
      </c>
      <c r="E5" s="31"/>
      <c r="F5" s="30" t="s">
        <v>53</v>
      </c>
      <c r="G5" s="30" t="s">
        <v>909</v>
      </c>
      <c r="H5" s="38">
        <v>0.0</v>
      </c>
      <c r="I5" s="30" t="s">
        <v>910</v>
      </c>
      <c r="J5" s="38">
        <v>0.0</v>
      </c>
      <c r="K5" s="31" t="str">
        <f t="shared" si="2"/>
        <v>LSW-04</v>
      </c>
      <c r="L5" s="39" t="s">
        <v>63</v>
      </c>
      <c r="M5" s="30" t="s">
        <v>911</v>
      </c>
      <c r="N5" s="38">
        <v>0.0</v>
      </c>
      <c r="O5" s="31" t="str">
        <f t="shared" si="3"/>
        <v>RDR-04</v>
      </c>
      <c r="P5" s="39" t="s">
        <v>67</v>
      </c>
      <c r="Q5" s="30" t="s">
        <v>912</v>
      </c>
      <c r="R5" s="38">
        <v>0.0</v>
      </c>
      <c r="S5" s="31" t="str">
        <f t="shared" si="4"/>
        <v>ROSOV-13</v>
      </c>
      <c r="T5" s="39" t="s">
        <v>71</v>
      </c>
      <c r="U5" s="31"/>
      <c r="V5" s="31"/>
      <c r="W5" s="31"/>
      <c r="X5" s="31"/>
      <c r="Y5" s="30" t="s">
        <v>913</v>
      </c>
      <c r="Z5" s="40">
        <v>0.0</v>
      </c>
      <c r="AA5" s="31" t="str">
        <f t="shared" si="5"/>
        <v>ROSOV-14</v>
      </c>
      <c r="AB5" s="39" t="s">
        <v>75</v>
      </c>
      <c r="AC5" s="22" t="s">
        <v>914</v>
      </c>
      <c r="AD5" s="38">
        <v>0.0</v>
      </c>
      <c r="AE5" s="31" t="str">
        <f t="shared" si="6"/>
        <v>ROSOV-15</v>
      </c>
      <c r="AF5" s="39" t="s">
        <v>79</v>
      </c>
      <c r="AG5" s="22" t="s">
        <v>915</v>
      </c>
      <c r="AH5" s="40">
        <v>0.0</v>
      </c>
      <c r="AI5" s="31" t="str">
        <f t="shared" si="7"/>
        <v>ROSOV-16</v>
      </c>
      <c r="AJ5" s="39" t="s">
        <v>83</v>
      </c>
      <c r="AK5" s="22" t="s">
        <v>916</v>
      </c>
      <c r="AL5" s="38">
        <v>0.0</v>
      </c>
      <c r="AM5" s="31" t="str">
        <f t="shared" si="8"/>
        <v>MOV_101</v>
      </c>
      <c r="AN5" s="39" t="s">
        <v>87</v>
      </c>
      <c r="AO5" s="22" t="s">
        <v>917</v>
      </c>
      <c r="AP5" s="38">
        <v>0.0</v>
      </c>
      <c r="AQ5" s="31" t="str">
        <f t="shared" si="9"/>
        <v>MOV_101A</v>
      </c>
      <c r="AR5" s="39" t="s">
        <v>89</v>
      </c>
      <c r="AS5" s="22" t="s">
        <v>918</v>
      </c>
      <c r="AT5" s="38">
        <v>0.0</v>
      </c>
      <c r="AU5" s="31" t="str">
        <f t="shared" si="10"/>
        <v>MOV_104</v>
      </c>
      <c r="AV5" s="39" t="s">
        <v>95</v>
      </c>
      <c r="AW5" s="22"/>
      <c r="AX5" s="30"/>
      <c r="AY5" s="31" t="str">
        <f t="shared" si="11"/>
        <v/>
      </c>
      <c r="AZ5" s="31"/>
      <c r="BA5" s="30"/>
      <c r="BB5" s="30"/>
      <c r="BC5" s="31" t="str">
        <f t="shared" si="12"/>
        <v/>
      </c>
      <c r="BD5" s="31"/>
      <c r="BE5" s="31"/>
      <c r="BF5" s="31"/>
    </row>
    <row r="6">
      <c r="A6" s="36">
        <v>1216.0</v>
      </c>
      <c r="B6" s="36" t="s">
        <v>872</v>
      </c>
      <c r="C6" s="37" t="str">
        <f t="shared" si="1"/>
        <v>TK-05_BS VI HSD</v>
      </c>
      <c r="D6" s="30" t="s">
        <v>172</v>
      </c>
      <c r="E6" s="31"/>
      <c r="F6" s="30" t="s">
        <v>53</v>
      </c>
      <c r="G6" s="30" t="s">
        <v>919</v>
      </c>
      <c r="H6" s="38">
        <v>0.0</v>
      </c>
      <c r="I6" s="30" t="s">
        <v>920</v>
      </c>
      <c r="J6" s="38">
        <v>0.0</v>
      </c>
      <c r="K6" s="31" t="str">
        <f t="shared" si="2"/>
        <v>LSW-05</v>
      </c>
      <c r="L6" s="39" t="s">
        <v>63</v>
      </c>
      <c r="M6" s="30" t="s">
        <v>921</v>
      </c>
      <c r="N6" s="38">
        <v>0.0</v>
      </c>
      <c r="O6" s="31" t="str">
        <f t="shared" si="3"/>
        <v>RDR-05</v>
      </c>
      <c r="P6" s="39" t="s">
        <v>67</v>
      </c>
      <c r="Q6" s="30" t="s">
        <v>922</v>
      </c>
      <c r="R6" s="38">
        <v>0.0</v>
      </c>
      <c r="S6" s="31" t="str">
        <f t="shared" si="4"/>
        <v>ROSOV-17</v>
      </c>
      <c r="T6" s="39" t="s">
        <v>71</v>
      </c>
      <c r="U6" s="31"/>
      <c r="V6" s="31"/>
      <c r="W6" s="31"/>
      <c r="X6" s="31"/>
      <c r="Y6" s="30" t="s">
        <v>923</v>
      </c>
      <c r="Z6" s="40">
        <v>0.0</v>
      </c>
      <c r="AA6" s="31" t="str">
        <f t="shared" si="5"/>
        <v>ROSOV-18</v>
      </c>
      <c r="AB6" s="39" t="s">
        <v>75</v>
      </c>
      <c r="AC6" s="22" t="s">
        <v>924</v>
      </c>
      <c r="AD6" s="38">
        <v>0.0</v>
      </c>
      <c r="AE6" s="31" t="str">
        <f t="shared" si="6"/>
        <v>ROSOV-19</v>
      </c>
      <c r="AF6" s="39" t="s">
        <v>79</v>
      </c>
      <c r="AG6" s="22" t="s">
        <v>925</v>
      </c>
      <c r="AH6" s="40">
        <v>0.0</v>
      </c>
      <c r="AI6" s="31" t="str">
        <f t="shared" si="7"/>
        <v>ROSOV-20</v>
      </c>
      <c r="AJ6" s="39" t="s">
        <v>83</v>
      </c>
      <c r="AK6" s="22" t="s">
        <v>926</v>
      </c>
      <c r="AL6" s="38">
        <v>0.0</v>
      </c>
      <c r="AM6" s="31" t="str">
        <f t="shared" si="8"/>
        <v>MOV_105</v>
      </c>
      <c r="AN6" s="39" t="s">
        <v>87</v>
      </c>
      <c r="AO6" s="22" t="s">
        <v>927</v>
      </c>
      <c r="AP6" s="38">
        <v>0.0</v>
      </c>
      <c r="AQ6" s="31" t="str">
        <f t="shared" si="9"/>
        <v>MOV_105A</v>
      </c>
      <c r="AR6" s="39" t="s">
        <v>89</v>
      </c>
      <c r="AS6" s="22" t="s">
        <v>928</v>
      </c>
      <c r="AT6" s="38">
        <v>0.0</v>
      </c>
      <c r="AU6" s="31" t="str">
        <f t="shared" si="10"/>
        <v>MOV_108</v>
      </c>
      <c r="AV6" s="39" t="s">
        <v>95</v>
      </c>
      <c r="AW6" s="22"/>
      <c r="AX6" s="30"/>
      <c r="AY6" s="31" t="str">
        <f t="shared" si="11"/>
        <v/>
      </c>
      <c r="AZ6" s="31"/>
      <c r="BA6" s="30"/>
      <c r="BB6" s="30"/>
      <c r="BC6" s="31" t="str">
        <f t="shared" si="12"/>
        <v/>
      </c>
      <c r="BD6" s="31"/>
      <c r="BE6" s="31"/>
      <c r="BF6" s="31"/>
    </row>
    <row r="7">
      <c r="A7" s="36">
        <v>1216.0</v>
      </c>
      <c r="B7" s="36" t="s">
        <v>872</v>
      </c>
      <c r="C7" s="37" t="str">
        <f t="shared" si="1"/>
        <v>TK-06_BS VI HSD</v>
      </c>
      <c r="D7" s="30" t="s">
        <v>196</v>
      </c>
      <c r="E7" s="31"/>
      <c r="F7" s="30" t="s">
        <v>53</v>
      </c>
      <c r="G7" s="30" t="s">
        <v>929</v>
      </c>
      <c r="H7" s="38">
        <v>0.0</v>
      </c>
      <c r="I7" s="30" t="s">
        <v>930</v>
      </c>
      <c r="J7" s="38">
        <v>0.0</v>
      </c>
      <c r="K7" s="31" t="str">
        <f t="shared" si="2"/>
        <v>LSW-06</v>
      </c>
      <c r="L7" s="39" t="s">
        <v>63</v>
      </c>
      <c r="M7" s="30" t="s">
        <v>931</v>
      </c>
      <c r="N7" s="38">
        <v>0.0</v>
      </c>
      <c r="O7" s="31" t="str">
        <f t="shared" si="3"/>
        <v>RDR-06</v>
      </c>
      <c r="P7" s="39" t="s">
        <v>67</v>
      </c>
      <c r="Q7" s="30" t="s">
        <v>932</v>
      </c>
      <c r="R7" s="38">
        <v>0.0</v>
      </c>
      <c r="S7" s="31" t="str">
        <f t="shared" si="4"/>
        <v>ROSOV-21</v>
      </c>
      <c r="T7" s="39" t="s">
        <v>71</v>
      </c>
      <c r="U7" s="31"/>
      <c r="V7" s="31"/>
      <c r="W7" s="31"/>
      <c r="X7" s="31"/>
      <c r="Y7" s="30" t="s">
        <v>933</v>
      </c>
      <c r="Z7" s="40">
        <v>0.0</v>
      </c>
      <c r="AA7" s="31" t="str">
        <f t="shared" si="5"/>
        <v>ROSOV-22</v>
      </c>
      <c r="AB7" s="39" t="s">
        <v>75</v>
      </c>
      <c r="AC7" s="22" t="s">
        <v>934</v>
      </c>
      <c r="AD7" s="38">
        <v>0.0</v>
      </c>
      <c r="AE7" s="31" t="str">
        <f t="shared" si="6"/>
        <v>ROSOV-23</v>
      </c>
      <c r="AF7" s="39" t="s">
        <v>79</v>
      </c>
      <c r="AG7" s="22" t="s">
        <v>935</v>
      </c>
      <c r="AH7" s="40">
        <v>0.0</v>
      </c>
      <c r="AI7" s="31" t="str">
        <f t="shared" si="7"/>
        <v>ROSOV-24</v>
      </c>
      <c r="AJ7" s="39" t="s">
        <v>83</v>
      </c>
      <c r="AK7" s="22" t="s">
        <v>936</v>
      </c>
      <c r="AL7" s="38">
        <v>0.0</v>
      </c>
      <c r="AM7" s="31" t="str">
        <f t="shared" si="8"/>
        <v>MOV_109</v>
      </c>
      <c r="AN7" s="39" t="s">
        <v>87</v>
      </c>
      <c r="AO7" s="22" t="s">
        <v>937</v>
      </c>
      <c r="AP7" s="38">
        <v>0.0</v>
      </c>
      <c r="AQ7" s="31" t="str">
        <f t="shared" si="9"/>
        <v>MOV_109A</v>
      </c>
      <c r="AR7" s="39" t="s">
        <v>89</v>
      </c>
      <c r="AS7" s="22" t="s">
        <v>938</v>
      </c>
      <c r="AT7" s="38">
        <v>0.0</v>
      </c>
      <c r="AU7" s="31" t="str">
        <f t="shared" si="10"/>
        <v>MOV_112</v>
      </c>
      <c r="AV7" s="39" t="s">
        <v>95</v>
      </c>
      <c r="AW7" s="22"/>
      <c r="AX7" s="30"/>
      <c r="AY7" s="31" t="str">
        <f t="shared" si="11"/>
        <v/>
      </c>
      <c r="AZ7" s="31"/>
      <c r="BA7" s="30"/>
      <c r="BB7" s="30"/>
      <c r="BC7" s="31" t="str">
        <f t="shared" si="12"/>
        <v/>
      </c>
      <c r="BD7" s="31"/>
      <c r="BE7" s="31"/>
      <c r="BF7" s="31"/>
    </row>
    <row r="8">
      <c r="A8" s="36">
        <v>1216.0</v>
      </c>
      <c r="B8" s="36" t="s">
        <v>872</v>
      </c>
      <c r="C8" s="37" t="str">
        <f t="shared" si="1"/>
        <v>TK-07_BS VI HSD</v>
      </c>
      <c r="D8" s="30" t="s">
        <v>220</v>
      </c>
      <c r="E8" s="31"/>
      <c r="F8" s="30" t="s">
        <v>53</v>
      </c>
      <c r="G8" s="30" t="s">
        <v>939</v>
      </c>
      <c r="H8" s="38">
        <v>0.0</v>
      </c>
      <c r="I8" s="30" t="s">
        <v>940</v>
      </c>
      <c r="J8" s="38">
        <v>0.0</v>
      </c>
      <c r="K8" s="31" t="str">
        <f t="shared" si="2"/>
        <v>LSW-07</v>
      </c>
      <c r="L8" s="39" t="s">
        <v>63</v>
      </c>
      <c r="M8" s="30" t="s">
        <v>941</v>
      </c>
      <c r="N8" s="38">
        <v>0.0</v>
      </c>
      <c r="O8" s="31" t="str">
        <f t="shared" si="3"/>
        <v>RDR-07</v>
      </c>
      <c r="P8" s="39" t="s">
        <v>67</v>
      </c>
      <c r="Q8" s="30" t="s">
        <v>942</v>
      </c>
      <c r="R8" s="38">
        <v>0.0</v>
      </c>
      <c r="S8" s="31" t="str">
        <f t="shared" si="4"/>
        <v>ROSOV-25</v>
      </c>
      <c r="T8" s="39" t="s">
        <v>71</v>
      </c>
      <c r="U8" s="31"/>
      <c r="V8" s="31"/>
      <c r="W8" s="31"/>
      <c r="X8" s="31"/>
      <c r="Y8" s="30" t="s">
        <v>943</v>
      </c>
      <c r="Z8" s="40">
        <v>0.0</v>
      </c>
      <c r="AA8" s="31" t="str">
        <f t="shared" si="5"/>
        <v>ROSOV-26</v>
      </c>
      <c r="AB8" s="39" t="s">
        <v>75</v>
      </c>
      <c r="AC8" s="22" t="s">
        <v>944</v>
      </c>
      <c r="AD8" s="38">
        <v>0.0</v>
      </c>
      <c r="AE8" s="31" t="str">
        <f t="shared" si="6"/>
        <v>ROSOV-27</v>
      </c>
      <c r="AF8" s="39" t="s">
        <v>79</v>
      </c>
      <c r="AG8" s="22" t="s">
        <v>945</v>
      </c>
      <c r="AH8" s="40">
        <v>0.0</v>
      </c>
      <c r="AI8" s="31" t="str">
        <f t="shared" si="7"/>
        <v>ROSOV-28</v>
      </c>
      <c r="AJ8" s="39" t="s">
        <v>83</v>
      </c>
      <c r="AK8" s="22" t="s">
        <v>946</v>
      </c>
      <c r="AL8" s="38">
        <v>0.0</v>
      </c>
      <c r="AM8" s="31" t="str">
        <f t="shared" si="8"/>
        <v>MOV_113</v>
      </c>
      <c r="AN8" s="39" t="s">
        <v>87</v>
      </c>
      <c r="AO8" s="22" t="s">
        <v>947</v>
      </c>
      <c r="AP8" s="38">
        <v>0.0</v>
      </c>
      <c r="AQ8" s="31" t="str">
        <f t="shared" si="9"/>
        <v>MOV_113A</v>
      </c>
      <c r="AR8" s="39" t="s">
        <v>89</v>
      </c>
      <c r="AS8" s="22" t="s">
        <v>948</v>
      </c>
      <c r="AT8" s="38">
        <v>0.0</v>
      </c>
      <c r="AU8" s="31" t="str">
        <f t="shared" si="10"/>
        <v>MOV_116</v>
      </c>
      <c r="AV8" s="39" t="s">
        <v>95</v>
      </c>
      <c r="AW8" s="22"/>
      <c r="AX8" s="30"/>
      <c r="AY8" s="31" t="str">
        <f t="shared" si="11"/>
        <v/>
      </c>
      <c r="AZ8" s="31"/>
      <c r="BA8" s="30"/>
      <c r="BB8" s="30"/>
      <c r="BC8" s="31" t="str">
        <f t="shared" si="12"/>
        <v/>
      </c>
      <c r="BD8" s="31"/>
      <c r="BE8" s="31"/>
      <c r="BF8" s="31"/>
    </row>
    <row r="9">
      <c r="A9" s="36">
        <v>1216.0</v>
      </c>
      <c r="B9" s="36" t="s">
        <v>872</v>
      </c>
      <c r="C9" s="37" t="str">
        <f t="shared" si="1"/>
        <v>TK-08_NAPHTHA</v>
      </c>
      <c r="D9" s="30" t="s">
        <v>244</v>
      </c>
      <c r="E9" s="31"/>
      <c r="F9" s="30" t="s">
        <v>245</v>
      </c>
      <c r="G9" s="30" t="s">
        <v>949</v>
      </c>
      <c r="H9" s="38">
        <v>0.0</v>
      </c>
      <c r="I9" s="30" t="s">
        <v>950</v>
      </c>
      <c r="J9" s="38">
        <v>0.0</v>
      </c>
      <c r="K9" s="31" t="str">
        <f t="shared" si="2"/>
        <v>LSW-08</v>
      </c>
      <c r="L9" s="39" t="s">
        <v>63</v>
      </c>
      <c r="M9" s="30" t="s">
        <v>951</v>
      </c>
      <c r="N9" s="38">
        <v>0.0</v>
      </c>
      <c r="O9" s="31" t="str">
        <f t="shared" si="3"/>
        <v>RDR-08</v>
      </c>
      <c r="P9" s="39" t="s">
        <v>67</v>
      </c>
      <c r="Q9" s="30" t="s">
        <v>952</v>
      </c>
      <c r="R9" s="38">
        <v>0.0</v>
      </c>
      <c r="S9" s="31" t="str">
        <f t="shared" si="4"/>
        <v>ROSOV-29</v>
      </c>
      <c r="T9" s="39" t="s">
        <v>71</v>
      </c>
      <c r="U9" s="31"/>
      <c r="V9" s="31"/>
      <c r="W9" s="31"/>
      <c r="X9" s="31"/>
      <c r="Y9" s="30" t="s">
        <v>953</v>
      </c>
      <c r="Z9" s="40">
        <v>0.0</v>
      </c>
      <c r="AA9" s="31" t="str">
        <f t="shared" si="5"/>
        <v>ROSOV-30</v>
      </c>
      <c r="AB9" s="39" t="s">
        <v>75</v>
      </c>
      <c r="AC9" s="22" t="s">
        <v>954</v>
      </c>
      <c r="AD9" s="38">
        <v>0.0</v>
      </c>
      <c r="AE9" s="31" t="str">
        <f t="shared" si="6"/>
        <v>ROSOV-31</v>
      </c>
      <c r="AF9" s="39" t="s">
        <v>79</v>
      </c>
      <c r="AG9" s="22" t="s">
        <v>955</v>
      </c>
      <c r="AH9" s="40">
        <v>0.0</v>
      </c>
      <c r="AI9" s="31" t="str">
        <f t="shared" si="7"/>
        <v>ROSOV-32</v>
      </c>
      <c r="AJ9" s="39" t="s">
        <v>83</v>
      </c>
      <c r="AK9" s="22" t="s">
        <v>956</v>
      </c>
      <c r="AL9" s="38">
        <v>0.0</v>
      </c>
      <c r="AM9" s="31" t="str">
        <f t="shared" si="8"/>
        <v>MOV_301</v>
      </c>
      <c r="AN9" s="39" t="s">
        <v>87</v>
      </c>
      <c r="AO9" s="22" t="s">
        <v>957</v>
      </c>
      <c r="AP9" s="38">
        <v>0.0</v>
      </c>
      <c r="AQ9" s="31" t="str">
        <f t="shared" si="9"/>
        <v>MOV_301A</v>
      </c>
      <c r="AR9" s="39" t="s">
        <v>89</v>
      </c>
      <c r="AS9" s="22" t="s">
        <v>958</v>
      </c>
      <c r="AT9" s="38">
        <v>0.0</v>
      </c>
      <c r="AU9" s="31" t="str">
        <f t="shared" si="10"/>
        <v>MOV_304</v>
      </c>
      <c r="AV9" s="39" t="s">
        <v>95</v>
      </c>
      <c r="AW9" s="22"/>
      <c r="AX9" s="30"/>
      <c r="AY9" s="31" t="str">
        <f t="shared" si="11"/>
        <v/>
      </c>
      <c r="AZ9" s="31"/>
      <c r="BA9" s="30"/>
      <c r="BB9" s="30"/>
      <c r="BC9" s="31" t="str">
        <f t="shared" si="12"/>
        <v/>
      </c>
      <c r="BD9" s="31"/>
      <c r="BE9" s="31"/>
      <c r="BF9" s="31"/>
    </row>
    <row r="10">
      <c r="A10" s="36">
        <v>1216.0</v>
      </c>
      <c r="B10" s="36" t="s">
        <v>872</v>
      </c>
      <c r="C10" s="37" t="str">
        <f t="shared" si="1"/>
        <v>TK-09_NAPHTHA</v>
      </c>
      <c r="D10" s="30" t="s">
        <v>273</v>
      </c>
      <c r="E10" s="31"/>
      <c r="F10" s="30" t="s">
        <v>245</v>
      </c>
      <c r="G10" s="30" t="s">
        <v>959</v>
      </c>
      <c r="H10" s="38">
        <v>0.0</v>
      </c>
      <c r="I10" s="30" t="s">
        <v>960</v>
      </c>
      <c r="J10" s="38">
        <v>0.0</v>
      </c>
      <c r="K10" s="31" t="str">
        <f t="shared" si="2"/>
        <v>LSW-09</v>
      </c>
      <c r="L10" s="39" t="s">
        <v>63</v>
      </c>
      <c r="M10" s="30" t="s">
        <v>961</v>
      </c>
      <c r="N10" s="38">
        <v>0.0</v>
      </c>
      <c r="O10" s="31" t="str">
        <f t="shared" si="3"/>
        <v>RDR-09</v>
      </c>
      <c r="P10" s="39" t="s">
        <v>67</v>
      </c>
      <c r="Q10" s="30" t="s">
        <v>962</v>
      </c>
      <c r="R10" s="38">
        <v>0.0</v>
      </c>
      <c r="S10" s="31" t="str">
        <f t="shared" si="4"/>
        <v>ROSOV-33</v>
      </c>
      <c r="T10" s="39" t="s">
        <v>71</v>
      </c>
      <c r="U10" s="31"/>
      <c r="V10" s="31"/>
      <c r="W10" s="31"/>
      <c r="X10" s="31"/>
      <c r="Y10" s="30" t="s">
        <v>963</v>
      </c>
      <c r="Z10" s="40">
        <v>0.0</v>
      </c>
      <c r="AA10" s="31" t="str">
        <f t="shared" si="5"/>
        <v>ROSOV-34</v>
      </c>
      <c r="AB10" s="39" t="s">
        <v>75</v>
      </c>
      <c r="AC10" s="22" t="s">
        <v>964</v>
      </c>
      <c r="AD10" s="38">
        <v>0.0</v>
      </c>
      <c r="AE10" s="31" t="str">
        <f t="shared" si="6"/>
        <v>ROSOV-35</v>
      </c>
      <c r="AF10" s="39" t="s">
        <v>79</v>
      </c>
      <c r="AG10" s="22" t="s">
        <v>965</v>
      </c>
      <c r="AH10" s="40">
        <v>0.0</v>
      </c>
      <c r="AI10" s="31" t="str">
        <f t="shared" si="7"/>
        <v>ROSOV-36</v>
      </c>
      <c r="AJ10" s="39" t="s">
        <v>83</v>
      </c>
      <c r="AK10" s="22" t="s">
        <v>966</v>
      </c>
      <c r="AL10" s="38">
        <v>0.0</v>
      </c>
      <c r="AM10" s="31" t="str">
        <f t="shared" si="8"/>
        <v>MOV_305</v>
      </c>
      <c r="AN10" s="39" t="s">
        <v>87</v>
      </c>
      <c r="AO10" s="22" t="s">
        <v>967</v>
      </c>
      <c r="AP10" s="38">
        <v>0.0</v>
      </c>
      <c r="AQ10" s="31" t="str">
        <f t="shared" si="9"/>
        <v>MOV_305A</v>
      </c>
      <c r="AR10" s="39" t="s">
        <v>89</v>
      </c>
      <c r="AS10" s="22" t="s">
        <v>968</v>
      </c>
      <c r="AT10" s="38">
        <v>0.0</v>
      </c>
      <c r="AU10" s="31" t="str">
        <f t="shared" si="10"/>
        <v>MOV_308</v>
      </c>
      <c r="AV10" s="39" t="s">
        <v>95</v>
      </c>
      <c r="AW10" s="22"/>
      <c r="AX10" s="30"/>
      <c r="AY10" s="31" t="str">
        <f t="shared" si="11"/>
        <v/>
      </c>
      <c r="AZ10" s="31"/>
      <c r="BA10" s="30"/>
      <c r="BB10" s="30"/>
      <c r="BC10" s="31" t="str">
        <f t="shared" si="12"/>
        <v/>
      </c>
      <c r="BD10" s="31"/>
      <c r="BE10" s="31"/>
      <c r="BF10" s="31"/>
    </row>
    <row r="11">
      <c r="A11" s="36">
        <v>1216.0</v>
      </c>
      <c r="B11" s="36" t="s">
        <v>872</v>
      </c>
      <c r="C11" s="37" t="str">
        <f t="shared" si="1"/>
        <v>TK-10_NAPHTHA</v>
      </c>
      <c r="D11" s="30" t="s">
        <v>297</v>
      </c>
      <c r="E11" s="31"/>
      <c r="F11" s="30" t="s">
        <v>245</v>
      </c>
      <c r="G11" s="30" t="s">
        <v>969</v>
      </c>
      <c r="H11" s="38">
        <v>0.0</v>
      </c>
      <c r="I11" s="30" t="s">
        <v>970</v>
      </c>
      <c r="J11" s="38">
        <v>0.0</v>
      </c>
      <c r="K11" s="31" t="str">
        <f t="shared" si="2"/>
        <v>LSW-10</v>
      </c>
      <c r="L11" s="39" t="s">
        <v>63</v>
      </c>
      <c r="M11" s="30" t="s">
        <v>971</v>
      </c>
      <c r="N11" s="38">
        <v>0.0</v>
      </c>
      <c r="O11" s="31" t="str">
        <f t="shared" si="3"/>
        <v>RDR-10</v>
      </c>
      <c r="P11" s="39" t="s">
        <v>67</v>
      </c>
      <c r="Q11" s="30" t="s">
        <v>972</v>
      </c>
      <c r="R11" s="38">
        <v>0.0</v>
      </c>
      <c r="S11" s="31" t="str">
        <f t="shared" si="4"/>
        <v>ROSOV-37</v>
      </c>
      <c r="T11" s="39" t="s">
        <v>71</v>
      </c>
      <c r="U11" s="31"/>
      <c r="V11" s="31"/>
      <c r="W11" s="31"/>
      <c r="X11" s="31"/>
      <c r="Y11" s="30" t="s">
        <v>973</v>
      </c>
      <c r="Z11" s="40">
        <v>0.0</v>
      </c>
      <c r="AA11" s="31" t="str">
        <f t="shared" si="5"/>
        <v>ROSOV-38</v>
      </c>
      <c r="AB11" s="39" t="s">
        <v>75</v>
      </c>
      <c r="AC11" s="22" t="s">
        <v>974</v>
      </c>
      <c r="AD11" s="38">
        <v>0.0</v>
      </c>
      <c r="AE11" s="31" t="str">
        <f t="shared" si="6"/>
        <v>ROSOV-39</v>
      </c>
      <c r="AF11" s="39" t="s">
        <v>79</v>
      </c>
      <c r="AG11" s="22" t="s">
        <v>975</v>
      </c>
      <c r="AH11" s="40">
        <v>0.0</v>
      </c>
      <c r="AI11" s="31" t="str">
        <f t="shared" si="7"/>
        <v>ROSOV-40</v>
      </c>
      <c r="AJ11" s="39" t="s">
        <v>83</v>
      </c>
      <c r="AK11" s="22" t="s">
        <v>976</v>
      </c>
      <c r="AL11" s="38">
        <v>0.0</v>
      </c>
      <c r="AM11" s="31" t="str">
        <f t="shared" si="8"/>
        <v>MOV_309</v>
      </c>
      <c r="AN11" s="39" t="s">
        <v>87</v>
      </c>
      <c r="AO11" s="22" t="s">
        <v>977</v>
      </c>
      <c r="AP11" s="38">
        <v>0.0</v>
      </c>
      <c r="AQ11" s="31" t="str">
        <f t="shared" si="9"/>
        <v>MOV_309A</v>
      </c>
      <c r="AR11" s="39" t="s">
        <v>89</v>
      </c>
      <c r="AS11" s="22" t="s">
        <v>978</v>
      </c>
      <c r="AT11" s="38">
        <v>0.0</v>
      </c>
      <c r="AU11" s="31" t="str">
        <f t="shared" si="10"/>
        <v>MOV_312</v>
      </c>
      <c r="AV11" s="39" t="s">
        <v>95</v>
      </c>
      <c r="AW11" s="22"/>
      <c r="AX11" s="30"/>
      <c r="AY11" s="31" t="str">
        <f t="shared" si="11"/>
        <v/>
      </c>
      <c r="AZ11" s="31"/>
      <c r="BA11" s="30"/>
      <c r="BB11" s="30"/>
      <c r="BC11" s="31" t="str">
        <f t="shared" si="12"/>
        <v/>
      </c>
      <c r="BD11" s="31"/>
      <c r="BE11" s="31"/>
      <c r="BF11" s="31"/>
    </row>
    <row r="12">
      <c r="A12" s="36">
        <v>1216.0</v>
      </c>
      <c r="B12" s="36" t="s">
        <v>872</v>
      </c>
      <c r="C12" s="37" t="str">
        <f t="shared" si="1"/>
        <v>TK-11_BS VI MS</v>
      </c>
      <c r="D12" s="30" t="s">
        <v>321</v>
      </c>
      <c r="E12" s="31"/>
      <c r="F12" s="30" t="s">
        <v>322</v>
      </c>
      <c r="G12" s="30" t="s">
        <v>979</v>
      </c>
      <c r="H12" s="38">
        <v>0.0</v>
      </c>
      <c r="I12" s="30" t="s">
        <v>980</v>
      </c>
      <c r="J12" s="38">
        <v>0.0</v>
      </c>
      <c r="K12" s="31" t="str">
        <f t="shared" si="2"/>
        <v>LSW-11</v>
      </c>
      <c r="L12" s="39" t="s">
        <v>63</v>
      </c>
      <c r="M12" s="30" t="s">
        <v>981</v>
      </c>
      <c r="N12" s="38">
        <v>0.0</v>
      </c>
      <c r="O12" s="31" t="str">
        <f t="shared" si="3"/>
        <v>RDR-11</v>
      </c>
      <c r="P12" s="39" t="s">
        <v>67</v>
      </c>
      <c r="Q12" s="30" t="s">
        <v>982</v>
      </c>
      <c r="R12" s="38">
        <v>0.0</v>
      </c>
      <c r="S12" s="31" t="str">
        <f t="shared" si="4"/>
        <v>ROSOV-41</v>
      </c>
      <c r="T12" s="39" t="s">
        <v>71</v>
      </c>
      <c r="U12" s="31"/>
      <c r="V12" s="31"/>
      <c r="W12" s="31"/>
      <c r="X12" s="31"/>
      <c r="Y12" s="30" t="s">
        <v>983</v>
      </c>
      <c r="Z12" s="40">
        <v>0.0</v>
      </c>
      <c r="AA12" s="31" t="str">
        <f t="shared" si="5"/>
        <v>ROSOV-42</v>
      </c>
      <c r="AB12" s="39" t="s">
        <v>75</v>
      </c>
      <c r="AC12" s="22" t="s">
        <v>984</v>
      </c>
      <c r="AD12" s="38">
        <v>0.0</v>
      </c>
      <c r="AE12" s="31" t="str">
        <f t="shared" si="6"/>
        <v>ROSOV-43</v>
      </c>
      <c r="AF12" s="39" t="s">
        <v>79</v>
      </c>
      <c r="AG12" s="22" t="s">
        <v>985</v>
      </c>
      <c r="AH12" s="40">
        <v>0.0</v>
      </c>
      <c r="AI12" s="31" t="str">
        <f t="shared" si="7"/>
        <v>ROSOV-44</v>
      </c>
      <c r="AJ12" s="39" t="s">
        <v>83</v>
      </c>
      <c r="AK12" s="22" t="s">
        <v>986</v>
      </c>
      <c r="AL12" s="38">
        <v>0.0</v>
      </c>
      <c r="AM12" s="31" t="str">
        <f t="shared" si="8"/>
        <v>MOV_401</v>
      </c>
      <c r="AN12" s="39" t="s">
        <v>87</v>
      </c>
      <c r="AO12" s="22" t="s">
        <v>987</v>
      </c>
      <c r="AP12" s="38">
        <v>0.0</v>
      </c>
      <c r="AQ12" s="31" t="str">
        <f t="shared" si="9"/>
        <v>MOV_401A</v>
      </c>
      <c r="AR12" s="39" t="s">
        <v>89</v>
      </c>
      <c r="AS12" s="22" t="s">
        <v>988</v>
      </c>
      <c r="AT12" s="38">
        <v>0.0</v>
      </c>
      <c r="AU12" s="31" t="str">
        <f t="shared" si="10"/>
        <v>MOV_404</v>
      </c>
      <c r="AV12" s="39" t="s">
        <v>95</v>
      </c>
      <c r="AW12" s="22" t="s">
        <v>989</v>
      </c>
      <c r="AX12" s="38">
        <v>0.0</v>
      </c>
      <c r="AY12" s="31" t="str">
        <f t="shared" si="11"/>
        <v>MOV_403</v>
      </c>
      <c r="AZ12" s="39" t="s">
        <v>91</v>
      </c>
      <c r="BA12" s="22" t="s">
        <v>990</v>
      </c>
      <c r="BB12" s="38">
        <v>0.0</v>
      </c>
      <c r="BC12" s="31" t="str">
        <f t="shared" si="12"/>
        <v>MOV_403</v>
      </c>
      <c r="BD12" s="39" t="s">
        <v>93</v>
      </c>
      <c r="BE12" s="31"/>
      <c r="BF12" s="31"/>
    </row>
    <row r="13">
      <c r="A13" s="36">
        <v>1216.0</v>
      </c>
      <c r="B13" s="36" t="s">
        <v>872</v>
      </c>
      <c r="C13" s="37" t="str">
        <f t="shared" si="1"/>
        <v>TK-12_BS VI MS</v>
      </c>
      <c r="D13" s="30" t="s">
        <v>348</v>
      </c>
      <c r="E13" s="31"/>
      <c r="F13" s="30" t="s">
        <v>322</v>
      </c>
      <c r="G13" s="30" t="s">
        <v>991</v>
      </c>
      <c r="H13" s="38">
        <v>0.0</v>
      </c>
      <c r="I13" s="30" t="s">
        <v>992</v>
      </c>
      <c r="J13" s="38">
        <v>0.0</v>
      </c>
      <c r="K13" s="31" t="str">
        <f t="shared" si="2"/>
        <v>LSW-12</v>
      </c>
      <c r="L13" s="39" t="s">
        <v>63</v>
      </c>
      <c r="M13" s="30" t="s">
        <v>993</v>
      </c>
      <c r="N13" s="38">
        <v>0.0</v>
      </c>
      <c r="O13" s="31" t="str">
        <f t="shared" si="3"/>
        <v>RDR-12</v>
      </c>
      <c r="P13" s="39" t="s">
        <v>67</v>
      </c>
      <c r="Q13" s="30" t="s">
        <v>994</v>
      </c>
      <c r="R13" s="38">
        <v>0.0</v>
      </c>
      <c r="S13" s="31" t="str">
        <f t="shared" si="4"/>
        <v>ROSOV-45</v>
      </c>
      <c r="T13" s="39" t="s">
        <v>71</v>
      </c>
      <c r="U13" s="31"/>
      <c r="V13" s="31"/>
      <c r="W13" s="31"/>
      <c r="X13" s="31"/>
      <c r="Y13" s="30" t="s">
        <v>995</v>
      </c>
      <c r="Z13" s="40">
        <v>0.0</v>
      </c>
      <c r="AA13" s="31" t="str">
        <f t="shared" si="5"/>
        <v>ROSOV-46</v>
      </c>
      <c r="AB13" s="39" t="s">
        <v>75</v>
      </c>
      <c r="AC13" s="22" t="s">
        <v>996</v>
      </c>
      <c r="AD13" s="38">
        <v>0.0</v>
      </c>
      <c r="AE13" s="31" t="str">
        <f t="shared" si="6"/>
        <v>ROSOV-47</v>
      </c>
      <c r="AF13" s="39" t="s">
        <v>79</v>
      </c>
      <c r="AG13" s="22" t="s">
        <v>997</v>
      </c>
      <c r="AH13" s="40">
        <v>0.0</v>
      </c>
      <c r="AI13" s="31" t="str">
        <f t="shared" si="7"/>
        <v>ROSOV-48</v>
      </c>
      <c r="AJ13" s="39" t="s">
        <v>83</v>
      </c>
      <c r="AK13" s="22" t="s">
        <v>998</v>
      </c>
      <c r="AL13" s="38">
        <v>0.0</v>
      </c>
      <c r="AM13" s="31" t="str">
        <f t="shared" si="8"/>
        <v>MOV_405</v>
      </c>
      <c r="AN13" s="39" t="s">
        <v>87</v>
      </c>
      <c r="AO13" s="22" t="s">
        <v>999</v>
      </c>
      <c r="AP13" s="38">
        <v>0.0</v>
      </c>
      <c r="AQ13" s="31" t="str">
        <f t="shared" si="9"/>
        <v>MOV_405A</v>
      </c>
      <c r="AR13" s="39" t="s">
        <v>89</v>
      </c>
      <c r="AS13" s="22" t="s">
        <v>1000</v>
      </c>
      <c r="AT13" s="38">
        <v>0.0</v>
      </c>
      <c r="AU13" s="31" t="str">
        <f t="shared" si="10"/>
        <v>MOV_408</v>
      </c>
      <c r="AV13" s="39" t="s">
        <v>95</v>
      </c>
      <c r="AW13" s="22" t="s">
        <v>1001</v>
      </c>
      <c r="AX13" s="38">
        <v>0.0</v>
      </c>
      <c r="AY13" s="31" t="str">
        <f t="shared" si="11"/>
        <v>MOV_407</v>
      </c>
      <c r="AZ13" s="39" t="s">
        <v>91</v>
      </c>
      <c r="BA13" s="22" t="s">
        <v>1002</v>
      </c>
      <c r="BB13" s="38">
        <v>0.0</v>
      </c>
      <c r="BC13" s="31" t="str">
        <f t="shared" si="12"/>
        <v>MOV_407</v>
      </c>
      <c r="BD13" s="39" t="s">
        <v>93</v>
      </c>
      <c r="BE13" s="31"/>
      <c r="BF13" s="31"/>
    </row>
    <row r="14">
      <c r="A14" s="36">
        <v>1216.0</v>
      </c>
      <c r="B14" s="36" t="s">
        <v>872</v>
      </c>
      <c r="C14" s="37" t="str">
        <f t="shared" si="1"/>
        <v>TK-13_BS VI MS</v>
      </c>
      <c r="D14" s="30" t="s">
        <v>376</v>
      </c>
      <c r="E14" s="31"/>
      <c r="F14" s="30" t="s">
        <v>322</v>
      </c>
      <c r="G14" s="30" t="s">
        <v>1003</v>
      </c>
      <c r="H14" s="38">
        <v>0.0</v>
      </c>
      <c r="I14" s="30" t="s">
        <v>1004</v>
      </c>
      <c r="J14" s="38">
        <v>0.0</v>
      </c>
      <c r="K14" s="31" t="str">
        <f t="shared" si="2"/>
        <v>LSW-13</v>
      </c>
      <c r="L14" s="39" t="s">
        <v>63</v>
      </c>
      <c r="M14" s="30" t="s">
        <v>1005</v>
      </c>
      <c r="N14" s="38">
        <v>0.0</v>
      </c>
      <c r="O14" s="31" t="str">
        <f t="shared" si="3"/>
        <v>RDR-13</v>
      </c>
      <c r="P14" s="39" t="s">
        <v>67</v>
      </c>
      <c r="Q14" s="30" t="s">
        <v>1006</v>
      </c>
      <c r="R14" s="38">
        <v>0.0</v>
      </c>
      <c r="S14" s="31" t="str">
        <f t="shared" si="4"/>
        <v>ROSOV-49</v>
      </c>
      <c r="T14" s="39" t="s">
        <v>71</v>
      </c>
      <c r="U14" s="31"/>
      <c r="V14" s="31"/>
      <c r="W14" s="31"/>
      <c r="X14" s="31"/>
      <c r="Y14" s="30" t="s">
        <v>1007</v>
      </c>
      <c r="Z14" s="40">
        <v>0.0</v>
      </c>
      <c r="AA14" s="31" t="str">
        <f t="shared" si="5"/>
        <v>ROSOV-50</v>
      </c>
      <c r="AB14" s="39" t="s">
        <v>75</v>
      </c>
      <c r="AC14" s="22" t="s">
        <v>1008</v>
      </c>
      <c r="AD14" s="38">
        <v>0.0</v>
      </c>
      <c r="AE14" s="31" t="str">
        <f t="shared" si="6"/>
        <v>ROSOV-51</v>
      </c>
      <c r="AF14" s="39" t="s">
        <v>79</v>
      </c>
      <c r="AG14" s="22" t="s">
        <v>1009</v>
      </c>
      <c r="AH14" s="40">
        <v>0.0</v>
      </c>
      <c r="AI14" s="31" t="str">
        <f t="shared" si="7"/>
        <v>ROSOV-52</v>
      </c>
      <c r="AJ14" s="39" t="s">
        <v>83</v>
      </c>
      <c r="AK14" s="22" t="s">
        <v>1010</v>
      </c>
      <c r="AL14" s="38">
        <v>0.0</v>
      </c>
      <c r="AM14" s="31" t="str">
        <f t="shared" si="8"/>
        <v>MOV_409</v>
      </c>
      <c r="AN14" s="39" t="s">
        <v>87</v>
      </c>
      <c r="AO14" s="22" t="s">
        <v>1011</v>
      </c>
      <c r="AP14" s="38">
        <v>0.0</v>
      </c>
      <c r="AQ14" s="31" t="str">
        <f t="shared" si="9"/>
        <v>MOV_409A</v>
      </c>
      <c r="AR14" s="39" t="s">
        <v>89</v>
      </c>
      <c r="AS14" s="22" t="s">
        <v>1012</v>
      </c>
      <c r="AT14" s="38">
        <v>0.0</v>
      </c>
      <c r="AU14" s="31" t="str">
        <f t="shared" si="10"/>
        <v>MOV_412</v>
      </c>
      <c r="AV14" s="39" t="s">
        <v>95</v>
      </c>
      <c r="AW14" s="22" t="s">
        <v>1013</v>
      </c>
      <c r="AX14" s="38">
        <v>0.0</v>
      </c>
      <c r="AY14" s="31" t="str">
        <f t="shared" si="11"/>
        <v>MOV_411</v>
      </c>
      <c r="AZ14" s="39" t="s">
        <v>91</v>
      </c>
      <c r="BA14" s="22" t="s">
        <v>1014</v>
      </c>
      <c r="BB14" s="38">
        <v>0.0</v>
      </c>
      <c r="BC14" s="31" t="str">
        <f t="shared" si="12"/>
        <v>MOV_411</v>
      </c>
      <c r="BD14" s="39" t="s">
        <v>93</v>
      </c>
      <c r="BE14" s="31"/>
      <c r="BF14" s="31"/>
    </row>
    <row r="15">
      <c r="A15" s="36">
        <v>1216.0</v>
      </c>
      <c r="B15" s="36" t="s">
        <v>872</v>
      </c>
      <c r="C15" s="37" t="str">
        <f t="shared" si="1"/>
        <v>TK-14_ETHANOL</v>
      </c>
      <c r="D15" s="30" t="s">
        <v>404</v>
      </c>
      <c r="E15" s="31"/>
      <c r="F15" s="30" t="s">
        <v>405</v>
      </c>
      <c r="G15" s="30" t="s">
        <v>1015</v>
      </c>
      <c r="H15" s="38">
        <v>0.0</v>
      </c>
      <c r="I15" s="30" t="s">
        <v>1016</v>
      </c>
      <c r="J15" s="38">
        <v>0.0</v>
      </c>
      <c r="K15" s="31" t="str">
        <f t="shared" si="2"/>
        <v>LSW-14</v>
      </c>
      <c r="L15" s="39" t="s">
        <v>63</v>
      </c>
      <c r="M15" s="30" t="s">
        <v>1017</v>
      </c>
      <c r="N15" s="38">
        <v>0.0</v>
      </c>
      <c r="O15" s="31" t="str">
        <f t="shared" si="3"/>
        <v>RDR-14</v>
      </c>
      <c r="P15" s="39" t="s">
        <v>67</v>
      </c>
      <c r="Q15" s="30" t="s">
        <v>1018</v>
      </c>
      <c r="R15" s="38">
        <v>0.0</v>
      </c>
      <c r="S15" s="31" t="str">
        <f t="shared" si="4"/>
        <v>ROSOV-53</v>
      </c>
      <c r="T15" s="39" t="s">
        <v>71</v>
      </c>
      <c r="U15" s="31"/>
      <c r="V15" s="31"/>
      <c r="W15" s="31"/>
      <c r="X15" s="31"/>
      <c r="Y15" s="30" t="s">
        <v>1019</v>
      </c>
      <c r="Z15" s="40">
        <v>0.0</v>
      </c>
      <c r="AA15" s="31" t="str">
        <f t="shared" si="5"/>
        <v>ROSOV-54</v>
      </c>
      <c r="AB15" s="39" t="s">
        <v>75</v>
      </c>
      <c r="AC15" s="22" t="s">
        <v>1020</v>
      </c>
      <c r="AD15" s="38">
        <v>0.0</v>
      </c>
      <c r="AE15" s="31" t="str">
        <f t="shared" si="6"/>
        <v>ROSOV-55</v>
      </c>
      <c r="AF15" s="39" t="s">
        <v>79</v>
      </c>
      <c r="AG15" s="22" t="s">
        <v>1021</v>
      </c>
      <c r="AH15" s="40">
        <v>0.0</v>
      </c>
      <c r="AI15" s="31" t="str">
        <f t="shared" si="7"/>
        <v>ROSOV-56</v>
      </c>
      <c r="AJ15" s="39" t="s">
        <v>83</v>
      </c>
      <c r="AK15" s="22" t="s">
        <v>1022</v>
      </c>
      <c r="AL15" s="38">
        <v>0.0</v>
      </c>
      <c r="AM15" s="31" t="str">
        <f t="shared" si="8"/>
        <v>MOV_501</v>
      </c>
      <c r="AN15" s="39" t="s">
        <v>87</v>
      </c>
      <c r="AO15" s="22" t="s">
        <v>1023</v>
      </c>
      <c r="AP15" s="38">
        <v>0.0</v>
      </c>
      <c r="AQ15" s="31" t="str">
        <f t="shared" si="9"/>
        <v>MOV_501A</v>
      </c>
      <c r="AR15" s="39" t="s">
        <v>89</v>
      </c>
      <c r="AS15" s="22" t="s">
        <v>1024</v>
      </c>
      <c r="AT15" s="38">
        <v>0.0</v>
      </c>
      <c r="AU15" s="31" t="str">
        <f t="shared" si="10"/>
        <v>MOV_504</v>
      </c>
      <c r="AV15" s="39" t="s">
        <v>95</v>
      </c>
      <c r="AW15" s="22" t="s">
        <v>1025</v>
      </c>
      <c r="AX15" s="38">
        <v>0.0</v>
      </c>
      <c r="AY15" s="31" t="str">
        <f t="shared" si="11"/>
        <v>MOV_503</v>
      </c>
      <c r="AZ15" s="39" t="s">
        <v>91</v>
      </c>
      <c r="BA15" s="22" t="s">
        <v>1026</v>
      </c>
      <c r="BB15" s="38">
        <v>0.0</v>
      </c>
      <c r="BC15" s="31" t="str">
        <f t="shared" si="12"/>
        <v>MOV_503</v>
      </c>
      <c r="BD15" s="39" t="s">
        <v>93</v>
      </c>
      <c r="BE15" s="31"/>
      <c r="BF15" s="31"/>
    </row>
    <row r="16">
      <c r="A16" s="36">
        <v>1216.0</v>
      </c>
      <c r="B16" s="36" t="s">
        <v>872</v>
      </c>
      <c r="C16" s="37" t="str">
        <f t="shared" si="1"/>
        <v>TK-15_MTO</v>
      </c>
      <c r="D16" s="30" t="s">
        <v>431</v>
      </c>
      <c r="E16" s="31"/>
      <c r="F16" s="30" t="s">
        <v>432</v>
      </c>
      <c r="G16" s="30" t="s">
        <v>1027</v>
      </c>
      <c r="H16" s="38">
        <v>0.0</v>
      </c>
      <c r="I16" s="30" t="s">
        <v>1028</v>
      </c>
      <c r="J16" s="38">
        <v>0.0</v>
      </c>
      <c r="K16" s="31" t="str">
        <f t="shared" si="2"/>
        <v>LSW-15</v>
      </c>
      <c r="L16" s="39" t="s">
        <v>63</v>
      </c>
      <c r="M16" s="30" t="s">
        <v>1029</v>
      </c>
      <c r="N16" s="38">
        <v>0.0</v>
      </c>
      <c r="O16" s="31" t="str">
        <f t="shared" si="3"/>
        <v>RDR-15</v>
      </c>
      <c r="P16" s="39" t="s">
        <v>67</v>
      </c>
      <c r="Q16" s="30" t="s">
        <v>1030</v>
      </c>
      <c r="R16" s="38">
        <v>0.0</v>
      </c>
      <c r="S16" s="31" t="str">
        <f t="shared" si="4"/>
        <v>ROSOV-57</v>
      </c>
      <c r="T16" s="39" t="s">
        <v>71</v>
      </c>
      <c r="U16" s="31"/>
      <c r="V16" s="31"/>
      <c r="W16" s="31"/>
      <c r="X16" s="31"/>
      <c r="Y16" s="30" t="s">
        <v>1031</v>
      </c>
      <c r="Z16" s="40">
        <v>0.0</v>
      </c>
      <c r="AA16" s="31" t="str">
        <f t="shared" si="5"/>
        <v>ROSOV-58</v>
      </c>
      <c r="AB16" s="39" t="s">
        <v>75</v>
      </c>
      <c r="AC16" s="22" t="s">
        <v>1032</v>
      </c>
      <c r="AD16" s="38">
        <v>0.0</v>
      </c>
      <c r="AE16" s="31" t="str">
        <f t="shared" si="6"/>
        <v>ROSOV-59</v>
      </c>
      <c r="AF16" s="39" t="s">
        <v>79</v>
      </c>
      <c r="AG16" s="22" t="s">
        <v>1033</v>
      </c>
      <c r="AH16" s="40">
        <v>0.0</v>
      </c>
      <c r="AI16" s="31" t="str">
        <f t="shared" si="7"/>
        <v>ROSOV-60</v>
      </c>
      <c r="AJ16" s="39" t="s">
        <v>83</v>
      </c>
      <c r="AK16" s="22" t="s">
        <v>1034</v>
      </c>
      <c r="AL16" s="38">
        <v>0.0</v>
      </c>
      <c r="AM16" s="31" t="str">
        <f t="shared" si="8"/>
        <v>MOV_505</v>
      </c>
      <c r="AN16" s="39" t="s">
        <v>87</v>
      </c>
      <c r="AO16" s="22" t="s">
        <v>1035</v>
      </c>
      <c r="AP16" s="38">
        <v>0.0</v>
      </c>
      <c r="AQ16" s="31" t="str">
        <f t="shared" si="9"/>
        <v>MOV_505A</v>
      </c>
      <c r="AR16" s="39" t="s">
        <v>89</v>
      </c>
      <c r="AS16" s="22" t="s">
        <v>1036</v>
      </c>
      <c r="AT16" s="38">
        <v>0.0</v>
      </c>
      <c r="AU16" s="31" t="str">
        <f t="shared" si="10"/>
        <v>MOV_508</v>
      </c>
      <c r="AV16" s="39" t="s">
        <v>95</v>
      </c>
      <c r="AW16" s="22" t="s">
        <v>1037</v>
      </c>
      <c r="AX16" s="38">
        <v>0.0</v>
      </c>
      <c r="AY16" s="31" t="str">
        <f t="shared" si="11"/>
        <v>MOV_507</v>
      </c>
      <c r="AZ16" s="39" t="s">
        <v>91</v>
      </c>
      <c r="BA16" s="22" t="s">
        <v>1038</v>
      </c>
      <c r="BB16" s="38">
        <v>0.0</v>
      </c>
      <c r="BC16" s="31" t="str">
        <f t="shared" si="12"/>
        <v>MOV_507</v>
      </c>
      <c r="BD16" s="39" t="s">
        <v>93</v>
      </c>
      <c r="BE16" s="31"/>
      <c r="BF16" s="31"/>
    </row>
    <row r="17">
      <c r="A17" s="36">
        <v>1216.0</v>
      </c>
      <c r="B17" s="36" t="s">
        <v>872</v>
      </c>
      <c r="C17" s="37" t="str">
        <f t="shared" si="1"/>
        <v>TK-16_MTO</v>
      </c>
      <c r="D17" s="30" t="s">
        <v>456</v>
      </c>
      <c r="E17" s="31"/>
      <c r="F17" s="30" t="s">
        <v>432</v>
      </c>
      <c r="G17" s="30" t="s">
        <v>1039</v>
      </c>
      <c r="H17" s="38">
        <v>0.0</v>
      </c>
      <c r="I17" s="30" t="s">
        <v>1040</v>
      </c>
      <c r="J17" s="38">
        <v>0.0</v>
      </c>
      <c r="K17" s="31" t="str">
        <f t="shared" si="2"/>
        <v>LSW-16</v>
      </c>
      <c r="L17" s="39" t="s">
        <v>63</v>
      </c>
      <c r="M17" s="30" t="s">
        <v>1041</v>
      </c>
      <c r="N17" s="38">
        <v>0.0</v>
      </c>
      <c r="O17" s="31" t="str">
        <f t="shared" si="3"/>
        <v>RDR-16</v>
      </c>
      <c r="P17" s="39" t="s">
        <v>67</v>
      </c>
      <c r="Q17" s="30" t="s">
        <v>1042</v>
      </c>
      <c r="R17" s="38">
        <v>0.0</v>
      </c>
      <c r="S17" s="31" t="str">
        <f t="shared" si="4"/>
        <v>ROSOV-61</v>
      </c>
      <c r="T17" s="39" t="s">
        <v>71</v>
      </c>
      <c r="U17" s="31"/>
      <c r="V17" s="31"/>
      <c r="W17" s="31"/>
      <c r="X17" s="31"/>
      <c r="Y17" s="30" t="s">
        <v>1043</v>
      </c>
      <c r="Z17" s="40">
        <v>0.0</v>
      </c>
      <c r="AA17" s="31" t="str">
        <f t="shared" si="5"/>
        <v>ROSOV-62</v>
      </c>
      <c r="AB17" s="39" t="s">
        <v>75</v>
      </c>
      <c r="AC17" s="22" t="s">
        <v>1044</v>
      </c>
      <c r="AD17" s="38">
        <v>0.0</v>
      </c>
      <c r="AE17" s="31" t="str">
        <f t="shared" si="6"/>
        <v>ROSOV-63</v>
      </c>
      <c r="AF17" s="39" t="s">
        <v>79</v>
      </c>
      <c r="AG17" s="22" t="s">
        <v>1045</v>
      </c>
      <c r="AH17" s="40">
        <v>0.0</v>
      </c>
      <c r="AI17" s="31" t="str">
        <f t="shared" si="7"/>
        <v>ROSOV-64</v>
      </c>
      <c r="AJ17" s="39" t="s">
        <v>83</v>
      </c>
      <c r="AK17" s="22" t="s">
        <v>1046</v>
      </c>
      <c r="AL17" s="38">
        <v>0.0</v>
      </c>
      <c r="AM17" s="31" t="str">
        <f t="shared" si="8"/>
        <v>MOV_509</v>
      </c>
      <c r="AN17" s="39" t="s">
        <v>87</v>
      </c>
      <c r="AO17" s="22" t="s">
        <v>1047</v>
      </c>
      <c r="AP17" s="38">
        <v>0.0</v>
      </c>
      <c r="AQ17" s="31" t="str">
        <f t="shared" si="9"/>
        <v>MOV_509A</v>
      </c>
      <c r="AR17" s="39" t="s">
        <v>89</v>
      </c>
      <c r="AS17" s="22" t="s">
        <v>1048</v>
      </c>
      <c r="AT17" s="38">
        <v>0.0</v>
      </c>
      <c r="AU17" s="31" t="str">
        <f t="shared" si="10"/>
        <v>MOV_512</v>
      </c>
      <c r="AV17" s="39" t="s">
        <v>95</v>
      </c>
      <c r="AW17" s="22" t="s">
        <v>1049</v>
      </c>
      <c r="AX17" s="38">
        <v>0.0</v>
      </c>
      <c r="AY17" s="31" t="str">
        <f t="shared" si="11"/>
        <v>MOV_511</v>
      </c>
      <c r="AZ17" s="39" t="s">
        <v>91</v>
      </c>
      <c r="BA17" s="22" t="s">
        <v>1050</v>
      </c>
      <c r="BB17" s="38">
        <v>0.0</v>
      </c>
      <c r="BC17" s="31" t="str">
        <f t="shared" si="12"/>
        <v>MOV_511</v>
      </c>
      <c r="BD17" s="39" t="s">
        <v>93</v>
      </c>
      <c r="BE17" s="31"/>
      <c r="BF17" s="31"/>
    </row>
    <row r="18">
      <c r="A18" s="36">
        <v>1216.0</v>
      </c>
      <c r="B18" s="36" t="s">
        <v>872</v>
      </c>
      <c r="C18" s="37" t="str">
        <f t="shared" si="1"/>
        <v>TK-17_INTERFACE</v>
      </c>
      <c r="D18" s="30" t="s">
        <v>480</v>
      </c>
      <c r="E18" s="31"/>
      <c r="F18" s="30" t="s">
        <v>481</v>
      </c>
      <c r="G18" s="30" t="s">
        <v>1051</v>
      </c>
      <c r="H18" s="38">
        <v>0.0</v>
      </c>
      <c r="I18" s="30" t="s">
        <v>1052</v>
      </c>
      <c r="J18" s="38">
        <v>0.0</v>
      </c>
      <c r="K18" s="31" t="str">
        <f t="shared" si="2"/>
        <v>LSW-17</v>
      </c>
      <c r="L18" s="39" t="s">
        <v>63</v>
      </c>
      <c r="M18" s="30" t="s">
        <v>1053</v>
      </c>
      <c r="N18" s="38">
        <v>0.0</v>
      </c>
      <c r="O18" s="31" t="str">
        <f t="shared" si="3"/>
        <v>RDR-17</v>
      </c>
      <c r="P18" s="39" t="s">
        <v>67</v>
      </c>
      <c r="Q18" s="30" t="s">
        <v>1054</v>
      </c>
      <c r="R18" s="38">
        <v>0.0</v>
      </c>
      <c r="S18" s="31" t="str">
        <f t="shared" si="4"/>
        <v>ROSOV-65</v>
      </c>
      <c r="T18" s="39" t="s">
        <v>71</v>
      </c>
      <c r="U18" s="31"/>
      <c r="V18" s="31"/>
      <c r="W18" s="31"/>
      <c r="X18" s="31"/>
      <c r="Y18" s="30"/>
      <c r="Z18" s="30"/>
      <c r="AA18" s="31" t="str">
        <f t="shared" si="5"/>
        <v/>
      </c>
      <c r="AB18" s="31"/>
      <c r="AC18" s="22" t="s">
        <v>1055</v>
      </c>
      <c r="AD18" s="38">
        <v>0.0</v>
      </c>
      <c r="AE18" s="31" t="str">
        <f t="shared" si="6"/>
        <v>ROSOV-66</v>
      </c>
      <c r="AF18" s="39" t="s">
        <v>79</v>
      </c>
      <c r="AG18" s="22" t="s">
        <v>1056</v>
      </c>
      <c r="AH18" s="40">
        <v>0.0</v>
      </c>
      <c r="AI18" s="31" t="str">
        <f t="shared" si="7"/>
        <v>ROSOV-67</v>
      </c>
      <c r="AJ18" s="39" t="s">
        <v>83</v>
      </c>
      <c r="AK18" s="22" t="s">
        <v>1057</v>
      </c>
      <c r="AL18" s="38">
        <v>0.0</v>
      </c>
      <c r="AM18" s="31" t="str">
        <f t="shared" si="8"/>
        <v>MOV_601</v>
      </c>
      <c r="AN18" s="39" t="s">
        <v>87</v>
      </c>
      <c r="AO18" s="30"/>
      <c r="AP18" s="30"/>
      <c r="AQ18" s="31" t="str">
        <f t="shared" si="9"/>
        <v/>
      </c>
      <c r="AR18" s="31"/>
      <c r="AS18" s="30"/>
      <c r="AT18" s="30"/>
      <c r="AU18" s="31" t="str">
        <f t="shared" si="10"/>
        <v/>
      </c>
      <c r="AV18" s="31"/>
      <c r="AW18" s="22"/>
      <c r="AX18" s="30"/>
      <c r="AY18" s="31" t="str">
        <f t="shared" si="11"/>
        <v/>
      </c>
      <c r="AZ18" s="31"/>
      <c r="BA18" s="30"/>
      <c r="BB18" s="30"/>
      <c r="BC18" s="31" t="str">
        <f t="shared" si="12"/>
        <v/>
      </c>
      <c r="BD18" s="31"/>
      <c r="BE18" s="31"/>
      <c r="BF18" s="31"/>
    </row>
    <row r="19">
      <c r="A19" s="36">
        <v>1216.0</v>
      </c>
      <c r="B19" s="36" t="s">
        <v>872</v>
      </c>
      <c r="C19" s="37" t="str">
        <f t="shared" si="1"/>
        <v>TK-18_INTERFACE</v>
      </c>
      <c r="D19" s="30" t="s">
        <v>499</v>
      </c>
      <c r="E19" s="31"/>
      <c r="F19" s="30" t="s">
        <v>481</v>
      </c>
      <c r="G19" s="30" t="s">
        <v>1058</v>
      </c>
      <c r="H19" s="38">
        <v>0.0</v>
      </c>
      <c r="I19" s="30" t="s">
        <v>1059</v>
      </c>
      <c r="J19" s="38">
        <v>0.0</v>
      </c>
      <c r="K19" s="31" t="str">
        <f t="shared" si="2"/>
        <v>LSW-18</v>
      </c>
      <c r="L19" s="39" t="s">
        <v>63</v>
      </c>
      <c r="M19" s="30" t="s">
        <v>1060</v>
      </c>
      <c r="N19" s="38">
        <v>0.0</v>
      </c>
      <c r="O19" s="31" t="str">
        <f t="shared" si="3"/>
        <v>RDR-18</v>
      </c>
      <c r="P19" s="39" t="s">
        <v>67</v>
      </c>
      <c r="Q19" s="30" t="s">
        <v>1061</v>
      </c>
      <c r="R19" s="38">
        <v>0.0</v>
      </c>
      <c r="S19" s="31" t="str">
        <f t="shared" si="4"/>
        <v>ROSOV-68</v>
      </c>
      <c r="T19" s="39" t="s">
        <v>71</v>
      </c>
      <c r="U19" s="31"/>
      <c r="V19" s="31"/>
      <c r="W19" s="31"/>
      <c r="X19" s="31"/>
      <c r="Y19" s="30"/>
      <c r="Z19" s="30"/>
      <c r="AA19" s="31" t="str">
        <f t="shared" si="5"/>
        <v/>
      </c>
      <c r="AB19" s="31"/>
      <c r="AC19" s="22" t="s">
        <v>1062</v>
      </c>
      <c r="AD19" s="38">
        <v>0.0</v>
      </c>
      <c r="AE19" s="31" t="str">
        <f t="shared" si="6"/>
        <v>ROSOV-70</v>
      </c>
      <c r="AF19" s="39" t="s">
        <v>79</v>
      </c>
      <c r="AG19" s="22" t="s">
        <v>1063</v>
      </c>
      <c r="AH19" s="40">
        <v>0.0</v>
      </c>
      <c r="AI19" s="31" t="str">
        <f t="shared" si="7"/>
        <v>ROSOV-71</v>
      </c>
      <c r="AJ19" s="39" t="s">
        <v>83</v>
      </c>
      <c r="AK19" s="22" t="s">
        <v>1064</v>
      </c>
      <c r="AL19" s="38">
        <v>0.0</v>
      </c>
      <c r="AM19" s="31" t="str">
        <f t="shared" si="8"/>
        <v>MOV_604</v>
      </c>
      <c r="AN19" s="39" t="s">
        <v>87</v>
      </c>
      <c r="AO19" s="30"/>
      <c r="AP19" s="30"/>
      <c r="AQ19" s="31" t="str">
        <f t="shared" si="9"/>
        <v/>
      </c>
      <c r="AR19" s="31"/>
      <c r="AS19" s="30"/>
      <c r="AT19" s="30"/>
      <c r="AU19" s="31" t="str">
        <f t="shared" si="10"/>
        <v/>
      </c>
      <c r="AV19" s="31"/>
      <c r="AW19" s="22"/>
      <c r="AX19" s="30"/>
      <c r="AY19" s="31" t="str">
        <f t="shared" si="11"/>
        <v/>
      </c>
      <c r="AZ19" s="31"/>
      <c r="BA19" s="30"/>
      <c r="BB19" s="30"/>
      <c r="BC19" s="31" t="str">
        <f t="shared" si="12"/>
        <v/>
      </c>
      <c r="BD19" s="31"/>
      <c r="BE19" s="31"/>
      <c r="BF19" s="31"/>
    </row>
    <row r="20">
      <c r="A20" s="36">
        <v>1216.0</v>
      </c>
      <c r="B20" s="36" t="s">
        <v>872</v>
      </c>
      <c r="C20" s="37" t="str">
        <f t="shared" si="1"/>
        <v>TK-19_ETHANOL</v>
      </c>
      <c r="D20" s="30" t="s">
        <v>517</v>
      </c>
      <c r="E20" s="31"/>
      <c r="F20" s="30" t="s">
        <v>405</v>
      </c>
      <c r="G20" s="30" t="s">
        <v>1065</v>
      </c>
      <c r="H20" s="38">
        <v>0.0</v>
      </c>
      <c r="I20" s="30" t="s">
        <v>1066</v>
      </c>
      <c r="J20" s="38">
        <v>0.0</v>
      </c>
      <c r="K20" s="31" t="str">
        <f t="shared" si="2"/>
        <v>LSW-19</v>
      </c>
      <c r="L20" s="39" t="s">
        <v>63</v>
      </c>
      <c r="M20" s="30" t="s">
        <v>1067</v>
      </c>
      <c r="N20" s="38">
        <v>0.0</v>
      </c>
      <c r="O20" s="31" t="str">
        <f t="shared" si="3"/>
        <v>RDR-19</v>
      </c>
      <c r="P20" s="39" t="s">
        <v>67</v>
      </c>
      <c r="Q20" s="30" t="s">
        <v>1068</v>
      </c>
      <c r="R20" s="38">
        <v>0.0</v>
      </c>
      <c r="S20" s="31" t="str">
        <f t="shared" si="4"/>
        <v>ROSOV-72</v>
      </c>
      <c r="T20" s="39" t="s">
        <v>71</v>
      </c>
      <c r="U20" s="31"/>
      <c r="V20" s="31"/>
      <c r="W20" s="31"/>
      <c r="X20" s="31"/>
      <c r="Y20" s="30"/>
      <c r="Z20" s="30"/>
      <c r="AA20" s="31" t="str">
        <f t="shared" si="5"/>
        <v/>
      </c>
      <c r="AB20" s="31"/>
      <c r="AC20" s="30"/>
      <c r="AD20" s="30"/>
      <c r="AE20" s="31" t="str">
        <f t="shared" si="6"/>
        <v/>
      </c>
      <c r="AF20" s="31"/>
      <c r="AG20" s="30"/>
      <c r="AH20" s="30"/>
      <c r="AI20" s="31" t="str">
        <f t="shared" si="7"/>
        <v/>
      </c>
      <c r="AJ20" s="31"/>
      <c r="AK20" s="22" t="s">
        <v>1069</v>
      </c>
      <c r="AL20" s="38">
        <v>0.0</v>
      </c>
      <c r="AM20" s="31" t="str">
        <f t="shared" si="8"/>
        <v>MOV_701</v>
      </c>
      <c r="AN20" s="39" t="s">
        <v>87</v>
      </c>
      <c r="AO20" s="30"/>
      <c r="AP20" s="30"/>
      <c r="AQ20" s="31" t="str">
        <f t="shared" si="9"/>
        <v/>
      </c>
      <c r="AR20" s="31"/>
      <c r="AS20" s="30"/>
      <c r="AT20" s="30"/>
      <c r="AU20" s="31" t="str">
        <f t="shared" si="10"/>
        <v/>
      </c>
      <c r="AV20" s="31"/>
      <c r="AW20" s="22"/>
      <c r="AX20" s="30"/>
      <c r="AY20" s="31" t="str">
        <f t="shared" si="11"/>
        <v/>
      </c>
      <c r="AZ20" s="31"/>
      <c r="BA20" s="30"/>
      <c r="BB20" s="30"/>
      <c r="BC20" s="31" t="str">
        <f t="shared" si="12"/>
        <v/>
      </c>
      <c r="BD20" s="31"/>
      <c r="BE20" s="31"/>
      <c r="BF20" s="31"/>
    </row>
    <row r="21">
      <c r="A21" s="36">
        <v>1216.0</v>
      </c>
      <c r="B21" s="36" t="s">
        <v>872</v>
      </c>
      <c r="C21" s="37" t="str">
        <f t="shared" si="1"/>
        <v>TK-20_INTERFACE</v>
      </c>
      <c r="D21" s="30" t="s">
        <v>531</v>
      </c>
      <c r="E21" s="31"/>
      <c r="F21" s="30" t="s">
        <v>481</v>
      </c>
      <c r="G21" s="30" t="s">
        <v>1070</v>
      </c>
      <c r="H21" s="38">
        <v>0.0</v>
      </c>
      <c r="I21" s="30" t="s">
        <v>1071</v>
      </c>
      <c r="J21" s="38">
        <v>0.0</v>
      </c>
      <c r="K21" s="31" t="str">
        <f t="shared" si="2"/>
        <v>LSW-20</v>
      </c>
      <c r="L21" s="39" t="s">
        <v>63</v>
      </c>
      <c r="M21" s="30" t="s">
        <v>1072</v>
      </c>
      <c r="N21" s="38">
        <v>0.0</v>
      </c>
      <c r="O21" s="31" t="str">
        <f t="shared" si="3"/>
        <v>RDR-20</v>
      </c>
      <c r="P21" s="39" t="s">
        <v>67</v>
      </c>
      <c r="Q21" s="30" t="s">
        <v>1073</v>
      </c>
      <c r="R21" s="38">
        <v>0.0</v>
      </c>
      <c r="S21" s="31" t="str">
        <f t="shared" si="4"/>
        <v>ROSOV-74</v>
      </c>
      <c r="T21" s="39" t="s">
        <v>71</v>
      </c>
      <c r="U21" s="31"/>
      <c r="V21" s="31"/>
      <c r="W21" s="31"/>
      <c r="X21" s="31"/>
      <c r="Y21" s="30"/>
      <c r="Z21" s="30"/>
      <c r="AA21" s="31" t="str">
        <f t="shared" si="5"/>
        <v/>
      </c>
      <c r="AB21" s="31"/>
      <c r="AC21" s="30"/>
      <c r="AD21" s="30"/>
      <c r="AE21" s="31" t="str">
        <f t="shared" si="6"/>
        <v/>
      </c>
      <c r="AF21" s="31"/>
      <c r="AG21" s="22" t="s">
        <v>1074</v>
      </c>
      <c r="AH21" s="40">
        <v>0.0</v>
      </c>
      <c r="AI21" s="31" t="str">
        <f t="shared" si="7"/>
        <v>ROSOV-75</v>
      </c>
      <c r="AJ21" s="39" t="s">
        <v>83</v>
      </c>
      <c r="AK21" s="30"/>
      <c r="AL21" s="30"/>
      <c r="AM21" s="31" t="str">
        <f t="shared" si="8"/>
        <v/>
      </c>
      <c r="AN21" s="31"/>
      <c r="AO21" s="30"/>
      <c r="AP21" s="30"/>
      <c r="AQ21" s="31" t="str">
        <f t="shared" si="9"/>
        <v/>
      </c>
      <c r="AR21" s="31"/>
      <c r="AS21" s="30"/>
      <c r="AT21" s="30"/>
      <c r="AU21" s="31" t="str">
        <f t="shared" si="10"/>
        <v/>
      </c>
      <c r="AV21" s="31"/>
      <c r="AW21" s="22"/>
      <c r="AX21" s="30"/>
      <c r="AY21" s="31" t="str">
        <f t="shared" si="11"/>
        <v/>
      </c>
      <c r="AZ21" s="31"/>
      <c r="BA21" s="30"/>
      <c r="BB21" s="30"/>
      <c r="BC21" s="31" t="str">
        <f t="shared" si="12"/>
        <v/>
      </c>
      <c r="BD21" s="31"/>
      <c r="BE21" s="31"/>
      <c r="BF21" s="31"/>
    </row>
    <row r="22">
      <c r="A22" s="36">
        <v>1216.0</v>
      </c>
      <c r="B22" s="36" t="s">
        <v>872</v>
      </c>
      <c r="C22" s="37" t="str">
        <f t="shared" si="1"/>
        <v>TK-21_INTERFACE</v>
      </c>
      <c r="D22" s="30" t="s">
        <v>546</v>
      </c>
      <c r="E22" s="31"/>
      <c r="F22" s="30" t="s">
        <v>481</v>
      </c>
      <c r="G22" s="30" t="s">
        <v>1075</v>
      </c>
      <c r="H22" s="38">
        <v>0.0</v>
      </c>
      <c r="I22" s="30" t="s">
        <v>1076</v>
      </c>
      <c r="J22" s="38">
        <v>0.0</v>
      </c>
      <c r="K22" s="31" t="str">
        <f t="shared" si="2"/>
        <v>LSW-21</v>
      </c>
      <c r="L22" s="39" t="s">
        <v>63</v>
      </c>
      <c r="M22" s="30" t="s">
        <v>1077</v>
      </c>
      <c r="N22" s="38">
        <v>0.0</v>
      </c>
      <c r="O22" s="31" t="str">
        <f t="shared" si="3"/>
        <v>RDR-21</v>
      </c>
      <c r="P22" s="39" t="s">
        <v>67</v>
      </c>
      <c r="Q22" s="30" t="s">
        <v>1078</v>
      </c>
      <c r="R22" s="38">
        <v>0.0</v>
      </c>
      <c r="S22" s="31" t="str">
        <f t="shared" si="4"/>
        <v>ROSOV-76</v>
      </c>
      <c r="T22" s="39" t="s">
        <v>71</v>
      </c>
      <c r="U22" s="31"/>
      <c r="V22" s="31"/>
      <c r="W22" s="31"/>
      <c r="X22" s="31"/>
      <c r="Y22" s="30"/>
      <c r="Z22" s="30"/>
      <c r="AA22" s="31" t="str">
        <f t="shared" si="5"/>
        <v/>
      </c>
      <c r="AB22" s="31"/>
      <c r="AC22" s="30"/>
      <c r="AD22" s="30"/>
      <c r="AE22" s="31" t="str">
        <f t="shared" si="6"/>
        <v/>
      </c>
      <c r="AF22" s="31"/>
      <c r="AG22" s="22" t="s">
        <v>1079</v>
      </c>
      <c r="AH22" s="40">
        <v>0.0</v>
      </c>
      <c r="AI22" s="31" t="str">
        <f t="shared" si="7"/>
        <v>ROSOV-77</v>
      </c>
      <c r="AJ22" s="39" t="s">
        <v>83</v>
      </c>
      <c r="AK22" s="30"/>
      <c r="AL22" s="41"/>
      <c r="AM22" s="31" t="str">
        <f t="shared" si="8"/>
        <v/>
      </c>
      <c r="AN22" s="31"/>
      <c r="AO22" s="30"/>
      <c r="AP22" s="30"/>
      <c r="AQ22" s="31" t="str">
        <f t="shared" si="9"/>
        <v/>
      </c>
      <c r="AR22" s="31"/>
      <c r="AS22" s="30"/>
      <c r="AT22" s="30"/>
      <c r="AU22" s="31" t="str">
        <f t="shared" si="10"/>
        <v/>
      </c>
      <c r="AV22" s="31"/>
      <c r="AW22" s="22"/>
      <c r="AX22" s="30"/>
      <c r="AY22" s="31" t="str">
        <f t="shared" si="11"/>
        <v/>
      </c>
      <c r="AZ22" s="31"/>
      <c r="BA22" s="30"/>
      <c r="BB22" s="30"/>
      <c r="BC22" s="31" t="str">
        <f t="shared" si="12"/>
        <v/>
      </c>
      <c r="BD22" s="31"/>
      <c r="BE22" s="31"/>
      <c r="BF22" s="31"/>
    </row>
    <row r="23">
      <c r="A23" s="36">
        <v>1216.0</v>
      </c>
      <c r="B23" s="36" t="s">
        <v>872</v>
      </c>
      <c r="C23" s="37" t="str">
        <f t="shared" si="1"/>
        <v>TK-22_ATF</v>
      </c>
      <c r="D23" s="30" t="s">
        <v>561</v>
      </c>
      <c r="E23" s="31"/>
      <c r="F23" s="30" t="s">
        <v>562</v>
      </c>
      <c r="G23" s="30" t="s">
        <v>1080</v>
      </c>
      <c r="H23" s="38">
        <v>0.0</v>
      </c>
      <c r="I23" s="30" t="s">
        <v>1081</v>
      </c>
      <c r="J23" s="38">
        <v>0.0</v>
      </c>
      <c r="K23" s="31" t="str">
        <f t="shared" si="2"/>
        <v>LSW-22</v>
      </c>
      <c r="L23" s="39" t="s">
        <v>63</v>
      </c>
      <c r="M23" s="30" t="s">
        <v>1082</v>
      </c>
      <c r="N23" s="38">
        <v>0.0</v>
      </c>
      <c r="O23" s="31" t="str">
        <f t="shared" si="3"/>
        <v>RDR-22</v>
      </c>
      <c r="P23" s="39" t="s">
        <v>67</v>
      </c>
      <c r="Q23" s="30" t="s">
        <v>1083</v>
      </c>
      <c r="R23" s="38">
        <v>0.0</v>
      </c>
      <c r="S23" s="31" t="str">
        <f t="shared" si="4"/>
        <v>ROSOV-78</v>
      </c>
      <c r="T23" s="39" t="s">
        <v>71</v>
      </c>
      <c r="U23" s="31"/>
      <c r="V23" s="31"/>
      <c r="W23" s="31"/>
      <c r="X23" s="31"/>
      <c r="Y23" s="30"/>
      <c r="Z23" s="30"/>
      <c r="AA23" s="31" t="str">
        <f t="shared" si="5"/>
        <v/>
      </c>
      <c r="AB23" s="31"/>
      <c r="AC23" s="22" t="s">
        <v>1084</v>
      </c>
      <c r="AD23" s="38">
        <v>0.0</v>
      </c>
      <c r="AE23" s="31" t="str">
        <f t="shared" si="6"/>
        <v>ROSOV-79</v>
      </c>
      <c r="AF23" s="39" t="s">
        <v>79</v>
      </c>
      <c r="AG23" s="22" t="s">
        <v>1085</v>
      </c>
      <c r="AH23" s="40">
        <v>0.0</v>
      </c>
      <c r="AI23" s="31" t="str">
        <f t="shared" si="7"/>
        <v>ROSOV-80</v>
      </c>
      <c r="AJ23" s="39" t="s">
        <v>83</v>
      </c>
      <c r="AK23" s="22"/>
      <c r="AL23" s="41"/>
      <c r="AM23" s="31" t="str">
        <f t="shared" si="8"/>
        <v/>
      </c>
      <c r="AN23" s="31"/>
      <c r="AO23" s="30"/>
      <c r="AP23" s="30"/>
      <c r="AQ23" s="31" t="str">
        <f t="shared" si="9"/>
        <v/>
      </c>
      <c r="AR23" s="31"/>
      <c r="AS23" s="22" t="s">
        <v>1086</v>
      </c>
      <c r="AT23" s="38">
        <v>0.0</v>
      </c>
      <c r="AU23" s="31" t="str">
        <f t="shared" ref="AU23:AU32" si="13">MID(AS23,5,8)</f>
        <v>MOV_703A</v>
      </c>
      <c r="AV23" s="39" t="s">
        <v>95</v>
      </c>
      <c r="AW23" s="22"/>
      <c r="AX23" s="30"/>
      <c r="AY23" s="31" t="str">
        <f t="shared" si="11"/>
        <v/>
      </c>
      <c r="AZ23" s="31"/>
      <c r="BA23" s="30"/>
      <c r="BB23" s="30"/>
      <c r="BC23" s="31" t="str">
        <f t="shared" si="12"/>
        <v/>
      </c>
      <c r="BD23" s="31"/>
      <c r="BE23" s="31"/>
      <c r="BF23" s="31"/>
    </row>
    <row r="24">
      <c r="A24" s="36">
        <v>1216.0</v>
      </c>
      <c r="B24" s="36" t="s">
        <v>872</v>
      </c>
      <c r="C24" s="37" t="str">
        <f t="shared" si="1"/>
        <v>TK-23_ATF</v>
      </c>
      <c r="D24" s="30" t="s">
        <v>581</v>
      </c>
      <c r="E24" s="31"/>
      <c r="F24" s="30" t="s">
        <v>562</v>
      </c>
      <c r="G24" s="30" t="s">
        <v>1087</v>
      </c>
      <c r="H24" s="38">
        <v>0.0</v>
      </c>
      <c r="I24" s="30" t="s">
        <v>1088</v>
      </c>
      <c r="J24" s="38">
        <v>0.0</v>
      </c>
      <c r="K24" s="31" t="str">
        <f t="shared" si="2"/>
        <v>LSW-23</v>
      </c>
      <c r="L24" s="39" t="s">
        <v>63</v>
      </c>
      <c r="M24" s="30" t="s">
        <v>1089</v>
      </c>
      <c r="N24" s="38">
        <v>0.0</v>
      </c>
      <c r="O24" s="31" t="str">
        <f t="shared" si="3"/>
        <v>RDR-23</v>
      </c>
      <c r="P24" s="39" t="s">
        <v>67</v>
      </c>
      <c r="Q24" s="30" t="s">
        <v>1090</v>
      </c>
      <c r="R24" s="38">
        <v>0.0</v>
      </c>
      <c r="S24" s="31" t="str">
        <f t="shared" si="4"/>
        <v>ROSOV-81</v>
      </c>
      <c r="T24" s="39" t="s">
        <v>71</v>
      </c>
      <c r="U24" s="31"/>
      <c r="V24" s="31"/>
      <c r="W24" s="31"/>
      <c r="X24" s="31"/>
      <c r="Y24" s="30"/>
      <c r="Z24" s="30"/>
      <c r="AA24" s="31" t="str">
        <f t="shared" si="5"/>
        <v/>
      </c>
      <c r="AB24" s="31"/>
      <c r="AC24" s="22" t="s">
        <v>1091</v>
      </c>
      <c r="AD24" s="38">
        <v>0.0</v>
      </c>
      <c r="AE24" s="31" t="str">
        <f t="shared" si="6"/>
        <v>ROSOV-82</v>
      </c>
      <c r="AF24" s="39" t="s">
        <v>79</v>
      </c>
      <c r="AG24" s="22" t="s">
        <v>1092</v>
      </c>
      <c r="AH24" s="40">
        <v>0.0</v>
      </c>
      <c r="AI24" s="31" t="str">
        <f t="shared" si="7"/>
        <v>ROSOV-83</v>
      </c>
      <c r="AJ24" s="39" t="s">
        <v>83</v>
      </c>
      <c r="AK24" s="22"/>
      <c r="AL24" s="41"/>
      <c r="AM24" s="31" t="str">
        <f t="shared" si="8"/>
        <v/>
      </c>
      <c r="AN24" s="31"/>
      <c r="AO24" s="30"/>
      <c r="AP24" s="30"/>
      <c r="AQ24" s="31" t="str">
        <f t="shared" si="9"/>
        <v/>
      </c>
      <c r="AR24" s="31"/>
      <c r="AS24" s="22" t="s">
        <v>1093</v>
      </c>
      <c r="AT24" s="38">
        <v>0.0</v>
      </c>
      <c r="AU24" s="31" t="str">
        <f t="shared" si="13"/>
        <v>MOV_706A</v>
      </c>
      <c r="AV24" s="39" t="s">
        <v>95</v>
      </c>
      <c r="AW24" s="22"/>
      <c r="AX24" s="30"/>
      <c r="AY24" s="31" t="str">
        <f t="shared" si="11"/>
        <v/>
      </c>
      <c r="AZ24" s="31"/>
      <c r="BA24" s="30"/>
      <c r="BB24" s="30"/>
      <c r="BC24" s="31" t="str">
        <f t="shared" si="12"/>
        <v/>
      </c>
      <c r="BD24" s="31"/>
      <c r="BE24" s="31"/>
      <c r="BF24" s="31"/>
    </row>
    <row r="25">
      <c r="A25" s="36">
        <v>1216.0</v>
      </c>
      <c r="B25" s="36" t="s">
        <v>872</v>
      </c>
      <c r="C25" s="37" t="str">
        <f t="shared" si="1"/>
        <v>TK-24_ATF</v>
      </c>
      <c r="D25" s="30" t="s">
        <v>600</v>
      </c>
      <c r="E25" s="31"/>
      <c r="F25" s="30" t="s">
        <v>562</v>
      </c>
      <c r="G25" s="30" t="s">
        <v>1094</v>
      </c>
      <c r="H25" s="38">
        <v>0.0</v>
      </c>
      <c r="I25" s="30" t="s">
        <v>1095</v>
      </c>
      <c r="J25" s="38">
        <v>0.0</v>
      </c>
      <c r="K25" s="31" t="str">
        <f t="shared" si="2"/>
        <v>LSW-24</v>
      </c>
      <c r="L25" s="39" t="s">
        <v>63</v>
      </c>
      <c r="M25" s="30" t="s">
        <v>1096</v>
      </c>
      <c r="N25" s="38">
        <v>0.0</v>
      </c>
      <c r="O25" s="31" t="str">
        <f t="shared" si="3"/>
        <v>RDR-24</v>
      </c>
      <c r="P25" s="39" t="s">
        <v>67</v>
      </c>
      <c r="Q25" s="30" t="s">
        <v>1097</v>
      </c>
      <c r="R25" s="38">
        <v>0.0</v>
      </c>
      <c r="S25" s="31" t="str">
        <f t="shared" si="4"/>
        <v>ROSOV-84</v>
      </c>
      <c r="T25" s="39" t="s">
        <v>71</v>
      </c>
      <c r="U25" s="31"/>
      <c r="V25" s="31"/>
      <c r="W25" s="31"/>
      <c r="X25" s="31"/>
      <c r="Y25" s="30"/>
      <c r="Z25" s="30"/>
      <c r="AA25" s="31" t="str">
        <f t="shared" si="5"/>
        <v/>
      </c>
      <c r="AB25" s="31"/>
      <c r="AC25" s="22" t="s">
        <v>1098</v>
      </c>
      <c r="AD25" s="38">
        <v>0.0</v>
      </c>
      <c r="AE25" s="31" t="str">
        <f t="shared" si="6"/>
        <v>ROSOV-85</v>
      </c>
      <c r="AF25" s="39" t="s">
        <v>79</v>
      </c>
      <c r="AG25" s="22" t="s">
        <v>1099</v>
      </c>
      <c r="AH25" s="40">
        <v>0.0</v>
      </c>
      <c r="AI25" s="31" t="str">
        <f t="shared" si="7"/>
        <v>ROSOV-86</v>
      </c>
      <c r="AJ25" s="39" t="s">
        <v>83</v>
      </c>
      <c r="AK25" s="22" t="s">
        <v>1100</v>
      </c>
      <c r="AL25" s="38">
        <v>0.0</v>
      </c>
      <c r="AM25" s="31" t="str">
        <f t="shared" ref="AM25:AM32" si="14">MID(AK25,5,8)</f>
        <v>MOV_707A</v>
      </c>
      <c r="AN25" s="39" t="s">
        <v>87</v>
      </c>
      <c r="AO25" s="30"/>
      <c r="AP25" s="30"/>
      <c r="AQ25" s="31" t="str">
        <f t="shared" si="9"/>
        <v/>
      </c>
      <c r="AR25" s="31"/>
      <c r="AS25" s="22" t="s">
        <v>1101</v>
      </c>
      <c r="AT25" s="38">
        <v>0.0</v>
      </c>
      <c r="AU25" s="31" t="str">
        <f t="shared" si="13"/>
        <v>MOV_709A</v>
      </c>
      <c r="AV25" s="39" t="s">
        <v>95</v>
      </c>
      <c r="AW25" s="22"/>
      <c r="AX25" s="30"/>
      <c r="AY25" s="31" t="str">
        <f t="shared" si="11"/>
        <v/>
      </c>
      <c r="AZ25" s="31"/>
      <c r="BA25" s="30"/>
      <c r="BB25" s="30"/>
      <c r="BC25" s="31" t="str">
        <f t="shared" si="12"/>
        <v/>
      </c>
      <c r="BD25" s="31"/>
      <c r="BE25" s="31"/>
      <c r="BF25" s="31"/>
    </row>
    <row r="26">
      <c r="A26" s="36">
        <v>1216.0</v>
      </c>
      <c r="B26" s="36" t="s">
        <v>872</v>
      </c>
      <c r="C26" s="37" t="str">
        <f t="shared" si="1"/>
        <v>TK-25_ATF</v>
      </c>
      <c r="D26" s="30" t="s">
        <v>619</v>
      </c>
      <c r="E26" s="31"/>
      <c r="F26" s="30" t="s">
        <v>562</v>
      </c>
      <c r="G26" s="30" t="s">
        <v>1102</v>
      </c>
      <c r="H26" s="38">
        <v>0.0</v>
      </c>
      <c r="I26" s="30" t="s">
        <v>1103</v>
      </c>
      <c r="J26" s="38">
        <v>0.0</v>
      </c>
      <c r="K26" s="31" t="str">
        <f t="shared" si="2"/>
        <v>LSW-25</v>
      </c>
      <c r="L26" s="39" t="s">
        <v>63</v>
      </c>
      <c r="M26" s="30" t="s">
        <v>1104</v>
      </c>
      <c r="N26" s="38">
        <v>0.0</v>
      </c>
      <c r="O26" s="31" t="str">
        <f t="shared" si="3"/>
        <v>RDR-25</v>
      </c>
      <c r="P26" s="39" t="s">
        <v>67</v>
      </c>
      <c r="Q26" s="30" t="s">
        <v>1105</v>
      </c>
      <c r="R26" s="38">
        <v>0.0</v>
      </c>
      <c r="S26" s="31" t="str">
        <f t="shared" si="4"/>
        <v>ROSOV-87</v>
      </c>
      <c r="T26" s="39" t="s">
        <v>71</v>
      </c>
      <c r="U26" s="31"/>
      <c r="V26" s="31"/>
      <c r="W26" s="31"/>
      <c r="X26" s="31"/>
      <c r="Y26" s="30"/>
      <c r="Z26" s="30"/>
      <c r="AA26" s="31" t="str">
        <f t="shared" si="5"/>
        <v/>
      </c>
      <c r="AB26" s="31"/>
      <c r="AC26" s="22" t="s">
        <v>1106</v>
      </c>
      <c r="AD26" s="38">
        <v>0.0</v>
      </c>
      <c r="AE26" s="31" t="str">
        <f t="shared" si="6"/>
        <v>ROSOV-88</v>
      </c>
      <c r="AF26" s="39" t="s">
        <v>79</v>
      </c>
      <c r="AG26" s="22" t="s">
        <v>1107</v>
      </c>
      <c r="AH26" s="40">
        <v>0.0</v>
      </c>
      <c r="AI26" s="31" t="str">
        <f t="shared" si="7"/>
        <v>ROSOV-89</v>
      </c>
      <c r="AJ26" s="39" t="s">
        <v>83</v>
      </c>
      <c r="AK26" s="22" t="s">
        <v>1108</v>
      </c>
      <c r="AL26" s="38">
        <v>0.0</v>
      </c>
      <c r="AM26" s="31" t="str">
        <f t="shared" si="14"/>
        <v>MOV_710A</v>
      </c>
      <c r="AN26" s="39" t="s">
        <v>87</v>
      </c>
      <c r="AO26" s="30"/>
      <c r="AP26" s="30"/>
      <c r="AQ26" s="31" t="str">
        <f t="shared" si="9"/>
        <v/>
      </c>
      <c r="AR26" s="31"/>
      <c r="AS26" s="22" t="s">
        <v>1109</v>
      </c>
      <c r="AT26" s="38">
        <v>0.0</v>
      </c>
      <c r="AU26" s="31" t="str">
        <f t="shared" si="13"/>
        <v>MOV_712A</v>
      </c>
      <c r="AV26" s="39" t="s">
        <v>95</v>
      </c>
      <c r="AW26" s="22"/>
      <c r="AX26" s="30"/>
      <c r="AY26" s="31" t="str">
        <f t="shared" si="11"/>
        <v/>
      </c>
      <c r="AZ26" s="31"/>
      <c r="BA26" s="30"/>
      <c r="BB26" s="30"/>
      <c r="BC26" s="31" t="str">
        <f t="shared" si="12"/>
        <v/>
      </c>
      <c r="BD26" s="31"/>
      <c r="BE26" s="31"/>
      <c r="BF26" s="31"/>
    </row>
    <row r="27">
      <c r="A27" s="36">
        <v>1216.0</v>
      </c>
      <c r="B27" s="36" t="s">
        <v>872</v>
      </c>
      <c r="C27" s="37" t="str">
        <f t="shared" si="1"/>
        <v>TK-26_NAPHTHA</v>
      </c>
      <c r="D27" s="30" t="s">
        <v>638</v>
      </c>
      <c r="E27" s="31"/>
      <c r="F27" s="30" t="s">
        <v>245</v>
      </c>
      <c r="G27" s="30" t="s">
        <v>1110</v>
      </c>
      <c r="H27" s="38">
        <v>0.0</v>
      </c>
      <c r="I27" s="30" t="s">
        <v>1111</v>
      </c>
      <c r="J27" s="38">
        <v>0.0</v>
      </c>
      <c r="K27" s="31" t="str">
        <f t="shared" si="2"/>
        <v>LSW-26</v>
      </c>
      <c r="L27" s="39" t="s">
        <v>63</v>
      </c>
      <c r="M27" s="30" t="s">
        <v>1112</v>
      </c>
      <c r="N27" s="38">
        <v>0.0</v>
      </c>
      <c r="O27" s="31" t="str">
        <f t="shared" si="3"/>
        <v>RDR-26</v>
      </c>
      <c r="P27" s="39" t="s">
        <v>67</v>
      </c>
      <c r="Q27" s="30" t="s">
        <v>1113</v>
      </c>
      <c r="R27" s="38">
        <v>0.0</v>
      </c>
      <c r="S27" s="31" t="str">
        <f t="shared" si="4"/>
        <v>ROSOV-90</v>
      </c>
      <c r="T27" s="39" t="s">
        <v>71</v>
      </c>
      <c r="U27" s="31"/>
      <c r="V27" s="31"/>
      <c r="W27" s="31"/>
      <c r="X27" s="31"/>
      <c r="Y27" s="30" t="s">
        <v>1114</v>
      </c>
      <c r="Z27" s="38">
        <v>0.0</v>
      </c>
      <c r="AA27" s="31" t="str">
        <f t="shared" si="5"/>
        <v>ROSOV-91</v>
      </c>
      <c r="AB27" s="39" t="s">
        <v>75</v>
      </c>
      <c r="AC27" s="22" t="s">
        <v>1115</v>
      </c>
      <c r="AD27" s="38">
        <v>0.0</v>
      </c>
      <c r="AE27" s="31" t="str">
        <f t="shared" si="6"/>
        <v>ROSOV-92</v>
      </c>
      <c r="AF27" s="39" t="s">
        <v>79</v>
      </c>
      <c r="AG27" s="22" t="s">
        <v>1116</v>
      </c>
      <c r="AH27" s="40">
        <v>0.0</v>
      </c>
      <c r="AI27" s="31" t="str">
        <f t="shared" si="7"/>
        <v>ROSOV-93</v>
      </c>
      <c r="AJ27" s="39" t="s">
        <v>83</v>
      </c>
      <c r="AK27" s="30"/>
      <c r="AL27" s="30"/>
      <c r="AM27" s="31" t="str">
        <f t="shared" si="14"/>
        <v/>
      </c>
      <c r="AN27" s="31"/>
      <c r="AO27" s="22" t="s">
        <v>1117</v>
      </c>
      <c r="AP27" s="38">
        <v>0.0</v>
      </c>
      <c r="AQ27" s="31" t="str">
        <f t="shared" si="9"/>
        <v>MOV_317A</v>
      </c>
      <c r="AR27" s="39" t="s">
        <v>89</v>
      </c>
      <c r="AS27" s="22" t="s">
        <v>1118</v>
      </c>
      <c r="AT27" s="38">
        <v>0.0</v>
      </c>
      <c r="AU27" s="31" t="str">
        <f t="shared" si="13"/>
        <v>MOV_320A</v>
      </c>
      <c r="AV27" s="39" t="s">
        <v>95</v>
      </c>
      <c r="AW27" s="22"/>
      <c r="AX27" s="30"/>
      <c r="AY27" s="31" t="str">
        <f t="shared" si="11"/>
        <v/>
      </c>
      <c r="AZ27" s="31"/>
      <c r="BA27" s="30"/>
      <c r="BB27" s="30"/>
      <c r="BC27" s="31" t="str">
        <f t="shared" si="12"/>
        <v/>
      </c>
      <c r="BD27" s="31"/>
      <c r="BE27" s="31"/>
      <c r="BF27" s="31"/>
    </row>
    <row r="28">
      <c r="A28" s="36">
        <v>1216.0</v>
      </c>
      <c r="B28" s="36" t="s">
        <v>872</v>
      </c>
      <c r="C28" s="37" t="str">
        <f t="shared" si="1"/>
        <v>TK-27_INTERFACE NAPHTHA RICH</v>
      </c>
      <c r="D28" s="30" t="s">
        <v>661</v>
      </c>
      <c r="E28" s="31"/>
      <c r="F28" s="30" t="s">
        <v>662</v>
      </c>
      <c r="G28" s="30" t="s">
        <v>1119</v>
      </c>
      <c r="H28" s="38">
        <v>0.0</v>
      </c>
      <c r="I28" s="30" t="s">
        <v>1120</v>
      </c>
      <c r="J28" s="38">
        <v>0.0</v>
      </c>
      <c r="K28" s="31" t="str">
        <f t="shared" si="2"/>
        <v>LSW-27</v>
      </c>
      <c r="L28" s="39" t="s">
        <v>63</v>
      </c>
      <c r="M28" s="30" t="s">
        <v>1121</v>
      </c>
      <c r="N28" s="38">
        <v>0.0</v>
      </c>
      <c r="O28" s="31" t="str">
        <f t="shared" si="3"/>
        <v>RDR-27</v>
      </c>
      <c r="P28" s="39" t="s">
        <v>67</v>
      </c>
      <c r="Q28" s="30" t="s">
        <v>1122</v>
      </c>
      <c r="R28" s="38">
        <v>0.0</v>
      </c>
      <c r="S28" s="31" t="str">
        <f t="shared" si="4"/>
        <v>ROSOV-94</v>
      </c>
      <c r="T28" s="39" t="s">
        <v>71</v>
      </c>
      <c r="U28" s="31"/>
      <c r="V28" s="31"/>
      <c r="W28" s="31"/>
      <c r="X28" s="31"/>
      <c r="Y28" s="30" t="s">
        <v>1123</v>
      </c>
      <c r="Z28" s="38">
        <v>0.0</v>
      </c>
      <c r="AA28" s="31" t="str">
        <f t="shared" si="5"/>
        <v>ROSOV-95</v>
      </c>
      <c r="AB28" s="39" t="s">
        <v>75</v>
      </c>
      <c r="AC28" s="22" t="s">
        <v>1124</v>
      </c>
      <c r="AD28" s="38">
        <v>0.0</v>
      </c>
      <c r="AE28" s="31" t="str">
        <f t="shared" si="6"/>
        <v>ROSOV-96</v>
      </c>
      <c r="AF28" s="39" t="s">
        <v>79</v>
      </c>
      <c r="AG28" s="22" t="s">
        <v>1125</v>
      </c>
      <c r="AH28" s="40">
        <v>0.0</v>
      </c>
      <c r="AI28" s="31" t="str">
        <f t="shared" si="7"/>
        <v>ROSOV-97</v>
      </c>
      <c r="AJ28" s="39" t="s">
        <v>83</v>
      </c>
      <c r="AK28" s="30"/>
      <c r="AL28" s="30"/>
      <c r="AM28" s="31" t="str">
        <f t="shared" si="14"/>
        <v/>
      </c>
      <c r="AN28" s="31"/>
      <c r="AO28" s="22" t="s">
        <v>1126</v>
      </c>
      <c r="AP28" s="38">
        <v>0.0</v>
      </c>
      <c r="AQ28" s="31" t="str">
        <f t="shared" si="9"/>
        <v>MOV_417A</v>
      </c>
      <c r="AR28" s="39" t="s">
        <v>89</v>
      </c>
      <c r="AS28" s="22" t="s">
        <v>1127</v>
      </c>
      <c r="AT28" s="38">
        <v>0.0</v>
      </c>
      <c r="AU28" s="31" t="str">
        <f t="shared" si="13"/>
        <v>MOV_420A</v>
      </c>
      <c r="AV28" s="39" t="s">
        <v>95</v>
      </c>
      <c r="AW28" s="22" t="s">
        <v>1128</v>
      </c>
      <c r="AX28" s="38">
        <v>0.0</v>
      </c>
      <c r="AY28" s="31" t="str">
        <f t="shared" si="11"/>
        <v>MOV_414</v>
      </c>
      <c r="AZ28" s="39" t="s">
        <v>91</v>
      </c>
      <c r="BA28" s="22" t="s">
        <v>1129</v>
      </c>
      <c r="BB28" s="38">
        <v>0.0</v>
      </c>
      <c r="BC28" s="31" t="str">
        <f t="shared" si="12"/>
        <v>MOV_414</v>
      </c>
      <c r="BD28" s="39" t="s">
        <v>93</v>
      </c>
      <c r="BE28" s="31"/>
      <c r="BF28" s="31"/>
    </row>
    <row r="29">
      <c r="A29" s="36">
        <v>1216.0</v>
      </c>
      <c r="B29" s="36" t="s">
        <v>872</v>
      </c>
      <c r="C29" s="37" t="str">
        <f t="shared" si="1"/>
        <v>TK-28_INTERFACE HSD RICH</v>
      </c>
      <c r="D29" s="30" t="s">
        <v>687</v>
      </c>
      <c r="E29" s="31"/>
      <c r="F29" s="30" t="s">
        <v>688</v>
      </c>
      <c r="G29" s="30" t="s">
        <v>1130</v>
      </c>
      <c r="H29" s="38">
        <v>0.0</v>
      </c>
      <c r="I29" s="30" t="s">
        <v>1131</v>
      </c>
      <c r="J29" s="38">
        <v>0.0</v>
      </c>
      <c r="K29" s="31" t="str">
        <f t="shared" si="2"/>
        <v>LSW-28</v>
      </c>
      <c r="L29" s="39" t="s">
        <v>63</v>
      </c>
      <c r="M29" s="30" t="s">
        <v>1132</v>
      </c>
      <c r="N29" s="38">
        <v>0.0</v>
      </c>
      <c r="O29" s="31" t="str">
        <f t="shared" si="3"/>
        <v>RDR-28</v>
      </c>
      <c r="P29" s="39" t="s">
        <v>67</v>
      </c>
      <c r="Q29" s="30" t="s">
        <v>1133</v>
      </c>
      <c r="R29" s="38">
        <v>0.0</v>
      </c>
      <c r="S29" s="31" t="str">
        <f t="shared" si="4"/>
        <v>ROSOV-98</v>
      </c>
      <c r="T29" s="39" t="s">
        <v>71</v>
      </c>
      <c r="U29" s="31"/>
      <c r="V29" s="31"/>
      <c r="W29" s="31"/>
      <c r="X29" s="31"/>
      <c r="Y29" s="30" t="s">
        <v>1134</v>
      </c>
      <c r="Z29" s="38">
        <v>0.0</v>
      </c>
      <c r="AA29" s="31" t="str">
        <f t="shared" si="5"/>
        <v>ROSOV-99</v>
      </c>
      <c r="AB29" s="39" t="s">
        <v>75</v>
      </c>
      <c r="AC29" s="22" t="s">
        <v>1135</v>
      </c>
      <c r="AD29" s="38">
        <v>0.0</v>
      </c>
      <c r="AE29" s="31" t="str">
        <f t="shared" ref="AE29:AE34" si="15">MID(AC29,5,9)</f>
        <v>ROSOV-100</v>
      </c>
      <c r="AF29" s="39" t="s">
        <v>79</v>
      </c>
      <c r="AG29" s="22" t="s">
        <v>1136</v>
      </c>
      <c r="AH29" s="40">
        <v>0.0</v>
      </c>
      <c r="AI29" s="31" t="str">
        <f t="shared" ref="AI29:AI33" si="16">MID(AG29,5,9)</f>
        <v>ROSOV-101</v>
      </c>
      <c r="AJ29" s="39" t="s">
        <v>83</v>
      </c>
      <c r="AK29" s="22" t="s">
        <v>1137</v>
      </c>
      <c r="AL29" s="38">
        <v>0.0</v>
      </c>
      <c r="AM29" s="31" t="str">
        <f t="shared" si="14"/>
        <v>MOV_117A</v>
      </c>
      <c r="AN29" s="39" t="s">
        <v>87</v>
      </c>
      <c r="AO29" s="22" t="s">
        <v>1138</v>
      </c>
      <c r="AP29" s="38">
        <v>0.0</v>
      </c>
      <c r="AQ29" s="31" t="str">
        <f t="shared" si="9"/>
        <v>MOV_121A</v>
      </c>
      <c r="AR29" s="39" t="s">
        <v>89</v>
      </c>
      <c r="AS29" s="22" t="s">
        <v>1139</v>
      </c>
      <c r="AT29" s="38">
        <v>0.0</v>
      </c>
      <c r="AU29" s="31" t="str">
        <f t="shared" si="13"/>
        <v>MOV_120A</v>
      </c>
      <c r="AV29" s="39" t="s">
        <v>95</v>
      </c>
      <c r="AW29" s="22"/>
      <c r="AX29" s="30"/>
      <c r="AY29" s="31" t="str">
        <f t="shared" si="11"/>
        <v/>
      </c>
      <c r="AZ29" s="31"/>
      <c r="BA29" s="30"/>
      <c r="BB29" s="30"/>
      <c r="BC29" s="31" t="str">
        <f t="shared" si="12"/>
        <v/>
      </c>
      <c r="BD29" s="31"/>
      <c r="BE29" s="31"/>
      <c r="BF29" s="31"/>
    </row>
    <row r="30">
      <c r="A30" s="36">
        <v>1216.0</v>
      </c>
      <c r="B30" s="36" t="s">
        <v>872</v>
      </c>
      <c r="C30" s="37" t="str">
        <f t="shared" si="1"/>
        <v>TK-29_BS VI HSD</v>
      </c>
      <c r="D30" s="30" t="s">
        <v>710</v>
      </c>
      <c r="E30" s="31"/>
      <c r="F30" s="30" t="s">
        <v>53</v>
      </c>
      <c r="G30" s="30" t="s">
        <v>1140</v>
      </c>
      <c r="H30" s="38">
        <v>0.0</v>
      </c>
      <c r="I30" s="30" t="s">
        <v>1141</v>
      </c>
      <c r="J30" s="38">
        <v>0.0</v>
      </c>
      <c r="K30" s="31" t="str">
        <f t="shared" si="2"/>
        <v>LSW-29</v>
      </c>
      <c r="L30" s="39" t="s">
        <v>63</v>
      </c>
      <c r="M30" s="30" t="s">
        <v>1142</v>
      </c>
      <c r="N30" s="38">
        <v>0.0</v>
      </c>
      <c r="O30" s="31" t="str">
        <f t="shared" si="3"/>
        <v>RDR-29</v>
      </c>
      <c r="P30" s="39" t="s">
        <v>67</v>
      </c>
      <c r="Q30" s="30" t="s">
        <v>1143</v>
      </c>
      <c r="R30" s="38">
        <v>0.0</v>
      </c>
      <c r="S30" s="31" t="str">
        <f t="shared" ref="S30:S35" si="17">MID(Q30,5,9)</f>
        <v>ROSOV-102</v>
      </c>
      <c r="T30" s="39" t="s">
        <v>71</v>
      </c>
      <c r="U30" s="31"/>
      <c r="V30" s="31"/>
      <c r="W30" s="31"/>
      <c r="X30" s="31"/>
      <c r="Y30" s="30" t="s">
        <v>1144</v>
      </c>
      <c r="Z30" s="38">
        <v>0.0</v>
      </c>
      <c r="AA30" s="31" t="str">
        <f t="shared" ref="AA30:AA33" si="18">MID(Y30,5,9)</f>
        <v>ROSOV-103</v>
      </c>
      <c r="AB30" s="39" t="s">
        <v>75</v>
      </c>
      <c r="AC30" s="22" t="s">
        <v>1145</v>
      </c>
      <c r="AD30" s="38">
        <v>0.0</v>
      </c>
      <c r="AE30" s="31" t="str">
        <f t="shared" si="15"/>
        <v>ROSOV-104</v>
      </c>
      <c r="AF30" s="39" t="s">
        <v>79</v>
      </c>
      <c r="AG30" s="22" t="s">
        <v>1146</v>
      </c>
      <c r="AH30" s="40">
        <v>0.0</v>
      </c>
      <c r="AI30" s="31" t="str">
        <f t="shared" si="16"/>
        <v>ROSOV-105</v>
      </c>
      <c r="AJ30" s="39" t="s">
        <v>83</v>
      </c>
      <c r="AK30" s="22" t="s">
        <v>1147</v>
      </c>
      <c r="AL30" s="38">
        <v>0.0</v>
      </c>
      <c r="AM30" s="31" t="str">
        <f t="shared" si="14"/>
        <v>MOV_221A</v>
      </c>
      <c r="AN30" s="39" t="s">
        <v>87</v>
      </c>
      <c r="AO30" s="22" t="s">
        <v>1148</v>
      </c>
      <c r="AP30" s="38">
        <v>0.0</v>
      </c>
      <c r="AQ30" s="31" t="str">
        <f t="shared" si="9"/>
        <v>MOV_213A</v>
      </c>
      <c r="AR30" s="39" t="s">
        <v>89</v>
      </c>
      <c r="AS30" s="22" t="s">
        <v>1149</v>
      </c>
      <c r="AT30" s="38">
        <v>0.0</v>
      </c>
      <c r="AU30" s="31" t="str">
        <f t="shared" si="13"/>
        <v>MOV_216A</v>
      </c>
      <c r="AV30" s="39" t="s">
        <v>95</v>
      </c>
      <c r="AW30" s="22" t="s">
        <v>1150</v>
      </c>
      <c r="AX30" s="38">
        <v>0.0</v>
      </c>
      <c r="AY30" s="31" t="str">
        <f t="shared" si="11"/>
        <v>MOV_214</v>
      </c>
      <c r="AZ30" s="39" t="s">
        <v>91</v>
      </c>
      <c r="BA30" s="22" t="s">
        <v>1151</v>
      </c>
      <c r="BB30" s="38">
        <v>0.0</v>
      </c>
      <c r="BC30" s="31" t="str">
        <f t="shared" si="12"/>
        <v>MOV_214</v>
      </c>
      <c r="BD30" s="39" t="s">
        <v>93</v>
      </c>
      <c r="BE30" s="31"/>
      <c r="BF30" s="31"/>
    </row>
    <row r="31">
      <c r="A31" s="36">
        <v>1216.0</v>
      </c>
      <c r="B31" s="36" t="s">
        <v>872</v>
      </c>
      <c r="C31" s="37" t="str">
        <f t="shared" si="1"/>
        <v>TK-30_BS VI HSD</v>
      </c>
      <c r="D31" s="30" t="s">
        <v>734</v>
      </c>
      <c r="E31" s="31"/>
      <c r="F31" s="30" t="s">
        <v>53</v>
      </c>
      <c r="G31" s="30" t="s">
        <v>1152</v>
      </c>
      <c r="H31" s="38">
        <v>0.0</v>
      </c>
      <c r="I31" s="30" t="s">
        <v>1153</v>
      </c>
      <c r="J31" s="38">
        <v>0.0</v>
      </c>
      <c r="K31" s="31" t="str">
        <f t="shared" si="2"/>
        <v>LSW-30</v>
      </c>
      <c r="L31" s="39" t="s">
        <v>63</v>
      </c>
      <c r="M31" s="30" t="s">
        <v>1154</v>
      </c>
      <c r="N31" s="38">
        <v>0.0</v>
      </c>
      <c r="O31" s="31" t="str">
        <f t="shared" si="3"/>
        <v>RDR-30</v>
      </c>
      <c r="P31" s="39" t="s">
        <v>67</v>
      </c>
      <c r="Q31" s="30" t="s">
        <v>1155</v>
      </c>
      <c r="R31" s="38">
        <v>0.0</v>
      </c>
      <c r="S31" s="31" t="str">
        <f t="shared" si="17"/>
        <v>ROSOV-106</v>
      </c>
      <c r="T31" s="39" t="s">
        <v>71</v>
      </c>
      <c r="U31" s="31"/>
      <c r="V31" s="31"/>
      <c r="W31" s="31"/>
      <c r="X31" s="31"/>
      <c r="Y31" s="30" t="s">
        <v>1156</v>
      </c>
      <c r="Z31" s="38">
        <v>0.0</v>
      </c>
      <c r="AA31" s="31" t="str">
        <f t="shared" si="18"/>
        <v>ROSOV-107</v>
      </c>
      <c r="AB31" s="39" t="s">
        <v>75</v>
      </c>
      <c r="AC31" s="22" t="s">
        <v>1157</v>
      </c>
      <c r="AD31" s="38">
        <v>0.0</v>
      </c>
      <c r="AE31" s="31" t="str">
        <f t="shared" si="15"/>
        <v>ROSOV-108</v>
      </c>
      <c r="AF31" s="39" t="s">
        <v>79</v>
      </c>
      <c r="AG31" s="22" t="s">
        <v>1158</v>
      </c>
      <c r="AH31" s="40">
        <v>0.0</v>
      </c>
      <c r="AI31" s="31" t="str">
        <f t="shared" si="16"/>
        <v>ROSOV-109</v>
      </c>
      <c r="AJ31" s="39" t="s">
        <v>83</v>
      </c>
      <c r="AK31" s="22" t="s">
        <v>1159</v>
      </c>
      <c r="AL31" s="38">
        <v>0.0</v>
      </c>
      <c r="AM31" s="31" t="str">
        <f t="shared" si="14"/>
        <v>MOV_222A</v>
      </c>
      <c r="AN31" s="39" t="s">
        <v>87</v>
      </c>
      <c r="AO31" s="22" t="s">
        <v>1160</v>
      </c>
      <c r="AP31" s="38">
        <v>0.0</v>
      </c>
      <c r="AQ31" s="31" t="str">
        <f t="shared" si="9"/>
        <v>MOV_217A</v>
      </c>
      <c r="AR31" s="39" t="s">
        <v>89</v>
      </c>
      <c r="AS31" s="22" t="s">
        <v>1161</v>
      </c>
      <c r="AT31" s="38">
        <v>0.0</v>
      </c>
      <c r="AU31" s="31" t="str">
        <f t="shared" si="13"/>
        <v>MOV_220A</v>
      </c>
      <c r="AV31" s="39" t="s">
        <v>95</v>
      </c>
      <c r="AW31" s="22" t="s">
        <v>1162</v>
      </c>
      <c r="AX31" s="38">
        <v>0.0</v>
      </c>
      <c r="AY31" s="31" t="str">
        <f t="shared" si="11"/>
        <v>MOV_218</v>
      </c>
      <c r="AZ31" s="39" t="s">
        <v>91</v>
      </c>
      <c r="BA31" s="22" t="s">
        <v>1163</v>
      </c>
      <c r="BB31" s="38">
        <v>0.0</v>
      </c>
      <c r="BC31" s="31" t="str">
        <f t="shared" si="12"/>
        <v>MOV_218</v>
      </c>
      <c r="BD31" s="39" t="s">
        <v>93</v>
      </c>
      <c r="BE31" s="31"/>
      <c r="BF31" s="31"/>
    </row>
    <row r="32">
      <c r="A32" s="36">
        <v>1216.0</v>
      </c>
      <c r="B32" s="36" t="s">
        <v>872</v>
      </c>
      <c r="C32" s="37" t="str">
        <f t="shared" si="1"/>
        <v>TK-31_SWEET SKO</v>
      </c>
      <c r="D32" s="30" t="s">
        <v>760</v>
      </c>
      <c r="E32" s="31"/>
      <c r="F32" s="30" t="s">
        <v>761</v>
      </c>
      <c r="G32" s="30" t="s">
        <v>1164</v>
      </c>
      <c r="H32" s="38">
        <v>0.0</v>
      </c>
      <c r="I32" s="30" t="s">
        <v>1165</v>
      </c>
      <c r="J32" s="38">
        <v>0.0</v>
      </c>
      <c r="K32" s="31" t="str">
        <f t="shared" si="2"/>
        <v>LSW-31</v>
      </c>
      <c r="L32" s="39" t="s">
        <v>63</v>
      </c>
      <c r="M32" s="30" t="s">
        <v>1166</v>
      </c>
      <c r="N32" s="38">
        <v>0.0</v>
      </c>
      <c r="O32" s="31" t="str">
        <f t="shared" si="3"/>
        <v>RDR-31</v>
      </c>
      <c r="P32" s="39" t="s">
        <v>67</v>
      </c>
      <c r="Q32" s="30" t="s">
        <v>1167</v>
      </c>
      <c r="R32" s="38">
        <v>0.0</v>
      </c>
      <c r="S32" s="31" t="str">
        <f t="shared" si="17"/>
        <v>ROSOV-110</v>
      </c>
      <c r="T32" s="39" t="s">
        <v>71</v>
      </c>
      <c r="U32" s="31"/>
      <c r="V32" s="31"/>
      <c r="W32" s="31"/>
      <c r="X32" s="31"/>
      <c r="Y32" s="31"/>
      <c r="Z32" s="31"/>
      <c r="AA32" s="31" t="str">
        <f t="shared" si="18"/>
        <v/>
      </c>
      <c r="AB32" s="31"/>
      <c r="AC32" s="22" t="s">
        <v>1168</v>
      </c>
      <c r="AD32" s="38">
        <v>0.0</v>
      </c>
      <c r="AE32" s="31" t="str">
        <f t="shared" si="15"/>
        <v>ROSOV-111</v>
      </c>
      <c r="AF32" s="39" t="s">
        <v>79</v>
      </c>
      <c r="AG32" s="22" t="s">
        <v>1169</v>
      </c>
      <c r="AH32" s="40">
        <v>0.0</v>
      </c>
      <c r="AI32" s="31" t="str">
        <f t="shared" si="16"/>
        <v>ROSOV-112</v>
      </c>
      <c r="AJ32" s="39" t="s">
        <v>83</v>
      </c>
      <c r="AK32" s="22" t="s">
        <v>1170</v>
      </c>
      <c r="AL32" s="38">
        <v>0.0</v>
      </c>
      <c r="AM32" s="31" t="str">
        <f t="shared" si="14"/>
        <v>MOV_801A</v>
      </c>
      <c r="AN32" s="39" t="s">
        <v>87</v>
      </c>
      <c r="AO32" s="31"/>
      <c r="AP32" s="31"/>
      <c r="AQ32" s="31" t="str">
        <f t="shared" si="9"/>
        <v/>
      </c>
      <c r="AR32" s="31"/>
      <c r="AS32" s="22" t="s">
        <v>1171</v>
      </c>
      <c r="AT32" s="38">
        <v>0.0</v>
      </c>
      <c r="AU32" s="31" t="str">
        <f t="shared" si="13"/>
        <v>MOV_803A</v>
      </c>
      <c r="AV32" s="39" t="s">
        <v>95</v>
      </c>
      <c r="AW32" s="22" t="s">
        <v>1172</v>
      </c>
      <c r="AX32" s="38">
        <v>0.0</v>
      </c>
      <c r="AY32" s="31" t="str">
        <f t="shared" si="11"/>
        <v>MOV_802</v>
      </c>
      <c r="AZ32" s="39" t="s">
        <v>91</v>
      </c>
      <c r="BA32" s="22" t="s">
        <v>1173</v>
      </c>
      <c r="BB32" s="38">
        <v>0.0</v>
      </c>
      <c r="BC32" s="31" t="str">
        <f t="shared" si="12"/>
        <v>MOV_802</v>
      </c>
      <c r="BD32" s="39" t="s">
        <v>93</v>
      </c>
      <c r="BE32" s="31"/>
      <c r="BF32" s="31"/>
    </row>
    <row r="33">
      <c r="A33" s="36">
        <v>1216.0</v>
      </c>
      <c r="B33" s="36" t="s">
        <v>872</v>
      </c>
      <c r="C33" s="37" t="str">
        <f t="shared" si="1"/>
        <v>TK-32_SWEET SKO</v>
      </c>
      <c r="D33" s="30" t="s">
        <v>784</v>
      </c>
      <c r="E33" s="31"/>
      <c r="F33" s="30" t="s">
        <v>761</v>
      </c>
      <c r="G33" s="30" t="s">
        <v>1174</v>
      </c>
      <c r="H33" s="38">
        <v>0.0</v>
      </c>
      <c r="I33" s="30" t="s">
        <v>1175</v>
      </c>
      <c r="J33" s="38">
        <v>0.0</v>
      </c>
      <c r="K33" s="31" t="str">
        <f t="shared" si="2"/>
        <v>LSW-32</v>
      </c>
      <c r="L33" s="39" t="s">
        <v>63</v>
      </c>
      <c r="M33" s="30" t="s">
        <v>1176</v>
      </c>
      <c r="N33" s="38">
        <v>0.0</v>
      </c>
      <c r="O33" s="31" t="str">
        <f t="shared" si="3"/>
        <v>RDR-32</v>
      </c>
      <c r="P33" s="39" t="s">
        <v>67</v>
      </c>
      <c r="Q33" s="30" t="s">
        <v>1177</v>
      </c>
      <c r="R33" s="38">
        <v>0.0</v>
      </c>
      <c r="S33" s="31" t="str">
        <f t="shared" si="17"/>
        <v>ROSOV-113</v>
      </c>
      <c r="T33" s="39" t="s">
        <v>71</v>
      </c>
      <c r="U33" s="31"/>
      <c r="V33" s="31"/>
      <c r="W33" s="31"/>
      <c r="X33" s="31"/>
      <c r="Y33" s="31"/>
      <c r="Z33" s="31"/>
      <c r="AA33" s="31" t="str">
        <f t="shared" si="18"/>
        <v/>
      </c>
      <c r="AB33" s="31"/>
      <c r="AC33" s="22" t="s">
        <v>1178</v>
      </c>
      <c r="AD33" s="38">
        <v>0.0</v>
      </c>
      <c r="AE33" s="31" t="str">
        <f t="shared" si="15"/>
        <v>ROSOV-114</v>
      </c>
      <c r="AF33" s="39" t="s">
        <v>79</v>
      </c>
      <c r="AG33" s="22" t="s">
        <v>1179</v>
      </c>
      <c r="AH33" s="40">
        <v>0.0</v>
      </c>
      <c r="AI33" s="31" t="str">
        <f t="shared" si="16"/>
        <v>ROSOV-115</v>
      </c>
      <c r="AJ33" s="39" t="s">
        <v>83</v>
      </c>
      <c r="AK33" s="31"/>
      <c r="AL33" s="31"/>
      <c r="AM33" s="31" t="str">
        <f t="shared" ref="AM33:AM42" si="19">MID(AK33,5,7)</f>
        <v/>
      </c>
      <c r="AN33" s="31"/>
      <c r="AO33" s="31"/>
      <c r="AP33" s="31"/>
      <c r="AQ33" s="31" t="str">
        <f t="shared" si="9"/>
        <v/>
      </c>
      <c r="AR33" s="31"/>
      <c r="AS33" s="31"/>
      <c r="AT33" s="31"/>
      <c r="AU33" s="31" t="str">
        <f t="shared" ref="AU33:AU42" si="20">MID(AS33,5,7)</f>
        <v/>
      </c>
      <c r="AV33" s="31"/>
      <c r="AW33" s="22" t="s">
        <v>1180</v>
      </c>
      <c r="AX33" s="38">
        <v>0.0</v>
      </c>
      <c r="AY33" s="31" t="str">
        <f t="shared" si="11"/>
        <v>MOV_805</v>
      </c>
      <c r="AZ33" s="39" t="s">
        <v>91</v>
      </c>
      <c r="BA33" s="22" t="s">
        <v>1181</v>
      </c>
      <c r="BB33" s="38">
        <v>0.0</v>
      </c>
      <c r="BC33" s="31" t="str">
        <f t="shared" si="12"/>
        <v>MOV_805</v>
      </c>
      <c r="BD33" s="39" t="s">
        <v>93</v>
      </c>
      <c r="BE33" s="31"/>
      <c r="BF33" s="31"/>
    </row>
    <row r="34">
      <c r="A34" s="36">
        <v>1216.0</v>
      </c>
      <c r="B34" s="36" t="s">
        <v>872</v>
      </c>
      <c r="C34" s="37" t="str">
        <f t="shared" si="1"/>
        <v>TS-01_BS VI HSD</v>
      </c>
      <c r="D34" s="30" t="s">
        <v>803</v>
      </c>
      <c r="E34" s="31"/>
      <c r="F34" s="30" t="s">
        <v>53</v>
      </c>
      <c r="G34" s="30" t="s">
        <v>1182</v>
      </c>
      <c r="H34" s="38">
        <v>0.0</v>
      </c>
      <c r="I34" s="31"/>
      <c r="J34" s="31"/>
      <c r="K34" s="31" t="str">
        <f t="shared" si="2"/>
        <v/>
      </c>
      <c r="L34" s="31"/>
      <c r="M34" s="31"/>
      <c r="N34" s="31"/>
      <c r="O34" s="31" t="str">
        <f t="shared" si="3"/>
        <v/>
      </c>
      <c r="P34" s="31"/>
      <c r="Q34" s="31"/>
      <c r="R34" s="31"/>
      <c r="S34" s="31" t="str">
        <f t="shared" si="17"/>
        <v/>
      </c>
      <c r="T34" s="31"/>
      <c r="U34" s="31"/>
      <c r="V34" s="31"/>
      <c r="W34" s="31"/>
      <c r="X34" s="31"/>
      <c r="Y34" s="31"/>
      <c r="Z34" s="31"/>
      <c r="AA34" s="31" t="str">
        <f t="shared" ref="AA34:AA42" si="21">MID(Y34,5,8)</f>
        <v/>
      </c>
      <c r="AB34" s="31"/>
      <c r="AC34" s="31"/>
      <c r="AD34" s="31"/>
      <c r="AE34" s="31" t="str">
        <f t="shared" si="15"/>
        <v/>
      </c>
      <c r="AF34" s="31"/>
      <c r="AG34" s="31"/>
      <c r="AH34" s="31"/>
      <c r="AI34" s="31" t="str">
        <f t="shared" ref="AI34:AI42" si="22">MID(AG34,5,8)</f>
        <v/>
      </c>
      <c r="AJ34" s="31"/>
      <c r="AK34" s="31"/>
      <c r="AL34" s="31"/>
      <c r="AM34" s="31" t="str">
        <f t="shared" si="19"/>
        <v/>
      </c>
      <c r="AN34" s="31"/>
      <c r="AO34" s="31"/>
      <c r="AP34" s="31"/>
      <c r="AQ34" s="31" t="str">
        <f t="shared" si="9"/>
        <v/>
      </c>
      <c r="AR34" s="31"/>
      <c r="AS34" s="31"/>
      <c r="AT34" s="31"/>
      <c r="AU34" s="31" t="str">
        <f t="shared" si="20"/>
        <v/>
      </c>
      <c r="AV34" s="31"/>
      <c r="AW34" s="31"/>
      <c r="AX34" s="31"/>
      <c r="AY34" s="31" t="str">
        <f t="shared" si="11"/>
        <v/>
      </c>
      <c r="AZ34" s="31"/>
      <c r="BA34" s="31"/>
      <c r="BB34" s="31"/>
      <c r="BC34" s="31" t="str">
        <f t="shared" si="12"/>
        <v/>
      </c>
      <c r="BD34" s="31"/>
      <c r="BE34" s="31"/>
      <c r="BF34" s="31"/>
    </row>
    <row r="35">
      <c r="A35" s="36">
        <v>1216.0</v>
      </c>
      <c r="B35" s="36" t="s">
        <v>872</v>
      </c>
      <c r="C35" s="37" t="str">
        <f t="shared" si="1"/>
        <v>TS-02_BS VI HSD</v>
      </c>
      <c r="D35" s="30" t="s">
        <v>808</v>
      </c>
      <c r="E35" s="31"/>
      <c r="F35" s="30" t="s">
        <v>53</v>
      </c>
      <c r="G35" s="30" t="s">
        <v>1183</v>
      </c>
      <c r="H35" s="38">
        <v>0.0</v>
      </c>
      <c r="I35" s="31"/>
      <c r="J35" s="31"/>
      <c r="K35" s="31" t="str">
        <f t="shared" si="2"/>
        <v/>
      </c>
      <c r="L35" s="31"/>
      <c r="M35" s="31"/>
      <c r="N35" s="31"/>
      <c r="O35" s="31" t="str">
        <f t="shared" si="3"/>
        <v/>
      </c>
      <c r="P35" s="31"/>
      <c r="Q35" s="31"/>
      <c r="R35" s="31"/>
      <c r="S35" s="31" t="str">
        <f t="shared" si="17"/>
        <v/>
      </c>
      <c r="T35" s="31"/>
      <c r="U35" s="31"/>
      <c r="V35" s="31"/>
      <c r="W35" s="31"/>
      <c r="X35" s="31"/>
      <c r="Y35" s="31"/>
      <c r="Z35" s="31"/>
      <c r="AA35" s="31" t="str">
        <f t="shared" si="21"/>
        <v/>
      </c>
      <c r="AB35" s="31"/>
      <c r="AC35" s="31"/>
      <c r="AD35" s="31"/>
      <c r="AE35" s="31" t="str">
        <f t="shared" ref="AE35:AE42" si="23">MID(AC35,5,8)</f>
        <v/>
      </c>
      <c r="AF35" s="31"/>
      <c r="AG35" s="31"/>
      <c r="AH35" s="31"/>
      <c r="AI35" s="31" t="str">
        <f t="shared" si="22"/>
        <v/>
      </c>
      <c r="AJ35" s="31"/>
      <c r="AK35" s="31"/>
      <c r="AL35" s="31"/>
      <c r="AM35" s="31" t="str">
        <f t="shared" si="19"/>
        <v/>
      </c>
      <c r="AN35" s="31"/>
      <c r="AO35" s="31"/>
      <c r="AP35" s="31"/>
      <c r="AQ35" s="31" t="str">
        <f t="shared" si="9"/>
        <v/>
      </c>
      <c r="AR35" s="31"/>
      <c r="AS35" s="31"/>
      <c r="AT35" s="31"/>
      <c r="AU35" s="31" t="str">
        <f t="shared" si="20"/>
        <v/>
      </c>
      <c r="AV35" s="31"/>
      <c r="AW35" s="31"/>
      <c r="AX35" s="31"/>
      <c r="AY35" s="31" t="str">
        <f t="shared" si="11"/>
        <v/>
      </c>
      <c r="AZ35" s="31"/>
      <c r="BA35" s="31"/>
      <c r="BB35" s="31"/>
      <c r="BC35" s="31" t="str">
        <f t="shared" si="12"/>
        <v/>
      </c>
      <c r="BD35" s="31"/>
      <c r="BE35" s="31"/>
      <c r="BF35" s="31"/>
    </row>
    <row r="36">
      <c r="A36" s="36">
        <v>1216.0</v>
      </c>
      <c r="B36" s="36" t="s">
        <v>872</v>
      </c>
      <c r="C36" s="37" t="str">
        <f t="shared" si="1"/>
        <v>TS-03_BS VI MS</v>
      </c>
      <c r="D36" s="30" t="s">
        <v>812</v>
      </c>
      <c r="E36" s="31"/>
      <c r="F36" s="30" t="s">
        <v>322</v>
      </c>
      <c r="G36" s="30" t="s">
        <v>1184</v>
      </c>
      <c r="H36" s="38">
        <v>0.0</v>
      </c>
      <c r="I36" s="31"/>
      <c r="J36" s="31"/>
      <c r="K36" s="31" t="str">
        <f t="shared" si="2"/>
        <v/>
      </c>
      <c r="L36" s="31"/>
      <c r="M36" s="31"/>
      <c r="N36" s="31"/>
      <c r="O36" s="31" t="str">
        <f t="shared" si="3"/>
        <v/>
      </c>
      <c r="P36" s="31"/>
      <c r="Q36" s="31"/>
      <c r="R36" s="31"/>
      <c r="S36" s="31" t="str">
        <f t="shared" ref="S36:S42" si="24">MID(Q36,5,8)</f>
        <v/>
      </c>
      <c r="T36" s="31"/>
      <c r="U36" s="31"/>
      <c r="V36" s="31"/>
      <c r="W36" s="31"/>
      <c r="X36" s="31"/>
      <c r="Y36" s="31"/>
      <c r="Z36" s="31"/>
      <c r="AA36" s="31" t="str">
        <f t="shared" si="21"/>
        <v/>
      </c>
      <c r="AB36" s="31"/>
      <c r="AC36" s="31"/>
      <c r="AD36" s="31"/>
      <c r="AE36" s="31" t="str">
        <f t="shared" si="23"/>
        <v/>
      </c>
      <c r="AF36" s="31"/>
      <c r="AG36" s="31"/>
      <c r="AH36" s="31"/>
      <c r="AI36" s="31" t="str">
        <f t="shared" si="22"/>
        <v/>
      </c>
      <c r="AJ36" s="31"/>
      <c r="AK36" s="31"/>
      <c r="AL36" s="31"/>
      <c r="AM36" s="31" t="str">
        <f t="shared" si="19"/>
        <v/>
      </c>
      <c r="AN36" s="31"/>
      <c r="AO36" s="31"/>
      <c r="AP36" s="31"/>
      <c r="AQ36" s="31" t="str">
        <f t="shared" si="9"/>
        <v/>
      </c>
      <c r="AR36" s="31"/>
      <c r="AS36" s="31"/>
      <c r="AT36" s="31"/>
      <c r="AU36" s="31" t="str">
        <f t="shared" si="20"/>
        <v/>
      </c>
      <c r="AV36" s="31"/>
      <c r="AW36" s="31"/>
      <c r="AX36" s="31"/>
      <c r="AY36" s="31" t="str">
        <f t="shared" si="11"/>
        <v/>
      </c>
      <c r="AZ36" s="31"/>
      <c r="BA36" s="31"/>
      <c r="BB36" s="31"/>
      <c r="BC36" s="31" t="str">
        <f t="shared" si="12"/>
        <v/>
      </c>
      <c r="BD36" s="31"/>
      <c r="BE36" s="31"/>
      <c r="BF36" s="31"/>
    </row>
    <row r="37">
      <c r="A37" s="36">
        <v>1216.0</v>
      </c>
      <c r="B37" s="36" t="s">
        <v>872</v>
      </c>
      <c r="C37" s="37" t="str">
        <f t="shared" si="1"/>
        <v>TS-04_BS VI MS</v>
      </c>
      <c r="D37" s="30" t="s">
        <v>816</v>
      </c>
      <c r="E37" s="31"/>
      <c r="F37" s="30" t="s">
        <v>322</v>
      </c>
      <c r="G37" s="30" t="s">
        <v>1185</v>
      </c>
      <c r="H37" s="38">
        <v>0.0</v>
      </c>
      <c r="I37" s="31"/>
      <c r="J37" s="31"/>
      <c r="K37" s="31" t="str">
        <f t="shared" si="2"/>
        <v/>
      </c>
      <c r="L37" s="31"/>
      <c r="M37" s="31"/>
      <c r="N37" s="31"/>
      <c r="O37" s="31" t="str">
        <f t="shared" si="3"/>
        <v/>
      </c>
      <c r="P37" s="31"/>
      <c r="Q37" s="31"/>
      <c r="R37" s="31"/>
      <c r="S37" s="31" t="str">
        <f t="shared" si="24"/>
        <v/>
      </c>
      <c r="T37" s="31"/>
      <c r="U37" s="31"/>
      <c r="V37" s="31"/>
      <c r="W37" s="31"/>
      <c r="X37" s="31"/>
      <c r="Y37" s="31"/>
      <c r="Z37" s="31"/>
      <c r="AA37" s="31" t="str">
        <f t="shared" si="21"/>
        <v/>
      </c>
      <c r="AB37" s="31"/>
      <c r="AC37" s="31"/>
      <c r="AD37" s="31"/>
      <c r="AE37" s="31" t="str">
        <f t="shared" si="23"/>
        <v/>
      </c>
      <c r="AF37" s="31"/>
      <c r="AG37" s="31"/>
      <c r="AH37" s="31"/>
      <c r="AI37" s="31" t="str">
        <f t="shared" si="22"/>
        <v/>
      </c>
      <c r="AJ37" s="31"/>
      <c r="AK37" s="31"/>
      <c r="AL37" s="31"/>
      <c r="AM37" s="31" t="str">
        <f t="shared" si="19"/>
        <v/>
      </c>
      <c r="AN37" s="31"/>
      <c r="AO37" s="31"/>
      <c r="AP37" s="31"/>
      <c r="AQ37" s="31" t="str">
        <f t="shared" si="9"/>
        <v/>
      </c>
      <c r="AR37" s="31"/>
      <c r="AS37" s="31"/>
      <c r="AT37" s="31"/>
      <c r="AU37" s="31" t="str">
        <f t="shared" si="20"/>
        <v/>
      </c>
      <c r="AV37" s="31"/>
      <c r="AW37" s="31"/>
      <c r="AX37" s="31"/>
      <c r="AY37" s="31" t="str">
        <f t="shared" si="11"/>
        <v/>
      </c>
      <c r="AZ37" s="31"/>
      <c r="BA37" s="31"/>
      <c r="BB37" s="31"/>
      <c r="BC37" s="31" t="str">
        <f t="shared" si="12"/>
        <v/>
      </c>
      <c r="BD37" s="31"/>
      <c r="BE37" s="31"/>
      <c r="BF37" s="31"/>
    </row>
    <row r="38">
      <c r="A38" s="36">
        <v>1216.0</v>
      </c>
      <c r="B38" s="36" t="s">
        <v>872</v>
      </c>
      <c r="C38" s="37" t="str">
        <f t="shared" si="1"/>
        <v>TS-05_MTO</v>
      </c>
      <c r="D38" s="30" t="s">
        <v>820</v>
      </c>
      <c r="E38" s="31"/>
      <c r="F38" s="30" t="s">
        <v>432</v>
      </c>
      <c r="G38" s="30" t="s">
        <v>1186</v>
      </c>
      <c r="H38" s="38">
        <v>0.0</v>
      </c>
      <c r="I38" s="31"/>
      <c r="J38" s="31"/>
      <c r="K38" s="31" t="str">
        <f t="shared" si="2"/>
        <v/>
      </c>
      <c r="L38" s="31"/>
      <c r="M38" s="31"/>
      <c r="N38" s="31"/>
      <c r="O38" s="31" t="str">
        <f t="shared" si="3"/>
        <v/>
      </c>
      <c r="P38" s="31"/>
      <c r="Q38" s="31"/>
      <c r="R38" s="31"/>
      <c r="S38" s="31" t="str">
        <f t="shared" si="24"/>
        <v/>
      </c>
      <c r="T38" s="31"/>
      <c r="U38" s="31"/>
      <c r="V38" s="31"/>
      <c r="W38" s="31"/>
      <c r="X38" s="31"/>
      <c r="Y38" s="31"/>
      <c r="Z38" s="31"/>
      <c r="AA38" s="31" t="str">
        <f t="shared" si="21"/>
        <v/>
      </c>
      <c r="AB38" s="31"/>
      <c r="AC38" s="31"/>
      <c r="AD38" s="31"/>
      <c r="AE38" s="31" t="str">
        <f t="shared" si="23"/>
        <v/>
      </c>
      <c r="AF38" s="31"/>
      <c r="AG38" s="31"/>
      <c r="AH38" s="31"/>
      <c r="AI38" s="31" t="str">
        <f t="shared" si="22"/>
        <v/>
      </c>
      <c r="AJ38" s="31"/>
      <c r="AK38" s="31"/>
      <c r="AL38" s="31"/>
      <c r="AM38" s="31" t="str">
        <f t="shared" si="19"/>
        <v/>
      </c>
      <c r="AN38" s="31"/>
      <c r="AO38" s="31"/>
      <c r="AP38" s="31"/>
      <c r="AQ38" s="31" t="str">
        <f t="shared" si="9"/>
        <v/>
      </c>
      <c r="AR38" s="31"/>
      <c r="AS38" s="31"/>
      <c r="AT38" s="31"/>
      <c r="AU38" s="31" t="str">
        <f t="shared" si="20"/>
        <v/>
      </c>
      <c r="AV38" s="31"/>
      <c r="AW38" s="31"/>
      <c r="AX38" s="31"/>
      <c r="AY38" s="31" t="str">
        <f t="shared" si="11"/>
        <v/>
      </c>
      <c r="AZ38" s="31"/>
      <c r="BA38" s="31"/>
      <c r="BB38" s="31"/>
      <c r="BC38" s="31" t="str">
        <f t="shared" si="12"/>
        <v/>
      </c>
      <c r="BD38" s="31"/>
      <c r="BE38" s="31"/>
      <c r="BF38" s="31"/>
    </row>
    <row r="39">
      <c r="A39" s="36">
        <v>1216.0</v>
      </c>
      <c r="B39" s="36" t="s">
        <v>872</v>
      </c>
      <c r="C39" s="37" t="str">
        <f t="shared" si="1"/>
        <v>TS-06_ETHANOL</v>
      </c>
      <c r="D39" s="30" t="s">
        <v>824</v>
      </c>
      <c r="E39" s="31"/>
      <c r="F39" s="30" t="s">
        <v>405</v>
      </c>
      <c r="G39" s="30" t="s">
        <v>1187</v>
      </c>
      <c r="H39" s="38">
        <v>0.0</v>
      </c>
      <c r="I39" s="31"/>
      <c r="J39" s="31"/>
      <c r="K39" s="31" t="str">
        <f t="shared" si="2"/>
        <v/>
      </c>
      <c r="L39" s="31"/>
      <c r="M39" s="31"/>
      <c r="N39" s="31"/>
      <c r="O39" s="31" t="str">
        <f t="shared" si="3"/>
        <v/>
      </c>
      <c r="P39" s="31"/>
      <c r="Q39" s="31"/>
      <c r="R39" s="31"/>
      <c r="S39" s="31" t="str">
        <f t="shared" si="24"/>
        <v/>
      </c>
      <c r="T39" s="31"/>
      <c r="U39" s="31"/>
      <c r="V39" s="31"/>
      <c r="W39" s="31"/>
      <c r="X39" s="31"/>
      <c r="Y39" s="31"/>
      <c r="Z39" s="31"/>
      <c r="AA39" s="31" t="str">
        <f t="shared" si="21"/>
        <v/>
      </c>
      <c r="AB39" s="31"/>
      <c r="AC39" s="31"/>
      <c r="AD39" s="31"/>
      <c r="AE39" s="31" t="str">
        <f t="shared" si="23"/>
        <v/>
      </c>
      <c r="AF39" s="31"/>
      <c r="AG39" s="31"/>
      <c r="AH39" s="31"/>
      <c r="AI39" s="31" t="str">
        <f t="shared" si="22"/>
        <v/>
      </c>
      <c r="AJ39" s="31"/>
      <c r="AK39" s="31"/>
      <c r="AL39" s="31"/>
      <c r="AM39" s="31" t="str">
        <f t="shared" si="19"/>
        <v/>
      </c>
      <c r="AN39" s="31"/>
      <c r="AO39" s="31"/>
      <c r="AP39" s="31"/>
      <c r="AQ39" s="31" t="str">
        <f t="shared" si="9"/>
        <v/>
      </c>
      <c r="AR39" s="31"/>
      <c r="AS39" s="31"/>
      <c r="AT39" s="31"/>
      <c r="AU39" s="31" t="str">
        <f t="shared" si="20"/>
        <v/>
      </c>
      <c r="AV39" s="31"/>
      <c r="AW39" s="31"/>
      <c r="AX39" s="31"/>
      <c r="AY39" s="31" t="str">
        <f t="shared" si="11"/>
        <v/>
      </c>
      <c r="AZ39" s="31"/>
      <c r="BA39" s="31"/>
      <c r="BB39" s="31"/>
      <c r="BC39" s="31" t="str">
        <f t="shared" si="12"/>
        <v/>
      </c>
      <c r="BD39" s="31"/>
      <c r="BE39" s="31"/>
      <c r="BF39" s="31"/>
    </row>
    <row r="40">
      <c r="A40" s="36">
        <v>1216.0</v>
      </c>
      <c r="B40" s="36" t="s">
        <v>872</v>
      </c>
      <c r="C40" s="37" t="str">
        <f t="shared" si="1"/>
        <v>TS-07_ETHANOL</v>
      </c>
      <c r="D40" s="30" t="s">
        <v>828</v>
      </c>
      <c r="E40" s="31"/>
      <c r="F40" s="30" t="s">
        <v>405</v>
      </c>
      <c r="G40" s="30" t="s">
        <v>1188</v>
      </c>
      <c r="H40" s="38">
        <v>0.0</v>
      </c>
      <c r="I40" s="31"/>
      <c r="J40" s="31"/>
      <c r="K40" s="31" t="str">
        <f t="shared" si="2"/>
        <v/>
      </c>
      <c r="L40" s="31"/>
      <c r="M40" s="31"/>
      <c r="N40" s="31"/>
      <c r="O40" s="31" t="str">
        <f t="shared" si="3"/>
        <v/>
      </c>
      <c r="P40" s="31"/>
      <c r="Q40" s="31"/>
      <c r="R40" s="31"/>
      <c r="S40" s="31" t="str">
        <f t="shared" si="24"/>
        <v/>
      </c>
      <c r="T40" s="31"/>
      <c r="U40" s="31"/>
      <c r="V40" s="31"/>
      <c r="W40" s="31"/>
      <c r="X40" s="31"/>
      <c r="Y40" s="31"/>
      <c r="Z40" s="31"/>
      <c r="AA40" s="31" t="str">
        <f t="shared" si="21"/>
        <v/>
      </c>
      <c r="AB40" s="31"/>
      <c r="AC40" s="31"/>
      <c r="AD40" s="31"/>
      <c r="AE40" s="31" t="str">
        <f t="shared" si="23"/>
        <v/>
      </c>
      <c r="AF40" s="31"/>
      <c r="AG40" s="31"/>
      <c r="AH40" s="31"/>
      <c r="AI40" s="31" t="str">
        <f t="shared" si="22"/>
        <v/>
      </c>
      <c r="AJ40" s="31"/>
      <c r="AK40" s="31"/>
      <c r="AL40" s="31"/>
      <c r="AM40" s="31" t="str">
        <f t="shared" si="19"/>
        <v/>
      </c>
      <c r="AN40" s="31"/>
      <c r="AO40" s="31"/>
      <c r="AP40" s="31"/>
      <c r="AQ40" s="31" t="str">
        <f t="shared" si="9"/>
        <v/>
      </c>
      <c r="AR40" s="31"/>
      <c r="AS40" s="31"/>
      <c r="AT40" s="31"/>
      <c r="AU40" s="31" t="str">
        <f t="shared" si="20"/>
        <v/>
      </c>
      <c r="AV40" s="31"/>
      <c r="AW40" s="31"/>
      <c r="AX40" s="31"/>
      <c r="AY40" s="31" t="str">
        <f t="shared" si="11"/>
        <v/>
      </c>
      <c r="AZ40" s="31"/>
      <c r="BA40" s="31"/>
      <c r="BB40" s="31"/>
      <c r="BC40" s="31" t="str">
        <f t="shared" si="12"/>
        <v/>
      </c>
      <c r="BD40" s="31"/>
      <c r="BE40" s="31"/>
      <c r="BF40" s="31"/>
    </row>
    <row r="41">
      <c r="A41" s="36">
        <v>1216.0</v>
      </c>
      <c r="B41" s="36" t="s">
        <v>872</v>
      </c>
      <c r="C41" s="37" t="str">
        <f t="shared" si="1"/>
        <v>TS-08_ETHANOL</v>
      </c>
      <c r="D41" s="30" t="s">
        <v>832</v>
      </c>
      <c r="E41" s="31"/>
      <c r="F41" s="30" t="s">
        <v>405</v>
      </c>
      <c r="G41" s="30" t="s">
        <v>1189</v>
      </c>
      <c r="H41" s="38">
        <v>0.0</v>
      </c>
      <c r="I41" s="31"/>
      <c r="J41" s="31"/>
      <c r="K41" s="31" t="str">
        <f t="shared" si="2"/>
        <v/>
      </c>
      <c r="L41" s="31"/>
      <c r="M41" s="31"/>
      <c r="N41" s="31"/>
      <c r="O41" s="31" t="str">
        <f t="shared" si="3"/>
        <v/>
      </c>
      <c r="P41" s="31"/>
      <c r="Q41" s="31"/>
      <c r="R41" s="31"/>
      <c r="S41" s="31" t="str">
        <f t="shared" si="24"/>
        <v/>
      </c>
      <c r="T41" s="31"/>
      <c r="U41" s="31"/>
      <c r="V41" s="31"/>
      <c r="W41" s="31"/>
      <c r="X41" s="31"/>
      <c r="Y41" s="31"/>
      <c r="Z41" s="31"/>
      <c r="AA41" s="31" t="str">
        <f t="shared" si="21"/>
        <v/>
      </c>
      <c r="AB41" s="31"/>
      <c r="AC41" s="31"/>
      <c r="AD41" s="31"/>
      <c r="AE41" s="31" t="str">
        <f t="shared" si="23"/>
        <v/>
      </c>
      <c r="AF41" s="31"/>
      <c r="AG41" s="31"/>
      <c r="AH41" s="31"/>
      <c r="AI41" s="31" t="str">
        <f t="shared" si="22"/>
        <v/>
      </c>
      <c r="AJ41" s="31"/>
      <c r="AK41" s="31"/>
      <c r="AL41" s="31"/>
      <c r="AM41" s="31" t="str">
        <f t="shared" si="19"/>
        <v/>
      </c>
      <c r="AN41" s="31"/>
      <c r="AO41" s="31"/>
      <c r="AP41" s="31"/>
      <c r="AQ41" s="31" t="str">
        <f t="shared" si="9"/>
        <v/>
      </c>
      <c r="AR41" s="31"/>
      <c r="AS41" s="31"/>
      <c r="AT41" s="31"/>
      <c r="AU41" s="31" t="str">
        <f t="shared" si="20"/>
        <v/>
      </c>
      <c r="AV41" s="31"/>
      <c r="AW41" s="31"/>
      <c r="AX41" s="31"/>
      <c r="AY41" s="31" t="str">
        <f t="shared" si="11"/>
        <v/>
      </c>
      <c r="AZ41" s="31"/>
      <c r="BA41" s="31"/>
      <c r="BB41" s="31"/>
      <c r="BC41" s="31" t="str">
        <f t="shared" si="12"/>
        <v/>
      </c>
      <c r="BD41" s="31"/>
      <c r="BE41" s="31"/>
      <c r="BF41" s="31"/>
    </row>
    <row r="42">
      <c r="A42" s="36">
        <v>1216.0</v>
      </c>
      <c r="B42" s="36" t="s">
        <v>872</v>
      </c>
      <c r="C42" s="37" t="str">
        <f t="shared" si="1"/>
        <v>TS-09_ATF</v>
      </c>
      <c r="D42" s="30" t="s">
        <v>836</v>
      </c>
      <c r="E42" s="31"/>
      <c r="F42" s="30" t="s">
        <v>562</v>
      </c>
      <c r="G42" s="30" t="s">
        <v>1190</v>
      </c>
      <c r="H42" s="38">
        <v>0.0</v>
      </c>
      <c r="I42" s="31"/>
      <c r="J42" s="31"/>
      <c r="K42" s="31" t="str">
        <f t="shared" si="2"/>
        <v/>
      </c>
      <c r="L42" s="31"/>
      <c r="M42" s="31"/>
      <c r="N42" s="31"/>
      <c r="O42" s="31" t="str">
        <f t="shared" si="3"/>
        <v/>
      </c>
      <c r="P42" s="31"/>
      <c r="Q42" s="31"/>
      <c r="R42" s="31"/>
      <c r="S42" s="31" t="str">
        <f t="shared" si="24"/>
        <v/>
      </c>
      <c r="T42" s="31"/>
      <c r="U42" s="31"/>
      <c r="V42" s="31"/>
      <c r="W42" s="31"/>
      <c r="X42" s="31"/>
      <c r="Y42" s="31"/>
      <c r="Z42" s="31"/>
      <c r="AA42" s="31" t="str">
        <f t="shared" si="21"/>
        <v/>
      </c>
      <c r="AB42" s="31"/>
      <c r="AC42" s="31"/>
      <c r="AD42" s="31"/>
      <c r="AE42" s="31" t="str">
        <f t="shared" si="23"/>
        <v/>
      </c>
      <c r="AF42" s="31"/>
      <c r="AG42" s="31"/>
      <c r="AH42" s="31"/>
      <c r="AI42" s="31" t="str">
        <f t="shared" si="22"/>
        <v/>
      </c>
      <c r="AJ42" s="31"/>
      <c r="AK42" s="31"/>
      <c r="AL42" s="31"/>
      <c r="AM42" s="31" t="str">
        <f t="shared" si="19"/>
        <v/>
      </c>
      <c r="AN42" s="31"/>
      <c r="AO42" s="31"/>
      <c r="AP42" s="31"/>
      <c r="AQ42" s="31" t="str">
        <f t="shared" si="9"/>
        <v/>
      </c>
      <c r="AR42" s="31"/>
      <c r="AS42" s="31"/>
      <c r="AT42" s="31"/>
      <c r="AU42" s="31" t="str">
        <f t="shared" si="20"/>
        <v/>
      </c>
      <c r="AV42" s="31"/>
      <c r="AW42" s="31"/>
      <c r="AX42" s="31"/>
      <c r="AY42" s="31" t="str">
        <f t="shared" si="11"/>
        <v/>
      </c>
      <c r="AZ42" s="31"/>
      <c r="BA42" s="31"/>
      <c r="BB42" s="31"/>
      <c r="BC42" s="31" t="str">
        <f t="shared" si="12"/>
        <v/>
      </c>
      <c r="BD42" s="31"/>
      <c r="BE42" s="31"/>
      <c r="BF42" s="31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7.38"/>
    <col customWidth="1" min="8" max="8" width="17.5"/>
    <col customWidth="1" min="10" max="10" width="18.25"/>
    <col customWidth="1" min="12" max="12" width="15.38"/>
    <col customWidth="1" min="14" max="14" width="31.88"/>
  </cols>
  <sheetData>
    <row r="1">
      <c r="A1" s="42" t="s">
        <v>0</v>
      </c>
      <c r="B1" s="42" t="s">
        <v>1</v>
      </c>
      <c r="C1" s="42" t="s">
        <v>2</v>
      </c>
      <c r="D1" s="42" t="s">
        <v>1191</v>
      </c>
      <c r="E1" s="42" t="s">
        <v>1192</v>
      </c>
      <c r="F1" s="42" t="s">
        <v>1193</v>
      </c>
      <c r="G1" s="1" t="s">
        <v>1194</v>
      </c>
      <c r="H1" s="43" t="s">
        <v>1195</v>
      </c>
      <c r="I1" s="44" t="s">
        <v>1196</v>
      </c>
      <c r="J1" s="43" t="s">
        <v>1197</v>
      </c>
      <c r="K1" s="44" t="s">
        <v>1198</v>
      </c>
      <c r="L1" s="43" t="s">
        <v>1199</v>
      </c>
      <c r="M1" s="44" t="s">
        <v>1200</v>
      </c>
      <c r="N1" s="45" t="s">
        <v>1201</v>
      </c>
      <c r="O1" s="46" t="s">
        <v>14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8">
        <v>1216.0</v>
      </c>
      <c r="B2" s="8" t="s">
        <v>50</v>
      </c>
      <c r="C2" s="9" t="str">
        <f t="shared" ref="C2:C54" si="1">CONCATENATE(D2,"_",E2)</f>
        <v>ETH-PMP1_ETHANOL</v>
      </c>
      <c r="D2" s="21" t="s">
        <v>1202</v>
      </c>
      <c r="E2" s="21" t="s">
        <v>405</v>
      </c>
      <c r="F2" s="21" t="s">
        <v>1203</v>
      </c>
      <c r="G2" s="9"/>
      <c r="H2" s="11" t="s">
        <v>1204</v>
      </c>
      <c r="I2" s="47">
        <v>1.0</v>
      </c>
      <c r="J2" s="11" t="s">
        <v>1205</v>
      </c>
      <c r="K2" s="47">
        <v>0.0</v>
      </c>
      <c r="L2" s="11" t="s">
        <v>1206</v>
      </c>
      <c r="M2" s="47">
        <v>0.0</v>
      </c>
      <c r="N2" s="48"/>
      <c r="O2" s="11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8">
        <v>1216.0</v>
      </c>
      <c r="B3" s="8" t="s">
        <v>50</v>
      </c>
      <c r="C3" s="9" t="str">
        <f t="shared" si="1"/>
        <v>ETH-PMP2_ETHANOL</v>
      </c>
      <c r="D3" s="21" t="s">
        <v>1207</v>
      </c>
      <c r="E3" s="21" t="s">
        <v>405</v>
      </c>
      <c r="F3" s="21" t="s">
        <v>1203</v>
      </c>
      <c r="G3" s="27"/>
      <c r="H3" s="11" t="s">
        <v>1208</v>
      </c>
      <c r="I3" s="47">
        <v>1.0</v>
      </c>
      <c r="J3" s="11" t="s">
        <v>1209</v>
      </c>
      <c r="K3" s="47">
        <v>0.0</v>
      </c>
      <c r="L3" s="11" t="s">
        <v>1210</v>
      </c>
      <c r="M3" s="47">
        <v>0.0</v>
      </c>
      <c r="N3" s="48"/>
      <c r="O3" s="11"/>
    </row>
    <row r="4">
      <c r="A4" s="8">
        <v>1216.0</v>
      </c>
      <c r="B4" s="8" t="s">
        <v>50</v>
      </c>
      <c r="C4" s="9" t="str">
        <f t="shared" si="1"/>
        <v>PMP-01_POWER</v>
      </c>
      <c r="D4" s="21" t="s">
        <v>1211</v>
      </c>
      <c r="E4" s="21" t="s">
        <v>1212</v>
      </c>
      <c r="F4" s="21" t="s">
        <v>1203</v>
      </c>
      <c r="G4" s="27"/>
      <c r="H4" s="11" t="s">
        <v>1213</v>
      </c>
      <c r="I4" s="47">
        <v>1.0</v>
      </c>
      <c r="J4" s="11" t="s">
        <v>1214</v>
      </c>
      <c r="K4" s="47">
        <v>0.0</v>
      </c>
      <c r="L4" s="11" t="s">
        <v>1215</v>
      </c>
      <c r="M4" s="47">
        <v>0.0</v>
      </c>
      <c r="N4" s="11" t="s">
        <v>1216</v>
      </c>
      <c r="O4" s="47">
        <v>0.0</v>
      </c>
    </row>
    <row r="5">
      <c r="A5" s="8">
        <v>1216.0</v>
      </c>
      <c r="B5" s="8" t="s">
        <v>50</v>
      </c>
      <c r="C5" s="9" t="str">
        <f t="shared" si="1"/>
        <v>PMP-02_POWER</v>
      </c>
      <c r="D5" s="21" t="s">
        <v>1217</v>
      </c>
      <c r="E5" s="21" t="s">
        <v>1212</v>
      </c>
      <c r="F5" s="21" t="s">
        <v>1203</v>
      </c>
      <c r="G5" s="27"/>
      <c r="H5" s="11" t="s">
        <v>1218</v>
      </c>
      <c r="I5" s="47">
        <v>1.0</v>
      </c>
      <c r="J5" s="11" t="s">
        <v>1219</v>
      </c>
      <c r="K5" s="47">
        <v>0.0</v>
      </c>
      <c r="L5" s="11" t="s">
        <v>1220</v>
      </c>
      <c r="M5" s="47">
        <v>0.0</v>
      </c>
      <c r="N5" s="11" t="s">
        <v>1221</v>
      </c>
      <c r="O5" s="47">
        <v>0.0</v>
      </c>
    </row>
    <row r="6">
      <c r="A6" s="8">
        <v>1216.0</v>
      </c>
      <c r="B6" s="8" t="s">
        <v>50</v>
      </c>
      <c r="C6" s="9" t="str">
        <f t="shared" si="1"/>
        <v>PMP-03_TURBO</v>
      </c>
      <c r="D6" s="21" t="s">
        <v>1222</v>
      </c>
      <c r="E6" s="21" t="s">
        <v>1223</v>
      </c>
      <c r="F6" s="21" t="s">
        <v>1203</v>
      </c>
      <c r="G6" s="27"/>
      <c r="H6" s="11" t="s">
        <v>1224</v>
      </c>
      <c r="I6" s="47">
        <v>1.0</v>
      </c>
      <c r="J6" s="11" t="s">
        <v>1225</v>
      </c>
      <c r="K6" s="47">
        <v>0.0</v>
      </c>
      <c r="L6" s="11" t="s">
        <v>1226</v>
      </c>
      <c r="M6" s="47">
        <v>0.0</v>
      </c>
      <c r="N6" s="11" t="s">
        <v>1227</v>
      </c>
      <c r="O6" s="47">
        <v>0.0</v>
      </c>
    </row>
    <row r="7">
      <c r="A7" s="8">
        <v>1216.0</v>
      </c>
      <c r="B7" s="8" t="s">
        <v>50</v>
      </c>
      <c r="C7" s="9" t="str">
        <f t="shared" si="1"/>
        <v>PMP-04_TURBO</v>
      </c>
      <c r="D7" s="21" t="s">
        <v>1228</v>
      </c>
      <c r="E7" s="21" t="s">
        <v>1223</v>
      </c>
      <c r="F7" s="21" t="s">
        <v>1203</v>
      </c>
      <c r="G7" s="27"/>
      <c r="H7" s="11" t="s">
        <v>1229</v>
      </c>
      <c r="I7" s="47">
        <v>1.0</v>
      </c>
      <c r="J7" s="11" t="s">
        <v>1230</v>
      </c>
      <c r="K7" s="47">
        <v>0.0</v>
      </c>
      <c r="L7" s="11" t="s">
        <v>1231</v>
      </c>
      <c r="M7" s="47">
        <v>0.0</v>
      </c>
      <c r="N7" s="11" t="s">
        <v>1232</v>
      </c>
      <c r="O7" s="47">
        <v>0.0</v>
      </c>
    </row>
    <row r="8">
      <c r="A8" s="8">
        <v>1216.0</v>
      </c>
      <c r="B8" s="8" t="s">
        <v>50</v>
      </c>
      <c r="C8" s="9" t="str">
        <f t="shared" si="1"/>
        <v>PMP-05_BS VI HSD</v>
      </c>
      <c r="D8" s="21" t="s">
        <v>1233</v>
      </c>
      <c r="E8" s="21" t="s">
        <v>53</v>
      </c>
      <c r="F8" s="21" t="s">
        <v>1203</v>
      </c>
      <c r="G8" s="27"/>
      <c r="H8" s="11" t="s">
        <v>1234</v>
      </c>
      <c r="I8" s="47">
        <v>1.0</v>
      </c>
      <c r="J8" s="11" t="s">
        <v>1235</v>
      </c>
      <c r="K8" s="47">
        <v>0.0</v>
      </c>
      <c r="L8" s="11" t="s">
        <v>1236</v>
      </c>
      <c r="M8" s="47">
        <v>0.0</v>
      </c>
      <c r="N8" s="11" t="s">
        <v>1237</v>
      </c>
      <c r="O8" s="47">
        <v>0.0</v>
      </c>
    </row>
    <row r="9">
      <c r="A9" s="8">
        <v>1216.0</v>
      </c>
      <c r="B9" s="8" t="s">
        <v>50</v>
      </c>
      <c r="C9" s="9" t="str">
        <f t="shared" si="1"/>
        <v>PMP-06_BS VI HSD</v>
      </c>
      <c r="D9" s="21" t="s">
        <v>1238</v>
      </c>
      <c r="E9" s="21" t="s">
        <v>53</v>
      </c>
      <c r="F9" s="21" t="s">
        <v>1203</v>
      </c>
      <c r="G9" s="27"/>
      <c r="H9" s="11" t="s">
        <v>1239</v>
      </c>
      <c r="I9" s="47">
        <v>1.0</v>
      </c>
      <c r="J9" s="11" t="s">
        <v>1240</v>
      </c>
      <c r="K9" s="47">
        <v>0.0</v>
      </c>
      <c r="L9" s="11" t="s">
        <v>1241</v>
      </c>
      <c r="M9" s="47">
        <v>0.0</v>
      </c>
      <c r="N9" s="11" t="s">
        <v>1242</v>
      </c>
      <c r="O9" s="47">
        <v>0.0</v>
      </c>
    </row>
    <row r="10">
      <c r="A10" s="8">
        <v>1216.0</v>
      </c>
      <c r="B10" s="8" t="s">
        <v>50</v>
      </c>
      <c r="C10" s="9" t="str">
        <f t="shared" si="1"/>
        <v>PMP-07_BS VI HSD</v>
      </c>
      <c r="D10" s="21" t="s">
        <v>1243</v>
      </c>
      <c r="E10" s="21" t="s">
        <v>53</v>
      </c>
      <c r="F10" s="21" t="s">
        <v>1203</v>
      </c>
      <c r="G10" s="27"/>
      <c r="H10" s="11" t="s">
        <v>1244</v>
      </c>
      <c r="I10" s="47">
        <v>1.0</v>
      </c>
      <c r="J10" s="11" t="s">
        <v>1245</v>
      </c>
      <c r="K10" s="47">
        <v>0.0</v>
      </c>
      <c r="L10" s="11" t="s">
        <v>1246</v>
      </c>
      <c r="M10" s="47">
        <v>0.0</v>
      </c>
      <c r="N10" s="11" t="s">
        <v>1247</v>
      </c>
      <c r="O10" s="47">
        <v>0.0</v>
      </c>
    </row>
    <row r="11">
      <c r="A11" s="8">
        <v>1216.0</v>
      </c>
      <c r="B11" s="8" t="s">
        <v>50</v>
      </c>
      <c r="C11" s="9" t="str">
        <f t="shared" si="1"/>
        <v>PMP-09_BS VI HSD</v>
      </c>
      <c r="D11" s="21" t="s">
        <v>1248</v>
      </c>
      <c r="E11" s="21" t="s">
        <v>53</v>
      </c>
      <c r="F11" s="21" t="s">
        <v>1203</v>
      </c>
      <c r="G11" s="27"/>
      <c r="H11" s="11" t="s">
        <v>1249</v>
      </c>
      <c r="I11" s="47">
        <v>1.0</v>
      </c>
      <c r="J11" s="11" t="s">
        <v>1250</v>
      </c>
      <c r="K11" s="47">
        <v>0.0</v>
      </c>
      <c r="L11" s="11" t="s">
        <v>1251</v>
      </c>
      <c r="M11" s="47">
        <v>0.0</v>
      </c>
      <c r="N11" s="11" t="s">
        <v>1252</v>
      </c>
      <c r="O11" s="47">
        <v>0.0</v>
      </c>
    </row>
    <row r="12">
      <c r="A12" s="8">
        <v>1216.0</v>
      </c>
      <c r="B12" s="8" t="s">
        <v>50</v>
      </c>
      <c r="C12" s="9" t="str">
        <f t="shared" si="1"/>
        <v>PMP-10_BS VI HSD</v>
      </c>
      <c r="D12" s="21" t="s">
        <v>1253</v>
      </c>
      <c r="E12" s="21" t="s">
        <v>53</v>
      </c>
      <c r="F12" s="21" t="s">
        <v>1203</v>
      </c>
      <c r="G12" s="27"/>
      <c r="H12" s="11" t="s">
        <v>1254</v>
      </c>
      <c r="I12" s="47">
        <v>1.0</v>
      </c>
      <c r="J12" s="11" t="s">
        <v>1255</v>
      </c>
      <c r="K12" s="47">
        <v>0.0</v>
      </c>
      <c r="L12" s="11" t="s">
        <v>1256</v>
      </c>
      <c r="M12" s="47">
        <v>0.0</v>
      </c>
      <c r="N12" s="11" t="s">
        <v>1257</v>
      </c>
      <c r="O12" s="47">
        <v>0.0</v>
      </c>
    </row>
    <row r="13">
      <c r="A13" s="8">
        <v>1216.0</v>
      </c>
      <c r="B13" s="8" t="s">
        <v>50</v>
      </c>
      <c r="C13" s="9" t="str">
        <f t="shared" si="1"/>
        <v>PMP-11_BLUE DYE</v>
      </c>
      <c r="D13" s="21" t="s">
        <v>1258</v>
      </c>
      <c r="E13" s="21" t="s">
        <v>1259</v>
      </c>
      <c r="F13" s="21" t="s">
        <v>1203</v>
      </c>
      <c r="G13" s="27"/>
      <c r="H13" s="11" t="s">
        <v>1260</v>
      </c>
      <c r="I13" s="47">
        <v>1.0</v>
      </c>
      <c r="J13" s="11" t="s">
        <v>1261</v>
      </c>
      <c r="K13" s="47">
        <v>0.0</v>
      </c>
      <c r="L13" s="11" t="s">
        <v>1262</v>
      </c>
      <c r="M13" s="47">
        <v>0.0</v>
      </c>
      <c r="N13" s="11" t="s">
        <v>1263</v>
      </c>
      <c r="O13" s="47">
        <v>0.0</v>
      </c>
    </row>
    <row r="14">
      <c r="A14" s="8">
        <v>1216.0</v>
      </c>
      <c r="B14" s="8" t="s">
        <v>50</v>
      </c>
      <c r="C14" s="9" t="str">
        <f t="shared" si="1"/>
        <v>PMP-12_BLUE DYE</v>
      </c>
      <c r="D14" s="21" t="s">
        <v>1264</v>
      </c>
      <c r="E14" s="21" t="s">
        <v>1259</v>
      </c>
      <c r="F14" s="21" t="s">
        <v>1203</v>
      </c>
      <c r="G14" s="27"/>
      <c r="H14" s="11" t="s">
        <v>1265</v>
      </c>
      <c r="I14" s="47">
        <v>1.0</v>
      </c>
      <c r="J14" s="11" t="s">
        <v>1266</v>
      </c>
      <c r="K14" s="47">
        <v>0.0</v>
      </c>
      <c r="L14" s="11" t="s">
        <v>1267</v>
      </c>
      <c r="M14" s="47">
        <v>0.0</v>
      </c>
      <c r="N14" s="11" t="s">
        <v>1268</v>
      </c>
      <c r="O14" s="47">
        <v>0.0</v>
      </c>
    </row>
    <row r="15">
      <c r="A15" s="8">
        <v>1216.0</v>
      </c>
      <c r="B15" s="8" t="s">
        <v>50</v>
      </c>
      <c r="C15" s="9" t="str">
        <f t="shared" si="1"/>
        <v>PMP-15_BS VI MS</v>
      </c>
      <c r="D15" s="21" t="s">
        <v>1269</v>
      </c>
      <c r="E15" s="21" t="s">
        <v>322</v>
      </c>
      <c r="F15" s="21" t="s">
        <v>1203</v>
      </c>
      <c r="G15" s="27"/>
      <c r="H15" s="11" t="s">
        <v>1270</v>
      </c>
      <c r="I15" s="47">
        <v>1.0</v>
      </c>
      <c r="J15" s="11" t="s">
        <v>1271</v>
      </c>
      <c r="K15" s="47">
        <v>0.0</v>
      </c>
      <c r="L15" s="11" t="s">
        <v>1272</v>
      </c>
      <c r="M15" s="47">
        <v>0.0</v>
      </c>
      <c r="N15" s="11" t="s">
        <v>1273</v>
      </c>
      <c r="O15" s="47">
        <v>0.0</v>
      </c>
    </row>
    <row r="16">
      <c r="A16" s="8">
        <v>1216.0</v>
      </c>
      <c r="B16" s="8" t="s">
        <v>50</v>
      </c>
      <c r="C16" s="9" t="str">
        <f t="shared" si="1"/>
        <v>PMP-16_BS VI MS</v>
      </c>
      <c r="D16" s="21" t="s">
        <v>1274</v>
      </c>
      <c r="E16" s="21" t="s">
        <v>322</v>
      </c>
      <c r="F16" s="21" t="s">
        <v>1203</v>
      </c>
      <c r="G16" s="27"/>
      <c r="H16" s="11" t="s">
        <v>1275</v>
      </c>
      <c r="I16" s="47">
        <v>1.0</v>
      </c>
      <c r="J16" s="11" t="s">
        <v>1276</v>
      </c>
      <c r="K16" s="47">
        <v>0.0</v>
      </c>
      <c r="L16" s="11" t="s">
        <v>1277</v>
      </c>
      <c r="M16" s="47">
        <v>0.0</v>
      </c>
      <c r="N16" s="11" t="s">
        <v>1278</v>
      </c>
      <c r="O16" s="47">
        <v>0.0</v>
      </c>
    </row>
    <row r="17">
      <c r="A17" s="8">
        <v>1216.0</v>
      </c>
      <c r="B17" s="8" t="s">
        <v>50</v>
      </c>
      <c r="C17" s="9" t="str">
        <f t="shared" si="1"/>
        <v>PMP-17_BS VI MS</v>
      </c>
      <c r="D17" s="21" t="s">
        <v>1279</v>
      </c>
      <c r="E17" s="21" t="s">
        <v>322</v>
      </c>
      <c r="F17" s="21" t="s">
        <v>1203</v>
      </c>
      <c r="G17" s="27"/>
      <c r="H17" s="11" t="s">
        <v>1280</v>
      </c>
      <c r="I17" s="47">
        <v>1.0</v>
      </c>
      <c r="J17" s="11" t="s">
        <v>1281</v>
      </c>
      <c r="K17" s="47">
        <v>0.0</v>
      </c>
      <c r="L17" s="11" t="s">
        <v>1282</v>
      </c>
      <c r="M17" s="47">
        <v>0.0</v>
      </c>
      <c r="N17" s="11" t="s">
        <v>1283</v>
      </c>
      <c r="O17" s="47">
        <v>0.0</v>
      </c>
    </row>
    <row r="18">
      <c r="A18" s="8">
        <v>1216.0</v>
      </c>
      <c r="B18" s="8" t="s">
        <v>50</v>
      </c>
      <c r="C18" s="9" t="str">
        <f t="shared" si="1"/>
        <v>PMP-18_BS VI MS</v>
      </c>
      <c r="D18" s="21" t="s">
        <v>1284</v>
      </c>
      <c r="E18" s="21" t="s">
        <v>322</v>
      </c>
      <c r="F18" s="21" t="s">
        <v>1203</v>
      </c>
      <c r="G18" s="27"/>
      <c r="H18" s="11" t="s">
        <v>1285</v>
      </c>
      <c r="I18" s="47">
        <v>1.0</v>
      </c>
      <c r="J18" s="11" t="s">
        <v>1286</v>
      </c>
      <c r="K18" s="47">
        <v>0.0</v>
      </c>
      <c r="L18" s="11" t="s">
        <v>1287</v>
      </c>
      <c r="M18" s="47">
        <v>0.0</v>
      </c>
      <c r="N18" s="11" t="s">
        <v>1288</v>
      </c>
      <c r="O18" s="47">
        <v>0.0</v>
      </c>
    </row>
    <row r="19">
      <c r="A19" s="8">
        <v>1216.0</v>
      </c>
      <c r="B19" s="8" t="s">
        <v>50</v>
      </c>
      <c r="C19" s="9" t="str">
        <f t="shared" si="1"/>
        <v>PMP-19_BS VI MS</v>
      </c>
      <c r="D19" s="21" t="s">
        <v>1289</v>
      </c>
      <c r="E19" s="21" t="s">
        <v>322</v>
      </c>
      <c r="F19" s="21" t="s">
        <v>1203</v>
      </c>
      <c r="G19" s="27"/>
      <c r="H19" s="11" t="s">
        <v>1290</v>
      </c>
      <c r="I19" s="47">
        <v>1.0</v>
      </c>
      <c r="J19" s="11" t="s">
        <v>1291</v>
      </c>
      <c r="K19" s="47">
        <v>0.0</v>
      </c>
      <c r="L19" s="11" t="s">
        <v>1292</v>
      </c>
      <c r="M19" s="47">
        <v>0.0</v>
      </c>
      <c r="N19" s="11" t="s">
        <v>1293</v>
      </c>
      <c r="O19" s="47">
        <v>0.0</v>
      </c>
    </row>
    <row r="20">
      <c r="A20" s="8">
        <v>1216.0</v>
      </c>
      <c r="B20" s="8" t="s">
        <v>50</v>
      </c>
      <c r="C20" s="9" t="str">
        <f t="shared" si="1"/>
        <v>PMP-24_BS VI HSD</v>
      </c>
      <c r="D20" s="21" t="s">
        <v>1294</v>
      </c>
      <c r="E20" s="21" t="s">
        <v>53</v>
      </c>
      <c r="F20" s="21" t="s">
        <v>1203</v>
      </c>
      <c r="G20" s="27"/>
      <c r="H20" s="11" t="s">
        <v>1295</v>
      </c>
      <c r="I20" s="47">
        <v>1.0</v>
      </c>
      <c r="J20" s="11" t="s">
        <v>1296</v>
      </c>
      <c r="K20" s="47">
        <v>0.0</v>
      </c>
      <c r="L20" s="11" t="s">
        <v>1297</v>
      </c>
      <c r="M20" s="47">
        <v>0.0</v>
      </c>
      <c r="N20" s="11" t="s">
        <v>1298</v>
      </c>
      <c r="O20" s="47">
        <v>0.0</v>
      </c>
    </row>
    <row r="21">
      <c r="A21" s="8">
        <v>1216.0</v>
      </c>
      <c r="B21" s="8" t="s">
        <v>50</v>
      </c>
      <c r="C21" s="9" t="str">
        <f t="shared" si="1"/>
        <v>PMP-25_BS VI HSD</v>
      </c>
      <c r="D21" s="21" t="s">
        <v>1299</v>
      </c>
      <c r="E21" s="21" t="s">
        <v>53</v>
      </c>
      <c r="F21" s="21" t="s">
        <v>1203</v>
      </c>
      <c r="G21" s="27"/>
      <c r="H21" s="11" t="s">
        <v>1300</v>
      </c>
      <c r="I21" s="47">
        <v>1.0</v>
      </c>
      <c r="J21" s="11" t="s">
        <v>1301</v>
      </c>
      <c r="K21" s="47">
        <v>0.0</v>
      </c>
      <c r="L21" s="11" t="s">
        <v>1302</v>
      </c>
      <c r="M21" s="47">
        <v>0.0</v>
      </c>
      <c r="N21" s="11" t="s">
        <v>1303</v>
      </c>
      <c r="O21" s="47">
        <v>0.0</v>
      </c>
    </row>
    <row r="22">
      <c r="A22" s="8">
        <v>1216.0</v>
      </c>
      <c r="B22" s="8" t="s">
        <v>50</v>
      </c>
      <c r="C22" s="9" t="str">
        <f t="shared" si="1"/>
        <v>PMP-26_BS VI HSD</v>
      </c>
      <c r="D22" s="21" t="s">
        <v>1304</v>
      </c>
      <c r="E22" s="21" t="s">
        <v>53</v>
      </c>
      <c r="F22" s="21" t="s">
        <v>1203</v>
      </c>
      <c r="G22" s="27"/>
      <c r="H22" s="11" t="s">
        <v>1305</v>
      </c>
      <c r="I22" s="47">
        <v>1.0</v>
      </c>
      <c r="J22" s="11" t="s">
        <v>1306</v>
      </c>
      <c r="K22" s="47">
        <v>0.0</v>
      </c>
      <c r="L22" s="11" t="s">
        <v>1307</v>
      </c>
      <c r="M22" s="47">
        <v>0.0</v>
      </c>
      <c r="N22" s="11" t="s">
        <v>1308</v>
      </c>
      <c r="O22" s="47">
        <v>0.0</v>
      </c>
    </row>
    <row r="23">
      <c r="A23" s="8">
        <v>1216.0</v>
      </c>
      <c r="B23" s="8" t="s">
        <v>50</v>
      </c>
      <c r="C23" s="9" t="str">
        <f t="shared" si="1"/>
        <v>PMP-28_NAPHTHA</v>
      </c>
      <c r="D23" s="21" t="s">
        <v>1309</v>
      </c>
      <c r="E23" s="21" t="s">
        <v>245</v>
      </c>
      <c r="F23" s="21" t="s">
        <v>1310</v>
      </c>
      <c r="G23" s="27"/>
      <c r="H23" s="11" t="s">
        <v>1311</v>
      </c>
      <c r="I23" s="47">
        <v>1.0</v>
      </c>
      <c r="J23" s="11" t="s">
        <v>1312</v>
      </c>
      <c r="K23" s="47">
        <v>0.0</v>
      </c>
      <c r="L23" s="11" t="s">
        <v>1313</v>
      </c>
      <c r="M23" s="47">
        <v>0.0</v>
      </c>
      <c r="N23" s="11" t="s">
        <v>1314</v>
      </c>
      <c r="O23" s="47">
        <v>0.0</v>
      </c>
    </row>
    <row r="24">
      <c r="A24" s="8">
        <v>1216.0</v>
      </c>
      <c r="B24" s="8" t="s">
        <v>50</v>
      </c>
      <c r="C24" s="9" t="str">
        <f t="shared" si="1"/>
        <v>PMP-29_NAPHTHA</v>
      </c>
      <c r="D24" s="21" t="s">
        <v>1315</v>
      </c>
      <c r="E24" s="21" t="s">
        <v>245</v>
      </c>
      <c r="F24" s="21" t="s">
        <v>1310</v>
      </c>
      <c r="G24" s="27"/>
      <c r="H24" s="11" t="s">
        <v>1316</v>
      </c>
      <c r="I24" s="47">
        <v>1.0</v>
      </c>
      <c r="J24" s="11" t="s">
        <v>1317</v>
      </c>
      <c r="K24" s="47">
        <v>0.0</v>
      </c>
      <c r="L24" s="11" t="s">
        <v>1318</v>
      </c>
      <c r="M24" s="47">
        <v>0.0</v>
      </c>
      <c r="N24" s="11" t="s">
        <v>1319</v>
      </c>
      <c r="O24" s="47">
        <v>0.0</v>
      </c>
    </row>
    <row r="25">
      <c r="A25" s="8">
        <v>1216.0</v>
      </c>
      <c r="B25" s="8" t="s">
        <v>50</v>
      </c>
      <c r="C25" s="9" t="str">
        <f t="shared" si="1"/>
        <v>PMP-30_NAPHTHA</v>
      </c>
      <c r="D25" s="21" t="s">
        <v>1320</v>
      </c>
      <c r="E25" s="21" t="s">
        <v>245</v>
      </c>
      <c r="F25" s="21" t="s">
        <v>1310</v>
      </c>
      <c r="G25" s="27"/>
      <c r="H25" s="11" t="s">
        <v>1321</v>
      </c>
      <c r="I25" s="47">
        <v>1.0</v>
      </c>
      <c r="J25" s="11" t="s">
        <v>1322</v>
      </c>
      <c r="K25" s="47">
        <v>0.0</v>
      </c>
      <c r="L25" s="11" t="s">
        <v>1323</v>
      </c>
      <c r="M25" s="47">
        <v>0.0</v>
      </c>
      <c r="N25" s="11" t="s">
        <v>1324</v>
      </c>
      <c r="O25" s="47">
        <v>0.0</v>
      </c>
    </row>
    <row r="26">
      <c r="A26" s="8">
        <v>1216.0</v>
      </c>
      <c r="B26" s="8" t="s">
        <v>50</v>
      </c>
      <c r="C26" s="9" t="str">
        <f t="shared" si="1"/>
        <v>PMP-31_BS VI HSD</v>
      </c>
      <c r="D26" s="21" t="s">
        <v>1325</v>
      </c>
      <c r="E26" s="21" t="s">
        <v>53</v>
      </c>
      <c r="F26" s="21" t="s">
        <v>1310</v>
      </c>
      <c r="G26" s="27"/>
      <c r="H26" s="11" t="s">
        <v>1326</v>
      </c>
      <c r="I26" s="47">
        <v>1.0</v>
      </c>
      <c r="J26" s="11" t="s">
        <v>1327</v>
      </c>
      <c r="K26" s="47">
        <v>0.0</v>
      </c>
      <c r="L26" s="11" t="s">
        <v>1328</v>
      </c>
      <c r="M26" s="47">
        <v>0.0</v>
      </c>
      <c r="N26" s="11" t="s">
        <v>1329</v>
      </c>
      <c r="O26" s="47">
        <v>0.0</v>
      </c>
    </row>
    <row r="27">
      <c r="A27" s="8">
        <v>1216.0</v>
      </c>
      <c r="B27" s="8" t="s">
        <v>50</v>
      </c>
      <c r="C27" s="9" t="str">
        <f t="shared" si="1"/>
        <v>PMP-32_BS VI HSD</v>
      </c>
      <c r="D27" s="21" t="s">
        <v>1330</v>
      </c>
      <c r="E27" s="21" t="s">
        <v>53</v>
      </c>
      <c r="F27" s="21" t="s">
        <v>1310</v>
      </c>
      <c r="G27" s="27"/>
      <c r="H27" s="11" t="s">
        <v>1331</v>
      </c>
      <c r="I27" s="47">
        <v>1.0</v>
      </c>
      <c r="J27" s="11" t="s">
        <v>1332</v>
      </c>
      <c r="K27" s="47">
        <v>0.0</v>
      </c>
      <c r="L27" s="11" t="s">
        <v>1333</v>
      </c>
      <c r="M27" s="47">
        <v>0.0</v>
      </c>
      <c r="N27" s="11" t="s">
        <v>1334</v>
      </c>
      <c r="O27" s="47">
        <v>0.0</v>
      </c>
    </row>
    <row r="28">
      <c r="A28" s="8">
        <v>1216.0</v>
      </c>
      <c r="B28" s="8" t="s">
        <v>50</v>
      </c>
      <c r="C28" s="9" t="str">
        <f t="shared" si="1"/>
        <v>PMP-33_BS VI HSD</v>
      </c>
      <c r="D28" s="21" t="s">
        <v>1335</v>
      </c>
      <c r="E28" s="21" t="s">
        <v>53</v>
      </c>
      <c r="F28" s="21" t="s">
        <v>1310</v>
      </c>
      <c r="G28" s="27"/>
      <c r="H28" s="11" t="s">
        <v>1336</v>
      </c>
      <c r="I28" s="47">
        <v>1.0</v>
      </c>
      <c r="J28" s="11" t="s">
        <v>1337</v>
      </c>
      <c r="K28" s="47">
        <v>0.0</v>
      </c>
      <c r="L28" s="11" t="s">
        <v>1338</v>
      </c>
      <c r="M28" s="47">
        <v>0.0</v>
      </c>
      <c r="N28" s="11" t="s">
        <v>1339</v>
      </c>
      <c r="O28" s="47">
        <v>0.0</v>
      </c>
    </row>
    <row r="29">
      <c r="A29" s="8">
        <v>1216.0</v>
      </c>
      <c r="B29" s="8" t="s">
        <v>50</v>
      </c>
      <c r="C29" s="9" t="str">
        <f t="shared" si="1"/>
        <v>PMP-36_BS VI MS</v>
      </c>
      <c r="D29" s="21" t="s">
        <v>1340</v>
      </c>
      <c r="E29" s="21" t="s">
        <v>322</v>
      </c>
      <c r="F29" s="21" t="s">
        <v>1203</v>
      </c>
      <c r="G29" s="27"/>
      <c r="H29" s="11" t="s">
        <v>1341</v>
      </c>
      <c r="I29" s="47">
        <v>1.0</v>
      </c>
      <c r="J29" s="11" t="s">
        <v>1342</v>
      </c>
      <c r="K29" s="47">
        <v>0.0</v>
      </c>
      <c r="L29" s="11" t="s">
        <v>1343</v>
      </c>
      <c r="M29" s="47">
        <v>0.0</v>
      </c>
      <c r="N29" s="11" t="s">
        <v>1344</v>
      </c>
      <c r="O29" s="47">
        <v>0.0</v>
      </c>
    </row>
    <row r="30">
      <c r="A30" s="8">
        <v>1216.0</v>
      </c>
      <c r="B30" s="8" t="s">
        <v>50</v>
      </c>
      <c r="C30" s="9" t="str">
        <f t="shared" si="1"/>
        <v>PMP-37_BS VI MS</v>
      </c>
      <c r="D30" s="21" t="s">
        <v>1345</v>
      </c>
      <c r="E30" s="21" t="s">
        <v>322</v>
      </c>
      <c r="F30" s="21" t="s">
        <v>1203</v>
      </c>
      <c r="G30" s="27"/>
      <c r="H30" s="11" t="s">
        <v>1346</v>
      </c>
      <c r="I30" s="47">
        <v>1.0</v>
      </c>
      <c r="J30" s="11" t="s">
        <v>1347</v>
      </c>
      <c r="K30" s="47">
        <v>0.0</v>
      </c>
      <c r="L30" s="11" t="s">
        <v>1348</v>
      </c>
      <c r="M30" s="47">
        <v>0.0</v>
      </c>
      <c r="N30" s="11" t="s">
        <v>1349</v>
      </c>
      <c r="O30" s="47">
        <v>0.0</v>
      </c>
    </row>
    <row r="31">
      <c r="A31" s="8">
        <v>1216.0</v>
      </c>
      <c r="B31" s="8" t="s">
        <v>50</v>
      </c>
      <c r="C31" s="9" t="str">
        <f t="shared" si="1"/>
        <v>PMP-38_BS VI MS</v>
      </c>
      <c r="D31" s="21" t="s">
        <v>1350</v>
      </c>
      <c r="E31" s="21" t="s">
        <v>322</v>
      </c>
      <c r="F31" s="21" t="s">
        <v>1203</v>
      </c>
      <c r="G31" s="27"/>
      <c r="H31" s="11" t="s">
        <v>1351</v>
      </c>
      <c r="I31" s="47">
        <v>1.0</v>
      </c>
      <c r="J31" s="11" t="s">
        <v>1352</v>
      </c>
      <c r="K31" s="47">
        <v>0.0</v>
      </c>
      <c r="L31" s="11" t="s">
        <v>1353</v>
      </c>
      <c r="M31" s="47">
        <v>0.0</v>
      </c>
      <c r="N31" s="11" t="s">
        <v>1354</v>
      </c>
      <c r="O31" s="47">
        <v>0.0</v>
      </c>
    </row>
    <row r="32">
      <c r="A32" s="8">
        <v>1216.0</v>
      </c>
      <c r="B32" s="8" t="s">
        <v>50</v>
      </c>
      <c r="C32" s="9" t="str">
        <f t="shared" si="1"/>
        <v>PMP-40_BS VI MS</v>
      </c>
      <c r="D32" s="21" t="s">
        <v>1355</v>
      </c>
      <c r="E32" s="21" t="s">
        <v>322</v>
      </c>
      <c r="F32" s="21" t="s">
        <v>1310</v>
      </c>
      <c r="G32" s="27"/>
      <c r="H32" s="11" t="s">
        <v>1356</v>
      </c>
      <c r="I32" s="47">
        <v>1.0</v>
      </c>
      <c r="J32" s="11" t="s">
        <v>1357</v>
      </c>
      <c r="K32" s="47">
        <v>0.0</v>
      </c>
      <c r="L32" s="11" t="s">
        <v>1358</v>
      </c>
      <c r="M32" s="47">
        <v>0.0</v>
      </c>
      <c r="N32" s="11" t="s">
        <v>1359</v>
      </c>
      <c r="O32" s="47">
        <v>0.0</v>
      </c>
    </row>
    <row r="33">
      <c r="A33" s="8">
        <v>1216.0</v>
      </c>
      <c r="B33" s="8" t="s">
        <v>50</v>
      </c>
      <c r="C33" s="9" t="str">
        <f t="shared" si="1"/>
        <v>PMP-41_BS VI MS</v>
      </c>
      <c r="D33" s="21" t="s">
        <v>1360</v>
      </c>
      <c r="E33" s="21" t="s">
        <v>322</v>
      </c>
      <c r="F33" s="21" t="s">
        <v>1310</v>
      </c>
      <c r="G33" s="27"/>
      <c r="H33" s="11" t="s">
        <v>1361</v>
      </c>
      <c r="I33" s="47">
        <v>1.0</v>
      </c>
      <c r="J33" s="11" t="s">
        <v>1362</v>
      </c>
      <c r="K33" s="47">
        <v>0.0</v>
      </c>
      <c r="L33" s="11" t="s">
        <v>1363</v>
      </c>
      <c r="M33" s="47">
        <v>0.0</v>
      </c>
      <c r="N33" s="11" t="s">
        <v>1364</v>
      </c>
      <c r="O33" s="47">
        <v>0.0</v>
      </c>
    </row>
    <row r="34">
      <c r="A34" s="8">
        <v>1216.0</v>
      </c>
      <c r="B34" s="8" t="s">
        <v>50</v>
      </c>
      <c r="C34" s="9" t="str">
        <f t="shared" si="1"/>
        <v>PMP-42_BS VI MS</v>
      </c>
      <c r="D34" s="21" t="s">
        <v>1365</v>
      </c>
      <c r="E34" s="21" t="s">
        <v>322</v>
      </c>
      <c r="F34" s="21" t="s">
        <v>1310</v>
      </c>
      <c r="G34" s="27"/>
      <c r="H34" s="11" t="s">
        <v>1366</v>
      </c>
      <c r="I34" s="47">
        <v>1.0</v>
      </c>
      <c r="J34" s="11" t="s">
        <v>1367</v>
      </c>
      <c r="K34" s="47">
        <v>0.0</v>
      </c>
      <c r="L34" s="11" t="s">
        <v>1368</v>
      </c>
      <c r="M34" s="47">
        <v>0.0</v>
      </c>
      <c r="N34" s="11" t="s">
        <v>1369</v>
      </c>
      <c r="O34" s="47">
        <v>0.0</v>
      </c>
    </row>
    <row r="35">
      <c r="A35" s="8">
        <v>1216.0</v>
      </c>
      <c r="B35" s="8" t="s">
        <v>50</v>
      </c>
      <c r="C35" s="9" t="str">
        <f t="shared" si="1"/>
        <v>PMP-43_BS VI MS</v>
      </c>
      <c r="D35" s="21" t="s">
        <v>1370</v>
      </c>
      <c r="E35" s="21" t="s">
        <v>322</v>
      </c>
      <c r="F35" s="21" t="s">
        <v>1310</v>
      </c>
      <c r="G35" s="27"/>
      <c r="H35" s="11" t="s">
        <v>1371</v>
      </c>
      <c r="I35" s="47">
        <v>1.0</v>
      </c>
      <c r="J35" s="11" t="s">
        <v>1372</v>
      </c>
      <c r="K35" s="47">
        <v>0.0</v>
      </c>
      <c r="L35" s="11" t="s">
        <v>1373</v>
      </c>
      <c r="M35" s="47">
        <v>0.0</v>
      </c>
      <c r="N35" s="11" t="s">
        <v>1374</v>
      </c>
      <c r="O35" s="47">
        <v>0.0</v>
      </c>
    </row>
    <row r="36">
      <c r="A36" s="8">
        <v>1216.0</v>
      </c>
      <c r="B36" s="8" t="s">
        <v>50</v>
      </c>
      <c r="C36" s="9" t="str">
        <f t="shared" si="1"/>
        <v>PMP-46_MTO</v>
      </c>
      <c r="D36" s="21" t="s">
        <v>1375</v>
      </c>
      <c r="E36" s="21" t="s">
        <v>432</v>
      </c>
      <c r="F36" s="21" t="s">
        <v>1203</v>
      </c>
      <c r="G36" s="27"/>
      <c r="H36" s="11" t="s">
        <v>1376</v>
      </c>
      <c r="I36" s="47">
        <v>1.0</v>
      </c>
      <c r="J36" s="11" t="s">
        <v>1377</v>
      </c>
      <c r="K36" s="47">
        <v>0.0</v>
      </c>
      <c r="L36" s="11" t="s">
        <v>1378</v>
      </c>
      <c r="M36" s="47">
        <v>0.0</v>
      </c>
      <c r="N36" s="11" t="s">
        <v>1379</v>
      </c>
      <c r="O36" s="47">
        <v>0.0</v>
      </c>
    </row>
    <row r="37">
      <c r="A37" s="8">
        <v>1216.0</v>
      </c>
      <c r="B37" s="8" t="s">
        <v>50</v>
      </c>
      <c r="C37" s="9" t="str">
        <f t="shared" si="1"/>
        <v>PMP-47_MTO</v>
      </c>
      <c r="D37" s="21" t="s">
        <v>1380</v>
      </c>
      <c r="E37" s="21" t="s">
        <v>432</v>
      </c>
      <c r="F37" s="21" t="s">
        <v>1203</v>
      </c>
      <c r="G37" s="27"/>
      <c r="H37" s="11" t="s">
        <v>1381</v>
      </c>
      <c r="I37" s="47">
        <v>1.0</v>
      </c>
      <c r="J37" s="11" t="s">
        <v>1382</v>
      </c>
      <c r="K37" s="47">
        <v>0.0</v>
      </c>
      <c r="L37" s="11" t="s">
        <v>1383</v>
      </c>
      <c r="M37" s="47">
        <v>0.0</v>
      </c>
      <c r="N37" s="11" t="s">
        <v>1384</v>
      </c>
      <c r="O37" s="47">
        <v>0.0</v>
      </c>
    </row>
    <row r="38">
      <c r="A38" s="8">
        <v>1216.0</v>
      </c>
      <c r="B38" s="8" t="s">
        <v>50</v>
      </c>
      <c r="C38" s="9" t="str">
        <f t="shared" si="1"/>
        <v>PMP-48_MTO</v>
      </c>
      <c r="D38" s="21" t="s">
        <v>1385</v>
      </c>
      <c r="E38" s="21" t="s">
        <v>432</v>
      </c>
      <c r="F38" s="21" t="s">
        <v>1203</v>
      </c>
      <c r="G38" s="27"/>
      <c r="H38" s="11" t="s">
        <v>1386</v>
      </c>
      <c r="I38" s="47">
        <v>1.0</v>
      </c>
      <c r="J38" s="11" t="s">
        <v>1387</v>
      </c>
      <c r="K38" s="47">
        <v>0.0</v>
      </c>
      <c r="L38" s="11" t="s">
        <v>1388</v>
      </c>
      <c r="M38" s="47">
        <v>0.0</v>
      </c>
      <c r="N38" s="11" t="s">
        <v>1389</v>
      </c>
      <c r="O38" s="47">
        <v>0.0</v>
      </c>
    </row>
    <row r="39">
      <c r="A39" s="8">
        <v>1216.0</v>
      </c>
      <c r="B39" s="8" t="s">
        <v>50</v>
      </c>
      <c r="C39" s="9" t="str">
        <f t="shared" si="1"/>
        <v>PMP-52_MTO</v>
      </c>
      <c r="D39" s="21" t="s">
        <v>1390</v>
      </c>
      <c r="E39" s="21" t="s">
        <v>432</v>
      </c>
      <c r="F39" s="21" t="s">
        <v>1310</v>
      </c>
      <c r="G39" s="27"/>
      <c r="H39" s="11" t="s">
        <v>1391</v>
      </c>
      <c r="I39" s="47">
        <v>1.0</v>
      </c>
      <c r="J39" s="11" t="s">
        <v>1392</v>
      </c>
      <c r="K39" s="47">
        <v>0.0</v>
      </c>
      <c r="L39" s="11" t="s">
        <v>1393</v>
      </c>
      <c r="M39" s="47">
        <v>0.0</v>
      </c>
      <c r="N39" s="11" t="s">
        <v>1394</v>
      </c>
      <c r="O39" s="47">
        <v>0.0</v>
      </c>
    </row>
    <row r="40">
      <c r="A40" s="8">
        <v>1216.0</v>
      </c>
      <c r="B40" s="8" t="s">
        <v>50</v>
      </c>
      <c r="C40" s="9" t="str">
        <f t="shared" si="1"/>
        <v>PMP-53_MTO</v>
      </c>
      <c r="D40" s="21" t="s">
        <v>1395</v>
      </c>
      <c r="E40" s="21" t="s">
        <v>432</v>
      </c>
      <c r="F40" s="21" t="s">
        <v>1310</v>
      </c>
      <c r="G40" s="27"/>
      <c r="H40" s="11" t="s">
        <v>1396</v>
      </c>
      <c r="I40" s="47">
        <v>1.0</v>
      </c>
      <c r="J40" s="11" t="s">
        <v>1397</v>
      </c>
      <c r="K40" s="47">
        <v>0.0</v>
      </c>
      <c r="L40" s="11" t="s">
        <v>1398</v>
      </c>
      <c r="M40" s="47">
        <v>0.0</v>
      </c>
      <c r="N40" s="11" t="s">
        <v>1399</v>
      </c>
      <c r="O40" s="47">
        <v>0.0</v>
      </c>
    </row>
    <row r="41">
      <c r="A41" s="8">
        <v>1216.0</v>
      </c>
      <c r="B41" s="8" t="s">
        <v>50</v>
      </c>
      <c r="C41" s="9" t="str">
        <f t="shared" si="1"/>
        <v>PMP-54_MTO</v>
      </c>
      <c r="D41" s="21" t="s">
        <v>1400</v>
      </c>
      <c r="E41" s="21" t="s">
        <v>432</v>
      </c>
      <c r="F41" s="21" t="s">
        <v>1310</v>
      </c>
      <c r="G41" s="27"/>
      <c r="H41" s="11" t="s">
        <v>1401</v>
      </c>
      <c r="I41" s="47">
        <v>1.0</v>
      </c>
      <c r="J41" s="11" t="s">
        <v>1402</v>
      </c>
      <c r="K41" s="47">
        <v>0.0</v>
      </c>
      <c r="L41" s="11" t="s">
        <v>1403</v>
      </c>
      <c r="M41" s="47">
        <v>0.0</v>
      </c>
      <c r="N41" s="11" t="s">
        <v>1404</v>
      </c>
      <c r="O41" s="47">
        <v>0.0</v>
      </c>
    </row>
    <row r="42">
      <c r="A42" s="8">
        <v>1216.0</v>
      </c>
      <c r="B42" s="8" t="s">
        <v>50</v>
      </c>
      <c r="C42" s="9" t="str">
        <f t="shared" si="1"/>
        <v>PMP-57_ETHANOL</v>
      </c>
      <c r="D42" s="21" t="s">
        <v>1405</v>
      </c>
      <c r="E42" s="21" t="s">
        <v>405</v>
      </c>
      <c r="F42" s="21" t="s">
        <v>1203</v>
      </c>
      <c r="G42" s="27"/>
      <c r="H42" s="11" t="s">
        <v>1406</v>
      </c>
      <c r="I42" s="47">
        <v>1.0</v>
      </c>
      <c r="J42" s="11" t="s">
        <v>1407</v>
      </c>
      <c r="K42" s="47">
        <v>0.0</v>
      </c>
      <c r="L42" s="11" t="s">
        <v>1408</v>
      </c>
      <c r="M42" s="47">
        <v>0.0</v>
      </c>
      <c r="N42" s="11" t="s">
        <v>1409</v>
      </c>
      <c r="O42" s="47">
        <v>0.0</v>
      </c>
    </row>
    <row r="43">
      <c r="A43" s="8">
        <v>1216.0</v>
      </c>
      <c r="B43" s="8" t="s">
        <v>50</v>
      </c>
      <c r="C43" s="9" t="str">
        <f t="shared" si="1"/>
        <v>PMP-58_ETHANOL</v>
      </c>
      <c r="D43" s="21" t="s">
        <v>1410</v>
      </c>
      <c r="E43" s="21" t="s">
        <v>405</v>
      </c>
      <c r="F43" s="21" t="s">
        <v>1203</v>
      </c>
      <c r="G43" s="27"/>
      <c r="H43" s="11" t="s">
        <v>1411</v>
      </c>
      <c r="I43" s="47">
        <v>1.0</v>
      </c>
      <c r="J43" s="11" t="s">
        <v>1412</v>
      </c>
      <c r="K43" s="47">
        <v>0.0</v>
      </c>
      <c r="L43" s="11" t="s">
        <v>1413</v>
      </c>
      <c r="M43" s="47">
        <v>0.0</v>
      </c>
      <c r="N43" s="11" t="s">
        <v>1414</v>
      </c>
      <c r="O43" s="47">
        <v>0.0</v>
      </c>
    </row>
    <row r="44">
      <c r="A44" s="8">
        <v>1216.0</v>
      </c>
      <c r="B44" s="8" t="s">
        <v>50</v>
      </c>
      <c r="C44" s="9" t="str">
        <f t="shared" si="1"/>
        <v>PMP-59_ETHANOL</v>
      </c>
      <c r="D44" s="21" t="s">
        <v>1415</v>
      </c>
      <c r="E44" s="21" t="s">
        <v>405</v>
      </c>
      <c r="F44" s="21" t="s">
        <v>1203</v>
      </c>
      <c r="G44" s="27"/>
      <c r="H44" s="11" t="s">
        <v>1416</v>
      </c>
      <c r="I44" s="47">
        <v>1.0</v>
      </c>
      <c r="J44" s="11" t="s">
        <v>1417</v>
      </c>
      <c r="K44" s="47">
        <v>0.0</v>
      </c>
      <c r="L44" s="11" t="s">
        <v>1418</v>
      </c>
      <c r="M44" s="47">
        <v>0.0</v>
      </c>
      <c r="N44" s="11" t="s">
        <v>1419</v>
      </c>
      <c r="O44" s="47">
        <v>0.0</v>
      </c>
    </row>
    <row r="45">
      <c r="A45" s="8">
        <v>1216.0</v>
      </c>
      <c r="B45" s="8" t="s">
        <v>50</v>
      </c>
      <c r="C45" s="9" t="str">
        <f t="shared" si="1"/>
        <v>PMP-60_ATF (B)</v>
      </c>
      <c r="D45" s="21" t="s">
        <v>1420</v>
      </c>
      <c r="E45" s="21" t="s">
        <v>1421</v>
      </c>
      <c r="F45" s="21" t="s">
        <v>1203</v>
      </c>
      <c r="G45" s="27"/>
      <c r="H45" s="11" t="s">
        <v>1422</v>
      </c>
      <c r="I45" s="47">
        <v>1.0</v>
      </c>
      <c r="J45" s="11" t="s">
        <v>1423</v>
      </c>
      <c r="K45" s="47">
        <v>0.0</v>
      </c>
      <c r="L45" s="11" t="s">
        <v>1424</v>
      </c>
      <c r="M45" s="47">
        <v>0.0</v>
      </c>
      <c r="N45" s="11" t="s">
        <v>1425</v>
      </c>
      <c r="O45" s="47">
        <v>0.0</v>
      </c>
    </row>
    <row r="46">
      <c r="A46" s="8">
        <v>1216.0</v>
      </c>
      <c r="B46" s="8" t="s">
        <v>50</v>
      </c>
      <c r="C46" s="9" t="str">
        <f t="shared" si="1"/>
        <v>PMP-61_ATF (B)</v>
      </c>
      <c r="D46" s="21" t="s">
        <v>1426</v>
      </c>
      <c r="E46" s="21" t="s">
        <v>1421</v>
      </c>
      <c r="F46" s="21" t="s">
        <v>1203</v>
      </c>
      <c r="G46" s="27"/>
      <c r="H46" s="11" t="s">
        <v>1427</v>
      </c>
      <c r="I46" s="47">
        <v>1.0</v>
      </c>
      <c r="J46" s="11" t="s">
        <v>1428</v>
      </c>
      <c r="K46" s="47">
        <v>0.0</v>
      </c>
      <c r="L46" s="11" t="s">
        <v>1429</v>
      </c>
      <c r="M46" s="47">
        <v>0.0</v>
      </c>
      <c r="N46" s="11" t="s">
        <v>1430</v>
      </c>
      <c r="O46" s="47">
        <v>0.0</v>
      </c>
    </row>
    <row r="47">
      <c r="A47" s="8">
        <v>1216.0</v>
      </c>
      <c r="B47" s="8" t="s">
        <v>50</v>
      </c>
      <c r="C47" s="9" t="str">
        <f t="shared" si="1"/>
        <v>PMP-62_ATF (B)</v>
      </c>
      <c r="D47" s="21" t="s">
        <v>1431</v>
      </c>
      <c r="E47" s="21" t="s">
        <v>1421</v>
      </c>
      <c r="F47" s="21" t="s">
        <v>1203</v>
      </c>
      <c r="G47" s="27"/>
      <c r="H47" s="11" t="s">
        <v>1432</v>
      </c>
      <c r="I47" s="47">
        <v>1.0</v>
      </c>
      <c r="J47" s="11" t="s">
        <v>1433</v>
      </c>
      <c r="K47" s="47">
        <v>0.0</v>
      </c>
      <c r="L47" s="11" t="s">
        <v>1434</v>
      </c>
      <c r="M47" s="47">
        <v>0.0</v>
      </c>
      <c r="N47" s="11" t="s">
        <v>1435</v>
      </c>
      <c r="O47" s="47">
        <v>0.0</v>
      </c>
    </row>
    <row r="48">
      <c r="A48" s="8">
        <v>1216.0</v>
      </c>
      <c r="B48" s="8" t="s">
        <v>50</v>
      </c>
      <c r="C48" s="9" t="str">
        <f t="shared" si="1"/>
        <v>PMP-65_ATF</v>
      </c>
      <c r="D48" s="21" t="s">
        <v>1436</v>
      </c>
      <c r="E48" s="21" t="s">
        <v>562</v>
      </c>
      <c r="F48" s="21" t="s">
        <v>1310</v>
      </c>
      <c r="G48" s="27"/>
      <c r="H48" s="11" t="s">
        <v>1437</v>
      </c>
      <c r="I48" s="47">
        <v>1.0</v>
      </c>
      <c r="J48" s="11" t="s">
        <v>1438</v>
      </c>
      <c r="K48" s="47">
        <v>0.0</v>
      </c>
      <c r="L48" s="11" t="s">
        <v>1439</v>
      </c>
      <c r="M48" s="47">
        <v>0.0</v>
      </c>
      <c r="N48" s="11" t="s">
        <v>1440</v>
      </c>
      <c r="O48" s="47">
        <v>0.0</v>
      </c>
    </row>
    <row r="49">
      <c r="A49" s="8">
        <v>1216.0</v>
      </c>
      <c r="B49" s="8" t="s">
        <v>50</v>
      </c>
      <c r="C49" s="9" t="str">
        <f t="shared" si="1"/>
        <v>PMP-66_ATF</v>
      </c>
      <c r="D49" s="21" t="s">
        <v>1441</v>
      </c>
      <c r="E49" s="21" t="s">
        <v>562</v>
      </c>
      <c r="F49" s="21" t="s">
        <v>1310</v>
      </c>
      <c r="G49" s="27"/>
      <c r="H49" s="11" t="s">
        <v>1442</v>
      </c>
      <c r="I49" s="47">
        <v>1.0</v>
      </c>
      <c r="J49" s="11" t="s">
        <v>1443</v>
      </c>
      <c r="K49" s="47">
        <v>0.0</v>
      </c>
      <c r="L49" s="11" t="s">
        <v>1444</v>
      </c>
      <c r="M49" s="47">
        <v>0.0</v>
      </c>
      <c r="N49" s="11" t="s">
        <v>1445</v>
      </c>
      <c r="O49" s="47">
        <v>0.0</v>
      </c>
    </row>
    <row r="50">
      <c r="A50" s="8">
        <v>1216.0</v>
      </c>
      <c r="B50" s="8" t="s">
        <v>50</v>
      </c>
      <c r="C50" s="9" t="str">
        <f t="shared" si="1"/>
        <v>PMP-67_ATF</v>
      </c>
      <c r="D50" s="21" t="s">
        <v>1446</v>
      </c>
      <c r="E50" s="21" t="s">
        <v>562</v>
      </c>
      <c r="F50" s="21" t="s">
        <v>1310</v>
      </c>
      <c r="G50" s="27"/>
      <c r="H50" s="11" t="s">
        <v>1447</v>
      </c>
      <c r="I50" s="47">
        <v>1.0</v>
      </c>
      <c r="J50" s="11" t="s">
        <v>1448</v>
      </c>
      <c r="K50" s="47">
        <v>0.0</v>
      </c>
      <c r="L50" s="11" t="s">
        <v>1449</v>
      </c>
      <c r="M50" s="47">
        <v>0.0</v>
      </c>
      <c r="N50" s="11" t="s">
        <v>1450</v>
      </c>
      <c r="O50" s="47">
        <v>0.0</v>
      </c>
    </row>
    <row r="51">
      <c r="A51" s="8">
        <v>1216.0</v>
      </c>
      <c r="B51" s="8" t="s">
        <v>50</v>
      </c>
      <c r="C51" s="9" t="str">
        <f t="shared" si="1"/>
        <v>PMP-68_ATF</v>
      </c>
      <c r="D51" s="21" t="s">
        <v>1451</v>
      </c>
      <c r="E51" s="21" t="s">
        <v>562</v>
      </c>
      <c r="F51" s="21" t="s">
        <v>1203</v>
      </c>
      <c r="G51" s="27"/>
      <c r="H51" s="11" t="s">
        <v>1452</v>
      </c>
      <c r="I51" s="47">
        <v>1.0</v>
      </c>
      <c r="J51" s="11" t="s">
        <v>1453</v>
      </c>
      <c r="K51" s="47">
        <v>0.0</v>
      </c>
      <c r="L51" s="11" t="s">
        <v>1454</v>
      </c>
      <c r="M51" s="47">
        <v>0.0</v>
      </c>
      <c r="N51" s="11" t="s">
        <v>1455</v>
      </c>
      <c r="O51" s="47">
        <v>0.0</v>
      </c>
    </row>
    <row r="52">
      <c r="A52" s="8">
        <v>1216.0</v>
      </c>
      <c r="B52" s="8" t="s">
        <v>50</v>
      </c>
      <c r="C52" s="9" t="str">
        <f t="shared" si="1"/>
        <v>PMP-69_ATF</v>
      </c>
      <c r="D52" s="21" t="s">
        <v>1456</v>
      </c>
      <c r="E52" s="21" t="s">
        <v>562</v>
      </c>
      <c r="F52" s="21" t="s">
        <v>1203</v>
      </c>
      <c r="G52" s="27"/>
      <c r="H52" s="11" t="s">
        <v>1457</v>
      </c>
      <c r="I52" s="47">
        <v>1.0</v>
      </c>
      <c r="J52" s="11" t="s">
        <v>1458</v>
      </c>
      <c r="K52" s="47">
        <v>0.0</v>
      </c>
      <c r="L52" s="11" t="s">
        <v>1459</v>
      </c>
      <c r="M52" s="47">
        <v>0.0</v>
      </c>
      <c r="N52" s="11" t="s">
        <v>1460</v>
      </c>
      <c r="O52" s="47">
        <v>0.0</v>
      </c>
    </row>
    <row r="53">
      <c r="A53" s="8">
        <v>1216.0</v>
      </c>
      <c r="B53" s="8" t="s">
        <v>50</v>
      </c>
      <c r="C53" s="9" t="str">
        <f t="shared" si="1"/>
        <v>PMP-70_ATF</v>
      </c>
      <c r="D53" s="21" t="s">
        <v>1461</v>
      </c>
      <c r="E53" s="21" t="s">
        <v>562</v>
      </c>
      <c r="F53" s="21" t="s">
        <v>1203</v>
      </c>
      <c r="G53" s="27"/>
      <c r="H53" s="11" t="s">
        <v>1462</v>
      </c>
      <c r="I53" s="47">
        <v>1.0</v>
      </c>
      <c r="J53" s="11" t="s">
        <v>1463</v>
      </c>
      <c r="K53" s="47">
        <v>0.0</v>
      </c>
      <c r="L53" s="11" t="s">
        <v>1464</v>
      </c>
      <c r="M53" s="47">
        <v>0.0</v>
      </c>
      <c r="N53" s="11" t="s">
        <v>1465</v>
      </c>
      <c r="O53" s="47">
        <v>0.0</v>
      </c>
    </row>
    <row r="54">
      <c r="A54" s="8">
        <v>1216.0</v>
      </c>
      <c r="B54" s="8" t="s">
        <v>50</v>
      </c>
      <c r="C54" s="9" t="str">
        <f t="shared" si="1"/>
        <v>PMP-71_ATF</v>
      </c>
      <c r="D54" s="21" t="s">
        <v>1466</v>
      </c>
      <c r="E54" s="21" t="s">
        <v>562</v>
      </c>
      <c r="F54" s="21" t="s">
        <v>1203</v>
      </c>
      <c r="G54" s="27"/>
      <c r="H54" s="11" t="s">
        <v>1467</v>
      </c>
      <c r="I54" s="47">
        <v>1.0</v>
      </c>
      <c r="J54" s="11" t="s">
        <v>1468</v>
      </c>
      <c r="K54" s="47">
        <v>0.0</v>
      </c>
      <c r="L54" s="11" t="s">
        <v>1469</v>
      </c>
      <c r="M54" s="47">
        <v>0.0</v>
      </c>
      <c r="N54" s="11" t="s">
        <v>1470</v>
      </c>
      <c r="O54" s="47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41.88"/>
    <col customWidth="1" min="7" max="7" width="14.38"/>
    <col customWidth="1" min="8" max="8" width="15.13"/>
    <col customWidth="1" min="12" max="12" width="27.0"/>
    <col customWidth="1" min="14" max="14" width="40.75"/>
    <col customWidth="1" min="16" max="16" width="33.88"/>
    <col customWidth="1" min="17" max="17" width="25.25"/>
    <col customWidth="1" min="18" max="18" width="33.88"/>
    <col customWidth="1" min="19" max="19" width="23.88"/>
    <col customWidth="1" min="20" max="20" width="33.88"/>
    <col customWidth="1" min="22" max="22" width="33.88"/>
    <col customWidth="1" min="24" max="24" width="33.88"/>
    <col customWidth="1" min="26" max="26" width="35.75"/>
    <col customWidth="1" min="28" max="28" width="37.38"/>
    <col customWidth="1" min="32" max="32" width="36.88"/>
  </cols>
  <sheetData>
    <row r="1">
      <c r="A1" s="49" t="s">
        <v>0</v>
      </c>
      <c r="B1" s="49" t="s">
        <v>1</v>
      </c>
      <c r="C1" s="49" t="s">
        <v>2</v>
      </c>
      <c r="D1" s="49" t="s">
        <v>1191</v>
      </c>
      <c r="E1" s="49" t="s">
        <v>1192</v>
      </c>
      <c r="F1" s="49" t="s">
        <v>1193</v>
      </c>
      <c r="G1" s="49" t="s">
        <v>1194</v>
      </c>
      <c r="H1" s="46" t="s">
        <v>1195</v>
      </c>
      <c r="I1" s="46" t="s">
        <v>1196</v>
      </c>
      <c r="J1" s="46" t="s">
        <v>1197</v>
      </c>
      <c r="K1" s="46" t="s">
        <v>1198</v>
      </c>
      <c r="L1" s="46" t="s">
        <v>1199</v>
      </c>
      <c r="M1" s="46" t="s">
        <v>1200</v>
      </c>
      <c r="N1" s="46" t="s">
        <v>1471</v>
      </c>
      <c r="O1" s="46" t="s">
        <v>1472</v>
      </c>
      <c r="P1" s="46" t="s">
        <v>1473</v>
      </c>
      <c r="Q1" s="50" t="s">
        <v>7</v>
      </c>
      <c r="R1" s="46" t="s">
        <v>1474</v>
      </c>
      <c r="S1" s="50" t="s">
        <v>7</v>
      </c>
      <c r="T1" s="46" t="s">
        <v>1475</v>
      </c>
      <c r="U1" s="50" t="s">
        <v>7</v>
      </c>
      <c r="V1" s="50" t="s">
        <v>1476</v>
      </c>
      <c r="W1" s="50" t="s">
        <v>7</v>
      </c>
      <c r="X1" s="50" t="s">
        <v>1477</v>
      </c>
      <c r="Y1" s="50" t="s">
        <v>7</v>
      </c>
      <c r="Z1" s="46" t="s">
        <v>1478</v>
      </c>
      <c r="AA1" s="50" t="s">
        <v>7</v>
      </c>
      <c r="AB1" s="46" t="s">
        <v>1479</v>
      </c>
      <c r="AC1" s="50" t="s">
        <v>7</v>
      </c>
      <c r="AD1" s="46" t="s">
        <v>1480</v>
      </c>
      <c r="AE1" s="46" t="s">
        <v>1481</v>
      </c>
      <c r="AF1" s="46" t="s">
        <v>1482</v>
      </c>
      <c r="AG1" s="46" t="s">
        <v>1483</v>
      </c>
    </row>
    <row r="2">
      <c r="A2" s="8">
        <v>1216.0</v>
      </c>
      <c r="B2" s="8" t="s">
        <v>50</v>
      </c>
      <c r="C2" s="9" t="str">
        <f t="shared" ref="C2:C12" si="1">CONCATENATE(D2,"_",E2,"_",G2)</f>
        <v>FWP-01_Water_DISPATCH</v>
      </c>
      <c r="D2" s="21" t="s">
        <v>1484</v>
      </c>
      <c r="E2" s="21" t="s">
        <v>1485</v>
      </c>
      <c r="F2" s="21" t="s">
        <v>1486</v>
      </c>
      <c r="G2" s="9" t="s">
        <v>1487</v>
      </c>
      <c r="H2" s="11" t="s">
        <v>1488</v>
      </c>
      <c r="I2" s="47">
        <v>1.0</v>
      </c>
      <c r="J2" s="11" t="s">
        <v>1489</v>
      </c>
      <c r="K2" s="47">
        <v>0.0</v>
      </c>
      <c r="L2" s="11" t="s">
        <v>1490</v>
      </c>
      <c r="M2" s="47">
        <v>0.0</v>
      </c>
      <c r="N2" s="11" t="s">
        <v>1491</v>
      </c>
      <c r="O2" s="47">
        <v>0.0</v>
      </c>
      <c r="P2" s="11" t="s">
        <v>1492</v>
      </c>
      <c r="Q2" s="47">
        <v>0.0</v>
      </c>
      <c r="R2" s="11" t="s">
        <v>1493</v>
      </c>
      <c r="S2" s="47">
        <v>0.0</v>
      </c>
      <c r="T2" s="11" t="s">
        <v>1494</v>
      </c>
      <c r="U2" s="47">
        <v>0.0</v>
      </c>
      <c r="V2" s="11" t="s">
        <v>1495</v>
      </c>
      <c r="W2" s="47">
        <v>0.0</v>
      </c>
      <c r="X2" s="11" t="s">
        <v>1496</v>
      </c>
      <c r="Y2" s="47">
        <v>0.0</v>
      </c>
      <c r="Z2" s="9"/>
      <c r="AA2" s="9"/>
      <c r="AB2" s="11" t="s">
        <v>1497</v>
      </c>
      <c r="AC2" s="47">
        <v>0.0</v>
      </c>
      <c r="AD2" s="9"/>
      <c r="AE2" s="9"/>
      <c r="AF2" s="11" t="s">
        <v>1498</v>
      </c>
      <c r="AG2" s="47">
        <v>0.0</v>
      </c>
    </row>
    <row r="3">
      <c r="A3" s="8">
        <v>1216.0</v>
      </c>
      <c r="B3" s="8" t="s">
        <v>50</v>
      </c>
      <c r="C3" s="9" t="str">
        <f t="shared" si="1"/>
        <v>FWP-02_Water_DISPATCH</v>
      </c>
      <c r="D3" s="21" t="s">
        <v>1499</v>
      </c>
      <c r="E3" s="21" t="s">
        <v>1485</v>
      </c>
      <c r="F3" s="21" t="s">
        <v>1486</v>
      </c>
      <c r="G3" s="9" t="s">
        <v>1487</v>
      </c>
      <c r="H3" s="11" t="s">
        <v>1500</v>
      </c>
      <c r="I3" s="47">
        <v>1.0</v>
      </c>
      <c r="J3" s="11" t="s">
        <v>1501</v>
      </c>
      <c r="K3" s="47">
        <v>0.0</v>
      </c>
      <c r="L3" s="11" t="s">
        <v>1502</v>
      </c>
      <c r="M3" s="47">
        <v>0.0</v>
      </c>
      <c r="N3" s="11" t="s">
        <v>1503</v>
      </c>
      <c r="O3" s="47">
        <v>0.0</v>
      </c>
      <c r="P3" s="11" t="s">
        <v>1504</v>
      </c>
      <c r="Q3" s="47">
        <v>0.0</v>
      </c>
      <c r="R3" s="11" t="s">
        <v>1505</v>
      </c>
      <c r="S3" s="47">
        <v>0.0</v>
      </c>
      <c r="T3" s="11" t="s">
        <v>1506</v>
      </c>
      <c r="U3" s="47">
        <v>0.0</v>
      </c>
      <c r="V3" s="11" t="s">
        <v>1507</v>
      </c>
      <c r="W3" s="47">
        <v>0.0</v>
      </c>
      <c r="X3" s="11" t="s">
        <v>1508</v>
      </c>
      <c r="Y3" s="47">
        <v>0.0</v>
      </c>
      <c r="Z3" s="27"/>
      <c r="AA3" s="27"/>
      <c r="AB3" s="11" t="s">
        <v>1509</v>
      </c>
      <c r="AC3" s="47">
        <v>0.0</v>
      </c>
      <c r="AD3" s="27"/>
      <c r="AE3" s="27"/>
      <c r="AF3" s="11" t="s">
        <v>1510</v>
      </c>
      <c r="AG3" s="47">
        <v>0.0</v>
      </c>
    </row>
    <row r="4">
      <c r="A4" s="8">
        <v>1216.0</v>
      </c>
      <c r="B4" s="8" t="s">
        <v>50</v>
      </c>
      <c r="C4" s="9" t="str">
        <f t="shared" si="1"/>
        <v>FWP-03_Water_DISPATCH</v>
      </c>
      <c r="D4" s="21" t="s">
        <v>1511</v>
      </c>
      <c r="E4" s="21" t="s">
        <v>1485</v>
      </c>
      <c r="F4" s="21" t="s">
        <v>1486</v>
      </c>
      <c r="G4" s="9" t="s">
        <v>1487</v>
      </c>
      <c r="H4" s="11" t="s">
        <v>1512</v>
      </c>
      <c r="I4" s="47">
        <v>1.0</v>
      </c>
      <c r="J4" s="11" t="s">
        <v>1513</v>
      </c>
      <c r="K4" s="47">
        <v>0.0</v>
      </c>
      <c r="L4" s="11" t="s">
        <v>1514</v>
      </c>
      <c r="M4" s="47">
        <v>0.0</v>
      </c>
      <c r="N4" s="11" t="s">
        <v>1515</v>
      </c>
      <c r="O4" s="47">
        <v>0.0</v>
      </c>
      <c r="P4" s="11" t="s">
        <v>1516</v>
      </c>
      <c r="Q4" s="47">
        <v>0.0</v>
      </c>
      <c r="R4" s="11" t="s">
        <v>1517</v>
      </c>
      <c r="S4" s="47">
        <v>0.0</v>
      </c>
      <c r="T4" s="11" t="s">
        <v>1518</v>
      </c>
      <c r="U4" s="47">
        <v>0.0</v>
      </c>
      <c r="V4" s="11" t="s">
        <v>1519</v>
      </c>
      <c r="W4" s="47">
        <v>0.0</v>
      </c>
      <c r="X4" s="11" t="s">
        <v>1520</v>
      </c>
      <c r="Y4" s="47">
        <v>0.0</v>
      </c>
      <c r="Z4" s="27"/>
      <c r="AA4" s="27"/>
      <c r="AB4" s="11" t="s">
        <v>1521</v>
      </c>
      <c r="AC4" s="47">
        <v>0.0</v>
      </c>
      <c r="AD4" s="27"/>
      <c r="AE4" s="27"/>
      <c r="AF4" s="11" t="s">
        <v>1522</v>
      </c>
      <c r="AG4" s="47">
        <v>0.0</v>
      </c>
    </row>
    <row r="5">
      <c r="A5" s="8">
        <v>1216.0</v>
      </c>
      <c r="B5" s="8" t="s">
        <v>50</v>
      </c>
      <c r="C5" s="9" t="str">
        <f t="shared" si="1"/>
        <v>FWP-04_Water_DISPATCH</v>
      </c>
      <c r="D5" s="21" t="s">
        <v>1523</v>
      </c>
      <c r="E5" s="21" t="s">
        <v>1485</v>
      </c>
      <c r="F5" s="21" t="s">
        <v>1486</v>
      </c>
      <c r="G5" s="9" t="s">
        <v>1487</v>
      </c>
      <c r="H5" s="11" t="s">
        <v>1524</v>
      </c>
      <c r="I5" s="47">
        <v>1.0</v>
      </c>
      <c r="J5" s="11" t="s">
        <v>1525</v>
      </c>
      <c r="K5" s="47">
        <v>0.0</v>
      </c>
      <c r="L5" s="11" t="s">
        <v>1526</v>
      </c>
      <c r="M5" s="47">
        <v>0.0</v>
      </c>
      <c r="N5" s="11" t="s">
        <v>1527</v>
      </c>
      <c r="O5" s="47">
        <v>0.0</v>
      </c>
      <c r="P5" s="11" t="s">
        <v>1528</v>
      </c>
      <c r="Q5" s="47">
        <v>0.0</v>
      </c>
      <c r="R5" s="11" t="s">
        <v>1529</v>
      </c>
      <c r="S5" s="47">
        <v>0.0</v>
      </c>
      <c r="T5" s="11" t="s">
        <v>1530</v>
      </c>
      <c r="U5" s="47">
        <v>0.0</v>
      </c>
      <c r="V5" s="11" t="s">
        <v>1531</v>
      </c>
      <c r="W5" s="47">
        <v>0.0</v>
      </c>
      <c r="X5" s="11" t="s">
        <v>1532</v>
      </c>
      <c r="Y5" s="47">
        <v>0.0</v>
      </c>
      <c r="Z5" s="27"/>
      <c r="AA5" s="27"/>
      <c r="AB5" s="11" t="s">
        <v>1533</v>
      </c>
      <c r="AC5" s="47">
        <v>0.0</v>
      </c>
      <c r="AD5" s="27"/>
      <c r="AE5" s="27"/>
      <c r="AF5" s="11" t="s">
        <v>1534</v>
      </c>
      <c r="AG5" s="47">
        <v>0.0</v>
      </c>
    </row>
    <row r="6">
      <c r="A6" s="8">
        <v>1216.0</v>
      </c>
      <c r="B6" s="8" t="s">
        <v>50</v>
      </c>
      <c r="C6" s="9" t="str">
        <f t="shared" si="1"/>
        <v>FWP-05_Water_DISPATCH</v>
      </c>
      <c r="D6" s="21" t="s">
        <v>1535</v>
      </c>
      <c r="E6" s="21" t="s">
        <v>1485</v>
      </c>
      <c r="F6" s="21" t="s">
        <v>1486</v>
      </c>
      <c r="G6" s="9" t="s">
        <v>1487</v>
      </c>
      <c r="H6" s="11" t="s">
        <v>1536</v>
      </c>
      <c r="I6" s="47">
        <v>1.0</v>
      </c>
      <c r="J6" s="11" t="s">
        <v>1537</v>
      </c>
      <c r="K6" s="47">
        <v>0.0</v>
      </c>
      <c r="L6" s="11" t="s">
        <v>1538</v>
      </c>
      <c r="M6" s="47">
        <v>0.0</v>
      </c>
      <c r="N6" s="11" t="s">
        <v>1539</v>
      </c>
      <c r="O6" s="47">
        <v>0.0</v>
      </c>
      <c r="P6" s="11" t="s">
        <v>1540</v>
      </c>
      <c r="Q6" s="47">
        <v>0.0</v>
      </c>
      <c r="R6" s="11" t="s">
        <v>1541</v>
      </c>
      <c r="S6" s="47">
        <v>0.0</v>
      </c>
      <c r="T6" s="11" t="s">
        <v>1542</v>
      </c>
      <c r="U6" s="47">
        <v>0.0</v>
      </c>
      <c r="V6" s="11" t="s">
        <v>1543</v>
      </c>
      <c r="W6" s="47">
        <v>0.0</v>
      </c>
      <c r="X6" s="11" t="s">
        <v>1544</v>
      </c>
      <c r="Y6" s="47">
        <v>0.0</v>
      </c>
      <c r="Z6" s="27"/>
      <c r="AA6" s="27"/>
      <c r="AB6" s="11" t="s">
        <v>1545</v>
      </c>
      <c r="AC6" s="47">
        <v>0.0</v>
      </c>
      <c r="AD6" s="27"/>
      <c r="AE6" s="27"/>
      <c r="AF6" s="11" t="s">
        <v>1546</v>
      </c>
      <c r="AG6" s="47">
        <v>0.0</v>
      </c>
    </row>
    <row r="7">
      <c r="A7" s="8">
        <v>1216.0</v>
      </c>
      <c r="B7" s="8" t="s">
        <v>50</v>
      </c>
      <c r="C7" s="9" t="str">
        <f t="shared" si="1"/>
        <v>FWP-06_Water_DISPATCH</v>
      </c>
      <c r="D7" s="21" t="s">
        <v>1547</v>
      </c>
      <c r="E7" s="21" t="s">
        <v>1485</v>
      </c>
      <c r="F7" s="21" t="s">
        <v>1486</v>
      </c>
      <c r="G7" s="9" t="s">
        <v>1487</v>
      </c>
      <c r="H7" s="11" t="s">
        <v>1548</v>
      </c>
      <c r="I7" s="47">
        <v>1.0</v>
      </c>
      <c r="J7" s="11" t="s">
        <v>1549</v>
      </c>
      <c r="K7" s="47">
        <v>0.0</v>
      </c>
      <c r="L7" s="11" t="s">
        <v>1550</v>
      </c>
      <c r="M7" s="47">
        <v>0.0</v>
      </c>
      <c r="N7" s="11" t="s">
        <v>1551</v>
      </c>
      <c r="O7" s="47">
        <v>0.0</v>
      </c>
      <c r="P7" s="11" t="s">
        <v>1552</v>
      </c>
      <c r="Q7" s="47">
        <v>0.0</v>
      </c>
      <c r="R7" s="11" t="s">
        <v>1553</v>
      </c>
      <c r="S7" s="47">
        <v>0.0</v>
      </c>
      <c r="T7" s="11" t="s">
        <v>1554</v>
      </c>
      <c r="U7" s="47">
        <v>0.0</v>
      </c>
      <c r="V7" s="11" t="s">
        <v>1555</v>
      </c>
      <c r="W7" s="47">
        <v>0.0</v>
      </c>
      <c r="X7" s="11" t="s">
        <v>1556</v>
      </c>
      <c r="Y7" s="47">
        <v>0.0</v>
      </c>
      <c r="Z7" s="27"/>
      <c r="AA7" s="27"/>
      <c r="AB7" s="11" t="s">
        <v>1557</v>
      </c>
      <c r="AC7" s="47">
        <v>0.0</v>
      </c>
      <c r="AD7" s="27"/>
      <c r="AE7" s="27"/>
      <c r="AF7" s="11" t="s">
        <v>1558</v>
      </c>
      <c r="AG7" s="47">
        <v>0.0</v>
      </c>
    </row>
    <row r="8">
      <c r="A8" s="8">
        <v>1216.0</v>
      </c>
      <c r="B8" s="8" t="s">
        <v>50</v>
      </c>
      <c r="C8" s="9" t="str">
        <f t="shared" si="1"/>
        <v>FWP-07_Water_DISPATCH</v>
      </c>
      <c r="D8" s="21" t="s">
        <v>1559</v>
      </c>
      <c r="E8" s="21" t="s">
        <v>1485</v>
      </c>
      <c r="F8" s="21" t="s">
        <v>1486</v>
      </c>
      <c r="G8" s="9" t="s">
        <v>1487</v>
      </c>
      <c r="H8" s="11" t="s">
        <v>1560</v>
      </c>
      <c r="I8" s="47">
        <v>1.0</v>
      </c>
      <c r="J8" s="11" t="s">
        <v>1561</v>
      </c>
      <c r="K8" s="47">
        <v>0.0</v>
      </c>
      <c r="L8" s="11" t="s">
        <v>1562</v>
      </c>
      <c r="M8" s="47">
        <v>0.0</v>
      </c>
      <c r="N8" s="11" t="s">
        <v>1563</v>
      </c>
      <c r="O8" s="47">
        <v>0.0</v>
      </c>
      <c r="P8" s="11" t="s">
        <v>1564</v>
      </c>
      <c r="Q8" s="47">
        <v>0.0</v>
      </c>
      <c r="R8" s="11" t="s">
        <v>1565</v>
      </c>
      <c r="S8" s="47">
        <v>0.0</v>
      </c>
      <c r="T8" s="11" t="s">
        <v>1566</v>
      </c>
      <c r="U8" s="47">
        <v>0.0</v>
      </c>
      <c r="V8" s="11" t="s">
        <v>1567</v>
      </c>
      <c r="W8" s="47">
        <v>0.0</v>
      </c>
      <c r="X8" s="11" t="s">
        <v>1568</v>
      </c>
      <c r="Y8" s="47">
        <v>0.0</v>
      </c>
      <c r="Z8" s="27"/>
      <c r="AA8" s="27"/>
      <c r="AB8" s="11" t="s">
        <v>1569</v>
      </c>
      <c r="AC8" s="47">
        <v>0.0</v>
      </c>
      <c r="AD8" s="27"/>
      <c r="AE8" s="27"/>
      <c r="AF8" s="11" t="s">
        <v>1570</v>
      </c>
      <c r="AG8" s="47">
        <v>0.0</v>
      </c>
    </row>
    <row r="9">
      <c r="A9" s="8">
        <v>1216.0</v>
      </c>
      <c r="B9" s="8" t="s">
        <v>50</v>
      </c>
      <c r="C9" s="9" t="str">
        <f t="shared" si="1"/>
        <v>JCY-01_Jockey_DISPATCH</v>
      </c>
      <c r="D9" s="21" t="s">
        <v>1571</v>
      </c>
      <c r="E9" s="21" t="s">
        <v>1572</v>
      </c>
      <c r="F9" s="21" t="s">
        <v>1486</v>
      </c>
      <c r="G9" s="9" t="s">
        <v>1487</v>
      </c>
      <c r="H9" s="11" t="s">
        <v>1573</v>
      </c>
      <c r="I9" s="47">
        <v>1.0</v>
      </c>
      <c r="J9" s="11" t="s">
        <v>1574</v>
      </c>
      <c r="K9" s="47">
        <v>0.0</v>
      </c>
      <c r="L9" s="11" t="s">
        <v>1575</v>
      </c>
      <c r="M9" s="47">
        <v>0.0</v>
      </c>
      <c r="N9" s="11" t="s">
        <v>1576</v>
      </c>
      <c r="O9" s="47">
        <v>0.0</v>
      </c>
      <c r="P9" s="11" t="s">
        <v>1577</v>
      </c>
      <c r="Q9" s="47">
        <v>0.0</v>
      </c>
      <c r="R9" s="27"/>
      <c r="S9" s="27"/>
      <c r="T9" s="27"/>
      <c r="U9" s="27"/>
      <c r="V9" s="27"/>
      <c r="W9" s="27"/>
      <c r="X9" s="27"/>
      <c r="Y9" s="27"/>
      <c r="Z9" s="11" t="s">
        <v>1578</v>
      </c>
      <c r="AA9" s="47">
        <v>0.0</v>
      </c>
      <c r="AB9" s="11" t="s">
        <v>1579</v>
      </c>
      <c r="AC9" s="47">
        <v>0.0</v>
      </c>
      <c r="AD9" s="27"/>
      <c r="AE9" s="27"/>
      <c r="AF9" s="27"/>
      <c r="AG9" s="27"/>
    </row>
    <row r="10">
      <c r="A10" s="8">
        <v>1216.0</v>
      </c>
      <c r="B10" s="8" t="s">
        <v>50</v>
      </c>
      <c r="C10" s="9" t="str">
        <f t="shared" si="1"/>
        <v>JCY-02_Jockey_DISPATCH</v>
      </c>
      <c r="D10" s="21" t="s">
        <v>1580</v>
      </c>
      <c r="E10" s="21" t="s">
        <v>1572</v>
      </c>
      <c r="F10" s="21" t="s">
        <v>1486</v>
      </c>
      <c r="G10" s="9" t="s">
        <v>1487</v>
      </c>
      <c r="H10" s="11" t="s">
        <v>1581</v>
      </c>
      <c r="I10" s="47">
        <v>1.0</v>
      </c>
      <c r="J10" s="11" t="s">
        <v>1582</v>
      </c>
      <c r="K10" s="47">
        <v>0.0</v>
      </c>
      <c r="L10" s="11" t="s">
        <v>1583</v>
      </c>
      <c r="M10" s="47">
        <v>0.0</v>
      </c>
      <c r="N10" s="11" t="s">
        <v>1584</v>
      </c>
      <c r="O10" s="47">
        <v>0.0</v>
      </c>
      <c r="P10" s="11" t="s">
        <v>1585</v>
      </c>
      <c r="Q10" s="47">
        <v>0.0</v>
      </c>
      <c r="R10" s="27"/>
      <c r="S10" s="27"/>
      <c r="T10" s="27"/>
      <c r="U10" s="27"/>
      <c r="V10" s="27"/>
      <c r="W10" s="27"/>
      <c r="X10" s="27"/>
      <c r="Y10" s="27"/>
      <c r="Z10" s="11" t="s">
        <v>1586</v>
      </c>
      <c r="AA10" s="47">
        <v>0.0</v>
      </c>
      <c r="AB10" s="11" t="s">
        <v>1587</v>
      </c>
      <c r="AC10" s="47">
        <v>0.0</v>
      </c>
      <c r="AD10" s="27"/>
      <c r="AE10" s="27"/>
      <c r="AF10" s="27"/>
      <c r="AG10" s="27"/>
    </row>
    <row r="11">
      <c r="A11" s="8">
        <v>1216.0</v>
      </c>
      <c r="B11" s="8" t="s">
        <v>50</v>
      </c>
      <c r="C11" s="9" t="str">
        <f t="shared" si="1"/>
        <v>Farthest Point PT_WATER Pressure_Near Tank no. 01</v>
      </c>
      <c r="D11" s="9" t="s">
        <v>1588</v>
      </c>
      <c r="E11" s="9" t="s">
        <v>1589</v>
      </c>
      <c r="F11" s="9" t="s">
        <v>1590</v>
      </c>
      <c r="G11" s="9" t="s">
        <v>1591</v>
      </c>
      <c r="H11" s="27"/>
      <c r="I11" s="27"/>
      <c r="J11" s="27"/>
      <c r="K11" s="27"/>
      <c r="L11" s="27"/>
      <c r="M11" s="27"/>
      <c r="N11" s="48" t="s">
        <v>1592</v>
      </c>
      <c r="O11" s="47">
        <v>0.0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</row>
    <row r="12">
      <c r="A12" s="8">
        <v>1216.0</v>
      </c>
      <c r="B12" s="8" t="s">
        <v>50</v>
      </c>
      <c r="C12" s="9" t="str">
        <f t="shared" si="1"/>
        <v>Nearest Point PT_WATER Pressure_FWP pump house</v>
      </c>
      <c r="D12" s="9" t="s">
        <v>1593</v>
      </c>
      <c r="E12" s="9" t="s">
        <v>1589</v>
      </c>
      <c r="F12" s="9" t="s">
        <v>1590</v>
      </c>
      <c r="G12" s="9" t="s">
        <v>1594</v>
      </c>
      <c r="H12" s="27"/>
      <c r="I12" s="27"/>
      <c r="J12" s="27"/>
      <c r="K12" s="27"/>
      <c r="L12" s="27"/>
      <c r="M12" s="27"/>
      <c r="N12" s="48" t="s">
        <v>1595</v>
      </c>
      <c r="O12" s="47">
        <v>0.0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5" max="5" width="11.88"/>
    <col customWidth="1" min="6" max="6" width="23.0"/>
    <col customWidth="1" min="8" max="8" width="23.5"/>
    <col customWidth="1" min="9" max="9" width="11.5"/>
    <col customWidth="1" min="10" max="10" width="23.5"/>
    <col customWidth="1" min="11" max="11" width="11.5"/>
  </cols>
  <sheetData>
    <row r="1">
      <c r="A1" s="51" t="s">
        <v>0</v>
      </c>
      <c r="B1" s="51" t="s">
        <v>1</v>
      </c>
      <c r="C1" s="42" t="s">
        <v>2</v>
      </c>
      <c r="D1" s="42" t="s">
        <v>1596</v>
      </c>
      <c r="E1" s="42" t="s">
        <v>1</v>
      </c>
      <c r="F1" s="43" t="s">
        <v>1597</v>
      </c>
      <c r="G1" s="44" t="s">
        <v>1598</v>
      </c>
      <c r="H1" s="43" t="s">
        <v>1599</v>
      </c>
      <c r="I1" s="44" t="s">
        <v>1600</v>
      </c>
      <c r="J1" s="43" t="s">
        <v>1601</v>
      </c>
      <c r="K1" s="44" t="s">
        <v>1602</v>
      </c>
      <c r="L1" s="43" t="s">
        <v>1603</v>
      </c>
      <c r="M1" s="44" t="s">
        <v>1604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9">
        <v>1216.0</v>
      </c>
      <c r="B2" s="9" t="s">
        <v>50</v>
      </c>
      <c r="C2" s="9" t="str">
        <f t="shared" ref="C2:C3" si="1">CONCATENATE(D2,"_",E2)</f>
        <v>UPS-01_CR - Process</v>
      </c>
      <c r="D2" s="9" t="s">
        <v>1605</v>
      </c>
      <c r="E2" s="52" t="s">
        <v>1606</v>
      </c>
      <c r="F2" s="53" t="s">
        <v>1607</v>
      </c>
      <c r="G2" s="54">
        <v>0.0</v>
      </c>
      <c r="H2" s="53" t="s">
        <v>1608</v>
      </c>
      <c r="I2" s="54">
        <v>0.0</v>
      </c>
      <c r="J2" s="53" t="s">
        <v>1609</v>
      </c>
      <c r="K2" s="54">
        <v>0.0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9">
        <v>1216.0</v>
      </c>
      <c r="B3" s="9" t="s">
        <v>50</v>
      </c>
      <c r="C3" s="9" t="str">
        <f t="shared" si="1"/>
        <v>UPS-02_CR - Safety</v>
      </c>
      <c r="D3" s="9" t="s">
        <v>1610</v>
      </c>
      <c r="E3" s="52" t="s">
        <v>1611</v>
      </c>
      <c r="F3" s="53" t="s">
        <v>1612</v>
      </c>
      <c r="G3" s="54">
        <v>0.0</v>
      </c>
      <c r="H3" s="53" t="s">
        <v>1613</v>
      </c>
      <c r="I3" s="54">
        <v>0.0</v>
      </c>
      <c r="J3" s="53" t="s">
        <v>1614</v>
      </c>
      <c r="K3" s="54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6" max="6" width="26.25"/>
    <col customWidth="1" min="10" max="10" width="27.25"/>
    <col customWidth="1" min="14" max="14" width="33.75"/>
    <col customWidth="1" min="18" max="18" width="33.75"/>
    <col customWidth="1" min="22" max="22" width="26.38"/>
    <col customWidth="1" min="26" max="26" width="26.38"/>
  </cols>
  <sheetData>
    <row r="1">
      <c r="A1" s="51" t="s">
        <v>0</v>
      </c>
      <c r="B1" s="51" t="s">
        <v>1</v>
      </c>
      <c r="C1" s="42" t="s">
        <v>2</v>
      </c>
      <c r="D1" s="42" t="s">
        <v>1615</v>
      </c>
      <c r="E1" s="42" t="s">
        <v>1</v>
      </c>
      <c r="F1" s="55" t="s">
        <v>1616</v>
      </c>
      <c r="G1" s="56" t="s">
        <v>1617</v>
      </c>
      <c r="H1" s="55" t="s">
        <v>9</v>
      </c>
      <c r="I1" s="55" t="s">
        <v>862</v>
      </c>
      <c r="J1" s="55" t="s">
        <v>1618</v>
      </c>
      <c r="K1" s="56" t="s">
        <v>1619</v>
      </c>
      <c r="L1" s="55" t="s">
        <v>9</v>
      </c>
      <c r="M1" s="55" t="s">
        <v>10</v>
      </c>
      <c r="N1" s="55" t="s">
        <v>1620</v>
      </c>
      <c r="O1" s="56" t="s">
        <v>1621</v>
      </c>
      <c r="P1" s="55" t="s">
        <v>861</v>
      </c>
      <c r="Q1" s="55" t="s">
        <v>10</v>
      </c>
      <c r="R1" s="55" t="s">
        <v>1622</v>
      </c>
      <c r="S1" s="56" t="s">
        <v>1623</v>
      </c>
      <c r="T1" s="55" t="s">
        <v>9</v>
      </c>
      <c r="U1" s="55" t="s">
        <v>1624</v>
      </c>
      <c r="V1" s="55" t="s">
        <v>1625</v>
      </c>
      <c r="W1" s="56" t="s">
        <v>1626</v>
      </c>
      <c r="X1" s="55" t="s">
        <v>861</v>
      </c>
      <c r="Y1" s="55" t="s">
        <v>10</v>
      </c>
      <c r="Z1" s="55" t="s">
        <v>1627</v>
      </c>
      <c r="AA1" s="56" t="s">
        <v>1628</v>
      </c>
      <c r="AB1" s="55" t="s">
        <v>9</v>
      </c>
      <c r="AC1" s="55" t="s">
        <v>10</v>
      </c>
    </row>
    <row r="2">
      <c r="A2" s="9">
        <v>1216.0</v>
      </c>
      <c r="B2" s="9" t="s">
        <v>50</v>
      </c>
      <c r="C2" s="9" t="str">
        <f t="shared" ref="C2:C5" si="1">CONCATENATE(D2,"_",E2)</f>
        <v>GEPLC_Process PLC</v>
      </c>
      <c r="D2" s="9" t="s">
        <v>1629</v>
      </c>
      <c r="E2" s="52" t="s">
        <v>1630</v>
      </c>
      <c r="F2" s="12" t="s">
        <v>1631</v>
      </c>
      <c r="G2" s="9">
        <v>1.0</v>
      </c>
      <c r="H2" s="9" t="s">
        <v>1632</v>
      </c>
      <c r="I2" s="9" t="s">
        <v>1633</v>
      </c>
      <c r="J2" s="12" t="s">
        <v>1634</v>
      </c>
      <c r="K2" s="9">
        <v>1.0</v>
      </c>
      <c r="L2" s="9" t="s">
        <v>1632</v>
      </c>
      <c r="M2" s="9" t="s">
        <v>1635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9">
        <v>1216.0</v>
      </c>
      <c r="B3" s="9" t="s">
        <v>50</v>
      </c>
      <c r="C3" s="9" t="str">
        <f t="shared" si="1"/>
        <v>SFT PLC_Safety PLC1</v>
      </c>
      <c r="D3" s="9" t="s">
        <v>1636</v>
      </c>
      <c r="E3" s="57" t="s">
        <v>1637</v>
      </c>
      <c r="F3" s="11" t="s">
        <v>1638</v>
      </c>
      <c r="G3" s="9">
        <v>1.0</v>
      </c>
      <c r="H3" s="9" t="s">
        <v>1639</v>
      </c>
      <c r="I3" s="9" t="s">
        <v>1633</v>
      </c>
      <c r="J3" s="11" t="s">
        <v>1640</v>
      </c>
      <c r="K3" s="9">
        <v>1.0</v>
      </c>
      <c r="L3" s="9" t="s">
        <v>1639</v>
      </c>
      <c r="M3" s="9" t="s">
        <v>1635</v>
      </c>
      <c r="N3" s="11" t="s">
        <v>1641</v>
      </c>
      <c r="O3" s="9">
        <v>0.0</v>
      </c>
      <c r="P3" s="9" t="s">
        <v>1639</v>
      </c>
      <c r="Q3" s="9" t="s">
        <v>1633</v>
      </c>
      <c r="R3" s="11" t="s">
        <v>1642</v>
      </c>
      <c r="S3" s="9">
        <v>0.0</v>
      </c>
      <c r="T3" s="9" t="s">
        <v>1639</v>
      </c>
      <c r="U3" s="9" t="s">
        <v>1635</v>
      </c>
      <c r="V3" s="11" t="s">
        <v>1643</v>
      </c>
      <c r="W3" s="47">
        <v>0.0</v>
      </c>
      <c r="X3" s="9" t="s">
        <v>1639</v>
      </c>
      <c r="Y3" s="9" t="s">
        <v>1633</v>
      </c>
      <c r="Z3" s="11" t="s">
        <v>1644</v>
      </c>
      <c r="AA3" s="47">
        <v>0.0</v>
      </c>
      <c r="AB3" s="9" t="s">
        <v>1639</v>
      </c>
      <c r="AC3" s="9" t="s">
        <v>1635</v>
      </c>
    </row>
    <row r="4">
      <c r="A4" s="9">
        <v>1216.0</v>
      </c>
      <c r="B4" s="9" t="s">
        <v>50</v>
      </c>
      <c r="C4" s="9" t="str">
        <f t="shared" si="1"/>
        <v>SFT PLC_Safety PLC2</v>
      </c>
      <c r="D4" s="9" t="s">
        <v>1636</v>
      </c>
      <c r="E4" s="57" t="s">
        <v>1645</v>
      </c>
      <c r="F4" s="11" t="s">
        <v>1646</v>
      </c>
      <c r="G4" s="9">
        <v>1.0</v>
      </c>
      <c r="H4" s="9" t="s">
        <v>1639</v>
      </c>
      <c r="I4" s="9" t="s">
        <v>1633</v>
      </c>
      <c r="J4" s="11" t="s">
        <v>1647</v>
      </c>
      <c r="K4" s="9">
        <v>1.0</v>
      </c>
      <c r="L4" s="9" t="s">
        <v>1639</v>
      </c>
      <c r="M4" s="9" t="s">
        <v>1635</v>
      </c>
      <c r="N4" s="11" t="s">
        <v>1648</v>
      </c>
      <c r="O4" s="9">
        <v>0.0</v>
      </c>
      <c r="P4" s="9" t="s">
        <v>1639</v>
      </c>
      <c r="Q4" s="9" t="s">
        <v>1633</v>
      </c>
      <c r="R4" s="11" t="s">
        <v>1649</v>
      </c>
      <c r="S4" s="9">
        <v>0.0</v>
      </c>
      <c r="T4" s="9" t="s">
        <v>1639</v>
      </c>
      <c r="U4" s="9" t="s">
        <v>1635</v>
      </c>
      <c r="V4" s="11" t="s">
        <v>1650</v>
      </c>
      <c r="W4" s="47">
        <v>0.0</v>
      </c>
      <c r="X4" s="9" t="s">
        <v>1639</v>
      </c>
      <c r="Y4" s="9" t="s">
        <v>1633</v>
      </c>
      <c r="Z4" s="11" t="s">
        <v>1651</v>
      </c>
      <c r="AA4" s="47">
        <v>0.0</v>
      </c>
      <c r="AB4" s="9" t="s">
        <v>1639</v>
      </c>
      <c r="AC4" s="9" t="s">
        <v>1635</v>
      </c>
    </row>
    <row r="5">
      <c r="A5" s="9">
        <v>1216.0</v>
      </c>
      <c r="B5" s="9" t="s">
        <v>50</v>
      </c>
      <c r="C5" s="9" t="str">
        <f t="shared" si="1"/>
        <v>SFT PLC_Safety PLC3</v>
      </c>
      <c r="D5" s="9" t="s">
        <v>1636</v>
      </c>
      <c r="E5" s="57" t="s">
        <v>1652</v>
      </c>
      <c r="F5" s="11" t="s">
        <v>1653</v>
      </c>
      <c r="G5" s="9">
        <v>1.0</v>
      </c>
      <c r="H5" s="9" t="s">
        <v>1639</v>
      </c>
      <c r="I5" s="9" t="s">
        <v>1633</v>
      </c>
      <c r="J5" s="11" t="s">
        <v>1654</v>
      </c>
      <c r="K5" s="9">
        <v>1.0</v>
      </c>
      <c r="L5" s="9" t="s">
        <v>1639</v>
      </c>
      <c r="M5" s="9" t="s">
        <v>1635</v>
      </c>
      <c r="N5" s="11" t="s">
        <v>1655</v>
      </c>
      <c r="O5" s="9">
        <v>0.0</v>
      </c>
      <c r="P5" s="9" t="s">
        <v>1639</v>
      </c>
      <c r="Q5" s="9" t="s">
        <v>1633</v>
      </c>
      <c r="R5" s="11" t="s">
        <v>1656</v>
      </c>
      <c r="S5" s="9">
        <v>0.0</v>
      </c>
      <c r="T5" s="9" t="s">
        <v>1639</v>
      </c>
      <c r="U5" s="9" t="s">
        <v>1635</v>
      </c>
      <c r="V5" s="11" t="s">
        <v>1657</v>
      </c>
      <c r="W5" s="47">
        <v>0.0</v>
      </c>
      <c r="X5" s="9" t="s">
        <v>1639</v>
      </c>
      <c r="Y5" s="9" t="s">
        <v>1633</v>
      </c>
      <c r="Z5" s="11" t="s">
        <v>1658</v>
      </c>
      <c r="AA5" s="47">
        <v>0.0</v>
      </c>
      <c r="AB5" s="9" t="s">
        <v>1639</v>
      </c>
      <c r="AC5" s="9" t="s">
        <v>1635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25"/>
    <col customWidth="1" min="4" max="4" width="6.88"/>
    <col customWidth="1" min="5" max="5" width="16.88"/>
    <col customWidth="1" min="6" max="7" width="19.63"/>
    <col customWidth="1" min="8" max="8" width="26.38"/>
    <col customWidth="1" min="9" max="9" width="35.5"/>
    <col customWidth="1" min="10" max="10" width="26.38"/>
    <col customWidth="1" min="11" max="12" width="31.75"/>
    <col customWidth="1" min="13" max="13" width="11.5"/>
    <col customWidth="1" min="14" max="14" width="36.75"/>
    <col customWidth="1" min="16" max="16" width="17.38"/>
    <col customWidth="1" min="17" max="17" width="12.25"/>
    <col customWidth="1" min="18" max="18" width="29.75"/>
  </cols>
  <sheetData>
    <row r="1">
      <c r="A1" s="58" t="s">
        <v>0</v>
      </c>
      <c r="B1" s="58" t="s">
        <v>1</v>
      </c>
      <c r="C1" s="42" t="s">
        <v>2</v>
      </c>
      <c r="D1" s="42" t="s">
        <v>1659</v>
      </c>
      <c r="E1" s="33" t="s">
        <v>1660</v>
      </c>
      <c r="F1" s="59" t="s">
        <v>1</v>
      </c>
      <c r="G1" s="55" t="s">
        <v>1661</v>
      </c>
      <c r="H1" s="56" t="s">
        <v>1662</v>
      </c>
      <c r="I1" s="55" t="s">
        <v>1663</v>
      </c>
      <c r="J1" s="56" t="s">
        <v>1664</v>
      </c>
      <c r="K1" s="55" t="s">
        <v>1665</v>
      </c>
      <c r="L1" s="56" t="s">
        <v>1666</v>
      </c>
      <c r="M1" s="55" t="s">
        <v>1667</v>
      </c>
      <c r="N1" s="56" t="s">
        <v>1668</v>
      </c>
      <c r="O1" s="55" t="s">
        <v>1669</v>
      </c>
      <c r="P1" s="56" t="s">
        <v>1670</v>
      </c>
      <c r="Q1" s="5" t="s">
        <v>1671</v>
      </c>
      <c r="R1" s="55" t="s">
        <v>7</v>
      </c>
      <c r="T1" s="35"/>
      <c r="U1" s="35"/>
      <c r="V1" s="35"/>
      <c r="W1" s="35"/>
      <c r="X1" s="35"/>
      <c r="Y1" s="35"/>
      <c r="Z1" s="35"/>
      <c r="AA1" s="35"/>
      <c r="AB1" s="35"/>
    </row>
    <row r="2">
      <c r="A2" s="9">
        <v>1216.0</v>
      </c>
      <c r="B2" s="9" t="s">
        <v>50</v>
      </c>
      <c r="C2" s="9" t="str">
        <f t="shared" ref="C2:C23" si="1">CONCATENATE(D2,"_",E2,"_",F2)</f>
        <v>HDS-01_HCD-OPENPATH-01_TANK - 17</v>
      </c>
      <c r="D2" s="21" t="s">
        <v>1672</v>
      </c>
      <c r="E2" s="22" t="s">
        <v>1673</v>
      </c>
      <c r="F2" s="21" t="s">
        <v>1674</v>
      </c>
      <c r="G2" s="11" t="s">
        <v>1675</v>
      </c>
      <c r="H2" s="47">
        <v>0.0</v>
      </c>
      <c r="I2" s="11" t="s">
        <v>1676</v>
      </c>
      <c r="J2" s="47">
        <v>0.0</v>
      </c>
      <c r="K2" s="11" t="s">
        <v>1677</v>
      </c>
      <c r="L2" s="47">
        <v>0.0</v>
      </c>
      <c r="M2" s="11" t="s">
        <v>1678</v>
      </c>
      <c r="N2" s="47">
        <v>0.0</v>
      </c>
      <c r="O2" s="11" t="s">
        <v>1679</v>
      </c>
      <c r="P2" s="47">
        <v>0.0</v>
      </c>
      <c r="Q2" s="60" t="s">
        <v>1680</v>
      </c>
      <c r="R2" s="47">
        <v>0.0</v>
      </c>
      <c r="T2" s="35"/>
      <c r="U2" s="35"/>
      <c r="V2" s="35"/>
      <c r="W2" s="35"/>
      <c r="X2" s="35"/>
      <c r="Y2" s="35"/>
      <c r="Z2" s="35"/>
      <c r="AA2" s="35"/>
      <c r="AB2" s="35"/>
    </row>
    <row r="3">
      <c r="A3" s="9">
        <v>1216.0</v>
      </c>
      <c r="B3" s="9" t="s">
        <v>50</v>
      </c>
      <c r="C3" s="9" t="str">
        <f t="shared" si="1"/>
        <v>HDS-02_HCD-OPENPATH-02_TANK - 21</v>
      </c>
      <c r="D3" s="21" t="s">
        <v>1681</v>
      </c>
      <c r="E3" s="22" t="s">
        <v>1682</v>
      </c>
      <c r="F3" s="21" t="s">
        <v>1683</v>
      </c>
      <c r="G3" s="11" t="s">
        <v>1684</v>
      </c>
      <c r="H3" s="47">
        <v>0.0</v>
      </c>
      <c r="I3" s="11" t="s">
        <v>1685</v>
      </c>
      <c r="J3" s="47">
        <v>0.0</v>
      </c>
      <c r="K3" s="11" t="s">
        <v>1686</v>
      </c>
      <c r="L3" s="47">
        <v>0.0</v>
      </c>
      <c r="M3" s="11" t="s">
        <v>1687</v>
      </c>
      <c r="N3" s="47">
        <v>0.0</v>
      </c>
      <c r="O3" s="11" t="s">
        <v>1688</v>
      </c>
      <c r="P3" s="47">
        <v>0.0</v>
      </c>
      <c r="Q3" s="60" t="s">
        <v>1680</v>
      </c>
      <c r="R3" s="47">
        <v>0.0</v>
      </c>
    </row>
    <row r="4">
      <c r="A4" s="9">
        <v>1216.0</v>
      </c>
      <c r="B4" s="9" t="s">
        <v>50</v>
      </c>
      <c r="C4" s="9" t="str">
        <f t="shared" si="1"/>
        <v>HDS-03_HCD-OPENPATH-03_TTL PUMP HOUSE</v>
      </c>
      <c r="D4" s="21" t="s">
        <v>1689</v>
      </c>
      <c r="E4" s="22" t="s">
        <v>1690</v>
      </c>
      <c r="F4" s="21" t="s">
        <v>1691</v>
      </c>
      <c r="G4" s="11" t="s">
        <v>1692</v>
      </c>
      <c r="H4" s="47">
        <v>0.0</v>
      </c>
      <c r="I4" s="11" t="s">
        <v>1693</v>
      </c>
      <c r="J4" s="47">
        <v>0.0</v>
      </c>
      <c r="K4" s="11" t="s">
        <v>1694</v>
      </c>
      <c r="L4" s="47">
        <v>0.0</v>
      </c>
      <c r="M4" s="11" t="s">
        <v>1695</v>
      </c>
      <c r="N4" s="47">
        <v>0.0</v>
      </c>
      <c r="O4" s="11" t="s">
        <v>1696</v>
      </c>
      <c r="P4" s="47">
        <v>0.0</v>
      </c>
      <c r="Q4" s="60" t="s">
        <v>1680</v>
      </c>
      <c r="R4" s="47">
        <v>0.0</v>
      </c>
    </row>
    <row r="5">
      <c r="A5" s="9">
        <v>1216.0</v>
      </c>
      <c r="B5" s="9" t="s">
        <v>50</v>
      </c>
      <c r="C5" s="9" t="str">
        <f t="shared" si="1"/>
        <v>HDS-04_HCD-OPENPATH-04_TANK - 19</v>
      </c>
      <c r="D5" s="21" t="s">
        <v>1697</v>
      </c>
      <c r="E5" s="22" t="s">
        <v>1698</v>
      </c>
      <c r="F5" s="21" t="s">
        <v>1699</v>
      </c>
      <c r="G5" s="11" t="s">
        <v>1700</v>
      </c>
      <c r="H5" s="47">
        <v>0.0</v>
      </c>
      <c r="I5" s="11" t="s">
        <v>1701</v>
      </c>
      <c r="J5" s="47">
        <v>0.0</v>
      </c>
      <c r="K5" s="11" t="s">
        <v>1702</v>
      </c>
      <c r="L5" s="47">
        <v>0.0</v>
      </c>
      <c r="M5" s="11" t="s">
        <v>1703</v>
      </c>
      <c r="N5" s="47">
        <v>0.0</v>
      </c>
      <c r="O5" s="11" t="s">
        <v>1704</v>
      </c>
      <c r="P5" s="47">
        <v>0.0</v>
      </c>
      <c r="Q5" s="60" t="s">
        <v>1680</v>
      </c>
      <c r="R5" s="47">
        <v>0.0</v>
      </c>
    </row>
    <row r="6">
      <c r="A6" s="9">
        <v>1216.0</v>
      </c>
      <c r="B6" s="9" t="s">
        <v>50</v>
      </c>
      <c r="C6" s="9" t="str">
        <f t="shared" si="1"/>
        <v>HDS-05_HCD-OPENPATH-05_TANK - 27</v>
      </c>
      <c r="D6" s="21" t="s">
        <v>1705</v>
      </c>
      <c r="E6" s="22" t="s">
        <v>1706</v>
      </c>
      <c r="F6" s="21" t="s">
        <v>1707</v>
      </c>
      <c r="G6" s="11" t="s">
        <v>1708</v>
      </c>
      <c r="H6" s="47">
        <v>0.0</v>
      </c>
      <c r="I6" s="11" t="s">
        <v>1709</v>
      </c>
      <c r="J6" s="47">
        <v>0.0</v>
      </c>
      <c r="K6" s="11" t="s">
        <v>1710</v>
      </c>
      <c r="L6" s="47">
        <v>0.0</v>
      </c>
      <c r="M6" s="11" t="s">
        <v>1711</v>
      </c>
      <c r="N6" s="47">
        <v>0.0</v>
      </c>
      <c r="O6" s="11" t="s">
        <v>1712</v>
      </c>
      <c r="P6" s="47">
        <v>0.0</v>
      </c>
      <c r="Q6" s="60" t="s">
        <v>1680</v>
      </c>
      <c r="R6" s="47">
        <v>0.0</v>
      </c>
    </row>
    <row r="7">
      <c r="A7" s="9">
        <v>1216.0</v>
      </c>
      <c r="B7" s="9" t="s">
        <v>50</v>
      </c>
      <c r="C7" s="9" t="str">
        <f t="shared" si="1"/>
        <v>HDS-06_HCD-OPENPATH-06_TANK - 11</v>
      </c>
      <c r="D7" s="21" t="s">
        <v>1713</v>
      </c>
      <c r="E7" s="22" t="s">
        <v>1714</v>
      </c>
      <c r="F7" s="21" t="s">
        <v>1715</v>
      </c>
      <c r="G7" s="11" t="s">
        <v>1716</v>
      </c>
      <c r="H7" s="47">
        <v>0.0</v>
      </c>
      <c r="I7" s="11" t="s">
        <v>1717</v>
      </c>
      <c r="J7" s="47">
        <v>0.0</v>
      </c>
      <c r="K7" s="11" t="s">
        <v>1718</v>
      </c>
      <c r="L7" s="47">
        <v>0.0</v>
      </c>
      <c r="M7" s="11" t="s">
        <v>1719</v>
      </c>
      <c r="N7" s="47">
        <v>0.0</v>
      </c>
      <c r="O7" s="11" t="s">
        <v>1720</v>
      </c>
      <c r="P7" s="47">
        <v>0.0</v>
      </c>
      <c r="Q7" s="60" t="s">
        <v>1680</v>
      </c>
      <c r="R7" s="47">
        <v>0.0</v>
      </c>
    </row>
    <row r="8">
      <c r="A8" s="9">
        <v>1216.0</v>
      </c>
      <c r="B8" s="9" t="s">
        <v>50</v>
      </c>
      <c r="C8" s="9" t="str">
        <f t="shared" si="1"/>
        <v>HDS-07_HCD-OPENPATH-07_TANK - 10/08</v>
      </c>
      <c r="D8" s="21" t="s">
        <v>1721</v>
      </c>
      <c r="E8" s="22" t="s">
        <v>1722</v>
      </c>
      <c r="F8" s="21" t="s">
        <v>1723</v>
      </c>
      <c r="G8" s="11" t="s">
        <v>1724</v>
      </c>
      <c r="H8" s="47">
        <v>0.0</v>
      </c>
      <c r="I8" s="11" t="s">
        <v>1725</v>
      </c>
      <c r="J8" s="47">
        <v>0.0</v>
      </c>
      <c r="K8" s="11" t="s">
        <v>1726</v>
      </c>
      <c r="L8" s="47">
        <v>0.0</v>
      </c>
      <c r="M8" s="11" t="s">
        <v>1727</v>
      </c>
      <c r="N8" s="47">
        <v>0.0</v>
      </c>
      <c r="O8" s="11" t="s">
        <v>1728</v>
      </c>
      <c r="P8" s="47">
        <v>0.0</v>
      </c>
      <c r="Q8" s="60" t="s">
        <v>1680</v>
      </c>
      <c r="R8" s="47">
        <v>0.0</v>
      </c>
    </row>
    <row r="9">
      <c r="A9" s="9">
        <v>1216.0</v>
      </c>
      <c r="B9" s="9" t="s">
        <v>50</v>
      </c>
      <c r="C9" s="9" t="str">
        <f t="shared" si="1"/>
        <v>HDS-08_HCD-OPENPATH-08_TANK-26/9</v>
      </c>
      <c r="D9" s="21" t="s">
        <v>1729</v>
      </c>
      <c r="E9" s="22" t="s">
        <v>1730</v>
      </c>
      <c r="F9" s="21" t="s">
        <v>1731</v>
      </c>
      <c r="G9" s="11" t="s">
        <v>1732</v>
      </c>
      <c r="H9" s="47">
        <v>0.0</v>
      </c>
      <c r="I9" s="11" t="s">
        <v>1733</v>
      </c>
      <c r="J9" s="47">
        <v>0.0</v>
      </c>
      <c r="K9" s="11" t="s">
        <v>1734</v>
      </c>
      <c r="L9" s="47">
        <v>0.0</v>
      </c>
      <c r="M9" s="11" t="s">
        <v>1735</v>
      </c>
      <c r="N9" s="47">
        <v>0.0</v>
      </c>
      <c r="O9" s="11" t="s">
        <v>1736</v>
      </c>
      <c r="P9" s="47">
        <v>0.0</v>
      </c>
      <c r="Q9" s="60" t="s">
        <v>1680</v>
      </c>
      <c r="R9" s="47">
        <v>0.0</v>
      </c>
    </row>
    <row r="10">
      <c r="A10" s="9">
        <v>1216.0</v>
      </c>
      <c r="B10" s="9" t="s">
        <v>50</v>
      </c>
      <c r="C10" s="9" t="str">
        <f t="shared" si="1"/>
        <v>HDS-09_HCD-OPENPATH-09_TWL PUMP HOUSE</v>
      </c>
      <c r="D10" s="21" t="s">
        <v>1737</v>
      </c>
      <c r="E10" s="22" t="s">
        <v>1738</v>
      </c>
      <c r="F10" s="21" t="s">
        <v>1739</v>
      </c>
      <c r="G10" s="11" t="s">
        <v>1740</v>
      </c>
      <c r="H10" s="47">
        <v>0.0</v>
      </c>
      <c r="I10" s="11" t="s">
        <v>1741</v>
      </c>
      <c r="J10" s="47">
        <v>0.0</v>
      </c>
      <c r="K10" s="11" t="s">
        <v>1742</v>
      </c>
      <c r="L10" s="47">
        <v>0.0</v>
      </c>
      <c r="M10" s="11" t="s">
        <v>1743</v>
      </c>
      <c r="N10" s="47">
        <v>0.0</v>
      </c>
      <c r="O10" s="11" t="s">
        <v>1744</v>
      </c>
      <c r="P10" s="47">
        <v>0.0</v>
      </c>
      <c r="Q10" s="60" t="s">
        <v>1680</v>
      </c>
      <c r="R10" s="47">
        <v>0.0</v>
      </c>
    </row>
    <row r="11">
      <c r="A11" s="9">
        <v>1216.0</v>
      </c>
      <c r="B11" s="9" t="s">
        <v>50</v>
      </c>
      <c r="C11" s="9" t="str">
        <f t="shared" si="1"/>
        <v>HDS-10_HCD-OPENPATH-10_TANK - 13</v>
      </c>
      <c r="D11" s="21" t="s">
        <v>1745</v>
      </c>
      <c r="E11" s="22" t="s">
        <v>1746</v>
      </c>
      <c r="F11" s="21" t="s">
        <v>1747</v>
      </c>
      <c r="G11" s="11" t="s">
        <v>1748</v>
      </c>
      <c r="H11" s="47">
        <v>0.0</v>
      </c>
      <c r="I11" s="11" t="s">
        <v>1749</v>
      </c>
      <c r="J11" s="47">
        <v>0.0</v>
      </c>
      <c r="K11" s="11" t="s">
        <v>1750</v>
      </c>
      <c r="L11" s="47">
        <v>0.0</v>
      </c>
      <c r="M11" s="11" t="s">
        <v>1751</v>
      </c>
      <c r="N11" s="47">
        <v>0.0</v>
      </c>
      <c r="O11" s="11" t="s">
        <v>1752</v>
      </c>
      <c r="P11" s="47">
        <v>0.0</v>
      </c>
      <c r="Q11" s="60" t="s">
        <v>1680</v>
      </c>
      <c r="R11" s="47">
        <v>0.0</v>
      </c>
    </row>
    <row r="12">
      <c r="A12" s="9">
        <v>1216.0</v>
      </c>
      <c r="B12" s="9" t="s">
        <v>50</v>
      </c>
      <c r="C12" s="9" t="str">
        <f t="shared" si="1"/>
        <v>HDS-11_HCD-FIXEDTYPE-01_TANK - 17</v>
      </c>
      <c r="D12" s="21" t="s">
        <v>1753</v>
      </c>
      <c r="E12" s="22" t="s">
        <v>1754</v>
      </c>
      <c r="F12" s="21" t="s">
        <v>1674</v>
      </c>
      <c r="G12" s="11" t="s">
        <v>1755</v>
      </c>
      <c r="H12" s="47">
        <v>0.0</v>
      </c>
      <c r="I12" s="11" t="s">
        <v>1756</v>
      </c>
      <c r="J12" s="47">
        <v>0.0</v>
      </c>
      <c r="K12" s="11" t="s">
        <v>1757</v>
      </c>
      <c r="L12" s="47">
        <v>0.0</v>
      </c>
      <c r="M12" s="11" t="s">
        <v>1758</v>
      </c>
      <c r="N12" s="47">
        <v>0.0</v>
      </c>
      <c r="O12" s="11" t="s">
        <v>1759</v>
      </c>
      <c r="P12" s="47">
        <v>0.0</v>
      </c>
      <c r="Q12" s="60" t="s">
        <v>1680</v>
      </c>
      <c r="R12" s="47">
        <v>0.0</v>
      </c>
    </row>
    <row r="13">
      <c r="A13" s="9">
        <v>1216.0</v>
      </c>
      <c r="B13" s="9" t="s">
        <v>50</v>
      </c>
      <c r="C13" s="9" t="str">
        <f t="shared" si="1"/>
        <v>HDS-12_HCD-FIXEDTYPE-02_TANK - 13</v>
      </c>
      <c r="D13" s="21" t="s">
        <v>1760</v>
      </c>
      <c r="E13" s="22" t="s">
        <v>1761</v>
      </c>
      <c r="F13" s="21" t="s">
        <v>1747</v>
      </c>
      <c r="G13" s="11" t="s">
        <v>1762</v>
      </c>
      <c r="H13" s="47">
        <v>0.0</v>
      </c>
      <c r="I13" s="11" t="s">
        <v>1763</v>
      </c>
      <c r="J13" s="47">
        <v>0.0</v>
      </c>
      <c r="K13" s="11" t="s">
        <v>1764</v>
      </c>
      <c r="L13" s="47">
        <v>0.0</v>
      </c>
      <c r="M13" s="11" t="s">
        <v>1765</v>
      </c>
      <c r="N13" s="47">
        <v>0.0</v>
      </c>
      <c r="O13" s="11" t="s">
        <v>1766</v>
      </c>
      <c r="P13" s="47">
        <v>0.0</v>
      </c>
      <c r="Q13" s="60" t="s">
        <v>1680</v>
      </c>
      <c r="R13" s="47">
        <v>0.0</v>
      </c>
    </row>
    <row r="14">
      <c r="A14" s="9">
        <v>1216.0</v>
      </c>
      <c r="B14" s="9" t="s">
        <v>50</v>
      </c>
      <c r="C14" s="9" t="str">
        <f t="shared" si="1"/>
        <v>HDS-13_HCD-FIXEDTYPE-03_TANK - 19</v>
      </c>
      <c r="D14" s="21" t="s">
        <v>1767</v>
      </c>
      <c r="E14" s="22" t="s">
        <v>1768</v>
      </c>
      <c r="F14" s="21" t="s">
        <v>1699</v>
      </c>
      <c r="G14" s="11" t="s">
        <v>1769</v>
      </c>
      <c r="H14" s="47">
        <v>0.0</v>
      </c>
      <c r="I14" s="11" t="s">
        <v>1770</v>
      </c>
      <c r="J14" s="47">
        <v>0.0</v>
      </c>
      <c r="K14" s="11" t="s">
        <v>1771</v>
      </c>
      <c r="L14" s="47">
        <v>0.0</v>
      </c>
      <c r="M14" s="11" t="s">
        <v>1772</v>
      </c>
      <c r="N14" s="47">
        <v>0.0</v>
      </c>
      <c r="O14" s="11" t="s">
        <v>1773</v>
      </c>
      <c r="P14" s="47">
        <v>0.0</v>
      </c>
      <c r="Q14" s="60" t="s">
        <v>1680</v>
      </c>
      <c r="R14" s="47">
        <v>0.0</v>
      </c>
    </row>
    <row r="15">
      <c r="A15" s="9">
        <v>1216.0</v>
      </c>
      <c r="B15" s="9" t="s">
        <v>50</v>
      </c>
      <c r="C15" s="9" t="str">
        <f t="shared" si="1"/>
        <v>HDS-14_HCD-FIXEDTYPE-04_TANK - 26</v>
      </c>
      <c r="D15" s="21" t="s">
        <v>1774</v>
      </c>
      <c r="E15" s="22" t="s">
        <v>1775</v>
      </c>
      <c r="F15" s="21" t="s">
        <v>1776</v>
      </c>
      <c r="G15" s="11" t="s">
        <v>1777</v>
      </c>
      <c r="H15" s="47">
        <v>0.0</v>
      </c>
      <c r="I15" s="11" t="s">
        <v>1778</v>
      </c>
      <c r="J15" s="47">
        <v>0.0</v>
      </c>
      <c r="K15" s="11" t="s">
        <v>1779</v>
      </c>
      <c r="L15" s="47">
        <v>0.0</v>
      </c>
      <c r="M15" s="11" t="s">
        <v>1780</v>
      </c>
      <c r="N15" s="47">
        <v>0.0</v>
      </c>
      <c r="O15" s="11" t="s">
        <v>1781</v>
      </c>
      <c r="P15" s="47">
        <v>0.0</v>
      </c>
      <c r="Q15" s="60" t="s">
        <v>1680</v>
      </c>
      <c r="R15" s="47">
        <v>0.0</v>
      </c>
    </row>
    <row r="16">
      <c r="A16" s="9">
        <v>1216.0</v>
      </c>
      <c r="B16" s="9" t="s">
        <v>50</v>
      </c>
      <c r="C16" s="9" t="str">
        <f t="shared" si="1"/>
        <v>HDS-15_HCD-FIXEDTYPE-05_ETP</v>
      </c>
      <c r="D16" s="21" t="s">
        <v>1782</v>
      </c>
      <c r="E16" s="22" t="s">
        <v>1783</v>
      </c>
      <c r="F16" s="21" t="s">
        <v>1784</v>
      </c>
      <c r="G16" s="11" t="s">
        <v>1785</v>
      </c>
      <c r="H16" s="47">
        <v>0.0</v>
      </c>
      <c r="I16" s="11" t="s">
        <v>1786</v>
      </c>
      <c r="J16" s="47">
        <v>0.0</v>
      </c>
      <c r="K16" s="11" t="s">
        <v>1787</v>
      </c>
      <c r="L16" s="47">
        <v>0.0</v>
      </c>
      <c r="M16" s="11" t="s">
        <v>1788</v>
      </c>
      <c r="N16" s="47">
        <v>0.0</v>
      </c>
      <c r="O16" s="11" t="s">
        <v>1789</v>
      </c>
      <c r="P16" s="47">
        <v>0.0</v>
      </c>
      <c r="Q16" s="60" t="s">
        <v>1680</v>
      </c>
      <c r="R16" s="47">
        <v>0.0</v>
      </c>
    </row>
    <row r="17">
      <c r="A17" s="9">
        <v>1216.0</v>
      </c>
      <c r="B17" s="9" t="s">
        <v>50</v>
      </c>
      <c r="C17" s="9" t="str">
        <f t="shared" si="1"/>
        <v>HDS-16_HCD-FIXEDTYPE-06_TT PUMP HOUSE</v>
      </c>
      <c r="D17" s="21" t="s">
        <v>1790</v>
      </c>
      <c r="E17" s="22" t="s">
        <v>1791</v>
      </c>
      <c r="F17" s="21" t="s">
        <v>1792</v>
      </c>
      <c r="G17" s="11" t="s">
        <v>1793</v>
      </c>
      <c r="H17" s="47">
        <v>0.0</v>
      </c>
      <c r="I17" s="11" t="s">
        <v>1794</v>
      </c>
      <c r="J17" s="47">
        <v>0.0</v>
      </c>
      <c r="K17" s="11" t="s">
        <v>1795</v>
      </c>
      <c r="L17" s="47">
        <v>0.0</v>
      </c>
      <c r="M17" s="11" t="s">
        <v>1796</v>
      </c>
      <c r="N17" s="47">
        <v>0.0</v>
      </c>
      <c r="O17" s="11" t="s">
        <v>1797</v>
      </c>
      <c r="P17" s="47">
        <v>0.0</v>
      </c>
      <c r="Q17" s="60" t="s">
        <v>1680</v>
      </c>
      <c r="R17" s="47">
        <v>0.0</v>
      </c>
    </row>
    <row r="18">
      <c r="A18" s="9">
        <v>1216.0</v>
      </c>
      <c r="B18" s="9" t="s">
        <v>50</v>
      </c>
      <c r="C18" s="9" t="str">
        <f t="shared" si="1"/>
        <v>HDS-17_HCD-FIXEDTYPE-07_TWG PUMP HOUSE</v>
      </c>
      <c r="D18" s="21" t="s">
        <v>1798</v>
      </c>
      <c r="E18" s="22" t="s">
        <v>1799</v>
      </c>
      <c r="F18" s="21" t="s">
        <v>1800</v>
      </c>
      <c r="G18" s="11" t="s">
        <v>1801</v>
      </c>
      <c r="H18" s="47">
        <v>0.0</v>
      </c>
      <c r="I18" s="11" t="s">
        <v>1802</v>
      </c>
      <c r="J18" s="47">
        <v>0.0</v>
      </c>
      <c r="K18" s="11" t="s">
        <v>1803</v>
      </c>
      <c r="L18" s="47">
        <v>0.0</v>
      </c>
      <c r="M18" s="11" t="s">
        <v>1804</v>
      </c>
      <c r="N18" s="47">
        <v>0.0</v>
      </c>
      <c r="O18" s="11" t="s">
        <v>1805</v>
      </c>
      <c r="P18" s="47">
        <v>0.0</v>
      </c>
      <c r="Q18" s="60" t="s">
        <v>1680</v>
      </c>
      <c r="R18" s="47">
        <v>0.0</v>
      </c>
    </row>
    <row r="19">
      <c r="A19" s="9">
        <v>1216.0</v>
      </c>
      <c r="B19" s="9" t="s">
        <v>50</v>
      </c>
      <c r="C19" s="9" t="str">
        <f t="shared" si="1"/>
        <v>HDS-18_HCD-OPENPATH-11_ETH PUMP HOUSE</v>
      </c>
      <c r="D19" s="21" t="s">
        <v>1806</v>
      </c>
      <c r="E19" s="22" t="s">
        <v>1807</v>
      </c>
      <c r="F19" s="21" t="s">
        <v>1808</v>
      </c>
      <c r="G19" s="11" t="s">
        <v>1809</v>
      </c>
      <c r="H19" s="47">
        <v>0.0</v>
      </c>
      <c r="I19" s="11" t="s">
        <v>1810</v>
      </c>
      <c r="J19" s="47">
        <v>0.0</v>
      </c>
      <c r="K19" s="11" t="s">
        <v>1811</v>
      </c>
      <c r="L19" s="47">
        <v>0.0</v>
      </c>
      <c r="M19" s="11" t="s">
        <v>1812</v>
      </c>
      <c r="N19" s="47">
        <v>0.0</v>
      </c>
      <c r="O19" s="11" t="s">
        <v>1813</v>
      </c>
      <c r="P19" s="47">
        <v>0.0</v>
      </c>
      <c r="Q19" s="60" t="s">
        <v>1680</v>
      </c>
      <c r="R19" s="47">
        <v>0.0</v>
      </c>
    </row>
    <row r="20">
      <c r="A20" s="9">
        <v>1216.0</v>
      </c>
      <c r="B20" s="9" t="s">
        <v>50</v>
      </c>
      <c r="C20" s="9" t="str">
        <f t="shared" si="1"/>
        <v>HDS-19_HCD-FIXEDTYPE-08_ETH PUMP HOUSE</v>
      </c>
      <c r="D20" s="21" t="s">
        <v>1814</v>
      </c>
      <c r="E20" s="22" t="s">
        <v>1815</v>
      </c>
      <c r="F20" s="21" t="s">
        <v>1808</v>
      </c>
      <c r="G20" s="11" t="s">
        <v>1816</v>
      </c>
      <c r="H20" s="47">
        <v>0.0</v>
      </c>
      <c r="I20" s="11" t="s">
        <v>1817</v>
      </c>
      <c r="J20" s="47">
        <v>0.0</v>
      </c>
      <c r="K20" s="11" t="s">
        <v>1818</v>
      </c>
      <c r="L20" s="47">
        <v>0.0</v>
      </c>
      <c r="M20" s="11" t="s">
        <v>1819</v>
      </c>
      <c r="N20" s="47">
        <v>0.0</v>
      </c>
      <c r="O20" s="11" t="s">
        <v>1820</v>
      </c>
      <c r="P20" s="47">
        <v>0.0</v>
      </c>
      <c r="Q20" s="60" t="s">
        <v>1680</v>
      </c>
      <c r="R20" s="47">
        <v>0.0</v>
      </c>
    </row>
    <row r="21">
      <c r="A21" s="9">
        <v>1216.0</v>
      </c>
      <c r="B21" s="9" t="s">
        <v>50</v>
      </c>
      <c r="C21" s="9" t="str">
        <f t="shared" si="1"/>
        <v>HDS-20_HCD-FIXEDTYPE-09_VRU</v>
      </c>
      <c r="D21" s="21" t="s">
        <v>1821</v>
      </c>
      <c r="E21" s="22" t="s">
        <v>1822</v>
      </c>
      <c r="F21" s="21" t="s">
        <v>1823</v>
      </c>
      <c r="G21" s="11" t="s">
        <v>1824</v>
      </c>
      <c r="H21" s="47">
        <v>0.0</v>
      </c>
      <c r="I21" s="11" t="s">
        <v>1825</v>
      </c>
      <c r="J21" s="47">
        <v>0.0</v>
      </c>
      <c r="K21" s="11" t="s">
        <v>1826</v>
      </c>
      <c r="L21" s="47">
        <v>0.0</v>
      </c>
      <c r="M21" s="11" t="s">
        <v>1827</v>
      </c>
      <c r="N21" s="47">
        <v>0.0</v>
      </c>
      <c r="O21" s="11" t="s">
        <v>1828</v>
      </c>
      <c r="P21" s="47">
        <v>0.0</v>
      </c>
      <c r="Q21" s="60" t="s">
        <v>1680</v>
      </c>
      <c r="R21" s="47">
        <v>0.0</v>
      </c>
    </row>
    <row r="22">
      <c r="A22" s="9">
        <v>1216.0</v>
      </c>
      <c r="B22" s="9" t="s">
        <v>50</v>
      </c>
      <c r="C22" s="9" t="str">
        <f t="shared" si="1"/>
        <v>HDS-21_HCD-OPENPATH-12_TK-14 OPEN PATH HCD</v>
      </c>
      <c r="D22" s="21" t="s">
        <v>1829</v>
      </c>
      <c r="E22" s="22" t="s">
        <v>1830</v>
      </c>
      <c r="F22" s="21" t="s">
        <v>1831</v>
      </c>
      <c r="G22" s="11" t="s">
        <v>1832</v>
      </c>
      <c r="H22" s="47">
        <v>0.0</v>
      </c>
      <c r="I22" s="11" t="s">
        <v>1833</v>
      </c>
      <c r="J22" s="47">
        <v>0.0</v>
      </c>
      <c r="K22" s="11" t="s">
        <v>1834</v>
      </c>
      <c r="L22" s="47">
        <v>0.0</v>
      </c>
      <c r="M22" s="11" t="s">
        <v>1835</v>
      </c>
      <c r="N22" s="47">
        <v>0.0</v>
      </c>
      <c r="O22" s="11" t="s">
        <v>1836</v>
      </c>
      <c r="P22" s="47">
        <v>0.0</v>
      </c>
      <c r="Q22" s="60" t="s">
        <v>1680</v>
      </c>
      <c r="R22" s="47">
        <v>0.0</v>
      </c>
    </row>
    <row r="23">
      <c r="A23" s="9">
        <v>1216.0</v>
      </c>
      <c r="B23" s="9" t="s">
        <v>50</v>
      </c>
      <c r="C23" s="9" t="str">
        <f t="shared" si="1"/>
        <v>HDS-22_HCD-FIXEDTYPE-10_TK-14 FIXED PATH HCD</v>
      </c>
      <c r="D23" s="21" t="s">
        <v>1837</v>
      </c>
      <c r="E23" s="22" t="s">
        <v>1838</v>
      </c>
      <c r="F23" s="21" t="s">
        <v>1839</v>
      </c>
      <c r="G23" s="11" t="s">
        <v>1840</v>
      </c>
      <c r="H23" s="47">
        <v>0.0</v>
      </c>
      <c r="I23" s="11" t="s">
        <v>1841</v>
      </c>
      <c r="J23" s="47">
        <v>0.0</v>
      </c>
      <c r="K23" s="11" t="s">
        <v>1842</v>
      </c>
      <c r="L23" s="47">
        <v>0.0</v>
      </c>
      <c r="M23" s="11" t="s">
        <v>1843</v>
      </c>
      <c r="N23" s="47">
        <v>0.0</v>
      </c>
      <c r="O23" s="11" t="s">
        <v>1844</v>
      </c>
      <c r="P23" s="47">
        <v>0.0</v>
      </c>
      <c r="Q23" s="60" t="s">
        <v>1680</v>
      </c>
      <c r="R23" s="47">
        <v>0.0</v>
      </c>
    </row>
    <row r="24">
      <c r="E24" s="32"/>
      <c r="F24" s="32"/>
      <c r="G24" s="32"/>
    </row>
    <row r="25">
      <c r="E25" s="32"/>
      <c r="F25" s="32"/>
      <c r="G25" s="32"/>
    </row>
    <row r="26">
      <c r="E26" s="32"/>
      <c r="F26" s="32"/>
      <c r="G26" s="32"/>
    </row>
    <row r="27">
      <c r="E27" s="32"/>
      <c r="F27" s="32"/>
      <c r="G27" s="32"/>
    </row>
    <row r="28">
      <c r="E28" s="32"/>
      <c r="F28" s="32"/>
      <c r="G28" s="32"/>
    </row>
    <row r="29">
      <c r="E29" s="32"/>
      <c r="F29" s="32"/>
      <c r="G29" s="32"/>
    </row>
    <row r="30">
      <c r="E30" s="32"/>
      <c r="F30" s="32"/>
      <c r="G30" s="32"/>
    </row>
    <row r="31">
      <c r="E31" s="32"/>
      <c r="F31" s="32"/>
      <c r="G31" s="32"/>
    </row>
    <row r="32">
      <c r="E32" s="32"/>
      <c r="F32" s="32"/>
      <c r="G32" s="32"/>
    </row>
    <row r="33">
      <c r="E33" s="32"/>
      <c r="F33" s="32"/>
      <c r="G33" s="32"/>
    </row>
    <row r="34">
      <c r="E34" s="32"/>
      <c r="F34" s="32"/>
      <c r="G34" s="32"/>
    </row>
    <row r="35">
      <c r="E35" s="32"/>
      <c r="F35" s="32"/>
      <c r="G35" s="32"/>
    </row>
    <row r="36">
      <c r="E36" s="32"/>
      <c r="F36" s="32"/>
      <c r="G36" s="32"/>
    </row>
    <row r="37">
      <c r="E37" s="32"/>
      <c r="F37" s="32"/>
      <c r="G37" s="32"/>
    </row>
    <row r="38">
      <c r="E38" s="32"/>
      <c r="F38" s="32"/>
      <c r="G38" s="32"/>
    </row>
    <row r="39">
      <c r="E39" s="32"/>
      <c r="F39" s="32"/>
      <c r="G39" s="32"/>
    </row>
    <row r="40">
      <c r="E40" s="32"/>
      <c r="F40" s="32"/>
      <c r="G40" s="32"/>
    </row>
    <row r="41">
      <c r="E41" s="32"/>
      <c r="F41" s="32"/>
      <c r="G41" s="32"/>
    </row>
    <row r="42">
      <c r="E42" s="32"/>
      <c r="F42" s="32"/>
      <c r="G42" s="32"/>
    </row>
    <row r="43">
      <c r="E43" s="32"/>
      <c r="F43" s="32"/>
      <c r="G43" s="32"/>
    </row>
    <row r="44">
      <c r="E44" s="32"/>
      <c r="F44" s="32"/>
      <c r="G44" s="32"/>
    </row>
    <row r="45">
      <c r="E45" s="32"/>
      <c r="F45" s="32"/>
      <c r="G45" s="32"/>
    </row>
    <row r="46">
      <c r="E46" s="32"/>
      <c r="F46" s="32"/>
      <c r="G46" s="32"/>
    </row>
    <row r="47">
      <c r="E47" s="32"/>
      <c r="F47" s="32"/>
      <c r="G47" s="32"/>
    </row>
    <row r="48">
      <c r="E48" s="32"/>
      <c r="F48" s="32"/>
      <c r="G48" s="32"/>
    </row>
    <row r="49">
      <c r="E49" s="32"/>
      <c r="F49" s="32"/>
      <c r="G49" s="32"/>
    </row>
    <row r="50">
      <c r="E50" s="32"/>
      <c r="F50" s="32"/>
      <c r="G50" s="32"/>
    </row>
    <row r="51">
      <c r="E51" s="32"/>
      <c r="F51" s="32"/>
      <c r="G51" s="32"/>
    </row>
    <row r="52">
      <c r="E52" s="32"/>
      <c r="F52" s="32"/>
      <c r="G52" s="32"/>
    </row>
    <row r="53">
      <c r="E53" s="32"/>
      <c r="F53" s="32"/>
      <c r="G53" s="32"/>
    </row>
    <row r="54">
      <c r="E54" s="32"/>
      <c r="F54" s="32"/>
      <c r="G54" s="32"/>
    </row>
    <row r="55">
      <c r="E55" s="32"/>
      <c r="F55" s="32"/>
      <c r="G55" s="32"/>
    </row>
    <row r="56">
      <c r="E56" s="32"/>
      <c r="F56" s="32"/>
      <c r="G56" s="32"/>
    </row>
    <row r="57">
      <c r="E57" s="32"/>
      <c r="F57" s="32"/>
      <c r="G57" s="32"/>
    </row>
    <row r="58">
      <c r="E58" s="32"/>
      <c r="F58" s="32"/>
      <c r="G58" s="32"/>
    </row>
    <row r="59">
      <c r="E59" s="32"/>
      <c r="F59" s="32"/>
      <c r="G59" s="32"/>
    </row>
    <row r="60">
      <c r="E60" s="32"/>
      <c r="F60" s="32"/>
      <c r="G60" s="32"/>
    </row>
    <row r="61">
      <c r="E61" s="32"/>
      <c r="F61" s="32"/>
      <c r="G61" s="32"/>
    </row>
    <row r="62">
      <c r="E62" s="32"/>
      <c r="F62" s="32"/>
      <c r="G62" s="32"/>
    </row>
    <row r="63">
      <c r="E63" s="32"/>
      <c r="F63" s="32"/>
      <c r="G63" s="32"/>
    </row>
    <row r="64">
      <c r="E64" s="32"/>
      <c r="F64" s="32"/>
      <c r="G64" s="32"/>
    </row>
    <row r="65">
      <c r="E65" s="32"/>
      <c r="F65" s="32"/>
      <c r="G65" s="32"/>
    </row>
    <row r="66">
      <c r="E66" s="32"/>
      <c r="F66" s="32"/>
      <c r="G66" s="32"/>
    </row>
    <row r="67">
      <c r="E67" s="32"/>
      <c r="F67" s="32"/>
      <c r="G67" s="32"/>
    </row>
    <row r="68">
      <c r="E68" s="32"/>
      <c r="F68" s="32"/>
      <c r="G68" s="32"/>
    </row>
    <row r="69">
      <c r="E69" s="32"/>
      <c r="F69" s="32"/>
      <c r="G69" s="32"/>
    </row>
    <row r="70">
      <c r="E70" s="32"/>
      <c r="F70" s="32"/>
      <c r="G70" s="32"/>
    </row>
    <row r="71">
      <c r="E71" s="32"/>
      <c r="F71" s="32"/>
      <c r="G71" s="32"/>
    </row>
    <row r="72">
      <c r="E72" s="32"/>
      <c r="F72" s="32"/>
      <c r="G72" s="32"/>
    </row>
    <row r="73">
      <c r="E73" s="32"/>
      <c r="F73" s="32"/>
      <c r="G73" s="32"/>
    </row>
    <row r="74">
      <c r="E74" s="32"/>
      <c r="F74" s="32"/>
      <c r="G74" s="32"/>
    </row>
    <row r="75">
      <c r="E75" s="32"/>
      <c r="F75" s="32"/>
      <c r="G75" s="32"/>
    </row>
    <row r="76">
      <c r="E76" s="32"/>
      <c r="F76" s="32"/>
      <c r="G76" s="32"/>
    </row>
    <row r="77">
      <c r="E77" s="32"/>
      <c r="F77" s="32"/>
      <c r="G77" s="32"/>
    </row>
    <row r="78">
      <c r="E78" s="32"/>
      <c r="F78" s="32"/>
      <c r="G78" s="32"/>
    </row>
    <row r="79">
      <c r="E79" s="32"/>
      <c r="F79" s="32"/>
      <c r="G79" s="32"/>
    </row>
    <row r="80">
      <c r="E80" s="32"/>
      <c r="F80" s="32"/>
      <c r="G80" s="32"/>
    </row>
    <row r="81">
      <c r="E81" s="32"/>
      <c r="F81" s="32"/>
      <c r="G81" s="32"/>
    </row>
    <row r="82">
      <c r="E82" s="32"/>
      <c r="F82" s="32"/>
      <c r="G82" s="32"/>
    </row>
    <row r="83">
      <c r="E83" s="32"/>
      <c r="F83" s="32"/>
      <c r="G83" s="32"/>
    </row>
    <row r="84">
      <c r="E84" s="32"/>
      <c r="F84" s="32"/>
      <c r="G84" s="32"/>
    </row>
    <row r="85">
      <c r="E85" s="32"/>
      <c r="F85" s="32"/>
      <c r="G85" s="32"/>
    </row>
    <row r="86">
      <c r="E86" s="32"/>
      <c r="F86" s="32"/>
      <c r="G86" s="32"/>
    </row>
    <row r="87">
      <c r="E87" s="32"/>
      <c r="F87" s="32"/>
      <c r="G87" s="32"/>
    </row>
    <row r="88">
      <c r="E88" s="32"/>
      <c r="F88" s="32"/>
      <c r="G88" s="32"/>
    </row>
    <row r="89">
      <c r="E89" s="32"/>
      <c r="F89" s="32"/>
      <c r="G89" s="32"/>
    </row>
    <row r="90">
      <c r="E90" s="32"/>
      <c r="F90" s="32"/>
      <c r="G90" s="32"/>
    </row>
    <row r="91">
      <c r="E91" s="32"/>
      <c r="F91" s="32"/>
      <c r="G91" s="32"/>
    </row>
    <row r="92">
      <c r="E92" s="32"/>
      <c r="F92" s="32"/>
      <c r="G92" s="32"/>
    </row>
    <row r="93">
      <c r="E93" s="32"/>
      <c r="F93" s="32"/>
      <c r="G93" s="32"/>
    </row>
    <row r="94">
      <c r="E94" s="32"/>
      <c r="F94" s="32"/>
      <c r="G94" s="32"/>
    </row>
    <row r="95">
      <c r="E95" s="32"/>
      <c r="F95" s="32"/>
      <c r="G95" s="32"/>
    </row>
    <row r="96">
      <c r="E96" s="32"/>
      <c r="F96" s="32"/>
      <c r="G96" s="32"/>
    </row>
    <row r="97">
      <c r="E97" s="32"/>
      <c r="F97" s="32"/>
      <c r="G97" s="32"/>
    </row>
    <row r="98">
      <c r="E98" s="32"/>
      <c r="F98" s="32"/>
      <c r="G98" s="32"/>
    </row>
    <row r="99">
      <c r="E99" s="32"/>
      <c r="F99" s="32"/>
      <c r="G99" s="32"/>
    </row>
    <row r="100">
      <c r="E100" s="32"/>
      <c r="F100" s="32"/>
      <c r="G100" s="32"/>
    </row>
    <row r="101">
      <c r="E101" s="32"/>
      <c r="F101" s="32"/>
      <c r="G101" s="32"/>
    </row>
    <row r="102">
      <c r="E102" s="32"/>
      <c r="F102" s="32"/>
      <c r="G102" s="32"/>
    </row>
    <row r="103">
      <c r="E103" s="32"/>
      <c r="F103" s="32"/>
      <c r="G103" s="32"/>
    </row>
    <row r="104">
      <c r="E104" s="32"/>
      <c r="F104" s="32"/>
      <c r="G104" s="32"/>
    </row>
    <row r="105">
      <c r="E105" s="32"/>
      <c r="F105" s="32"/>
      <c r="G105" s="32"/>
    </row>
    <row r="106">
      <c r="E106" s="32"/>
      <c r="F106" s="32"/>
      <c r="G106" s="32"/>
    </row>
    <row r="107">
      <c r="E107" s="32"/>
      <c r="F107" s="32"/>
      <c r="G107" s="32"/>
    </row>
    <row r="108">
      <c r="E108" s="32"/>
      <c r="F108" s="32"/>
      <c r="G108" s="32"/>
    </row>
    <row r="109">
      <c r="E109" s="32"/>
      <c r="F109" s="32"/>
      <c r="G109" s="32"/>
    </row>
    <row r="110">
      <c r="E110" s="32"/>
      <c r="F110" s="32"/>
      <c r="G110" s="32"/>
    </row>
    <row r="111">
      <c r="E111" s="32"/>
      <c r="F111" s="32"/>
      <c r="G111" s="32"/>
    </row>
    <row r="112">
      <c r="E112" s="32"/>
      <c r="F112" s="32"/>
      <c r="G112" s="32"/>
    </row>
    <row r="113">
      <c r="E113" s="32"/>
      <c r="F113" s="32"/>
      <c r="G113" s="32"/>
    </row>
    <row r="114">
      <c r="E114" s="32"/>
      <c r="F114" s="32"/>
      <c r="G114" s="32"/>
    </row>
    <row r="115">
      <c r="E115" s="32"/>
      <c r="F115" s="32"/>
      <c r="G115" s="32"/>
    </row>
    <row r="116">
      <c r="E116" s="32"/>
      <c r="F116" s="32"/>
      <c r="G116" s="32"/>
    </row>
    <row r="117">
      <c r="E117" s="32"/>
      <c r="F117" s="32"/>
      <c r="G117" s="32"/>
    </row>
    <row r="118">
      <c r="E118" s="32"/>
      <c r="F118" s="32"/>
      <c r="G118" s="32"/>
    </row>
    <row r="119">
      <c r="E119" s="32"/>
      <c r="F119" s="32"/>
      <c r="G119" s="32"/>
    </row>
    <row r="120">
      <c r="E120" s="32"/>
      <c r="F120" s="32"/>
      <c r="G120" s="32"/>
    </row>
    <row r="121">
      <c r="E121" s="32"/>
      <c r="F121" s="32"/>
      <c r="G121" s="32"/>
    </row>
    <row r="122">
      <c r="E122" s="32"/>
      <c r="F122" s="32"/>
      <c r="G122" s="32"/>
    </row>
    <row r="123">
      <c r="E123" s="32"/>
      <c r="F123" s="32"/>
      <c r="G123" s="32"/>
    </row>
    <row r="124">
      <c r="E124" s="32"/>
      <c r="F124" s="32"/>
      <c r="G124" s="32"/>
    </row>
    <row r="125">
      <c r="E125" s="32"/>
      <c r="F125" s="32"/>
      <c r="G125" s="32"/>
    </row>
    <row r="126">
      <c r="E126" s="32"/>
      <c r="F126" s="32"/>
      <c r="G126" s="32"/>
    </row>
    <row r="127">
      <c r="E127" s="32"/>
      <c r="F127" s="32"/>
      <c r="G127" s="32"/>
    </row>
    <row r="128">
      <c r="E128" s="32"/>
      <c r="F128" s="32"/>
      <c r="G128" s="32"/>
    </row>
    <row r="129">
      <c r="E129" s="32"/>
      <c r="F129" s="32"/>
      <c r="G129" s="32"/>
    </row>
    <row r="130">
      <c r="E130" s="32"/>
      <c r="F130" s="32"/>
      <c r="G130" s="32"/>
    </row>
    <row r="131">
      <c r="E131" s="32"/>
      <c r="F131" s="32"/>
      <c r="G131" s="32"/>
    </row>
    <row r="132">
      <c r="E132" s="32"/>
      <c r="F132" s="32"/>
      <c r="G132" s="32"/>
    </row>
    <row r="133">
      <c r="E133" s="32"/>
      <c r="F133" s="32"/>
      <c r="G133" s="32"/>
    </row>
    <row r="134">
      <c r="E134" s="32"/>
      <c r="F134" s="32"/>
      <c r="G134" s="32"/>
    </row>
    <row r="135">
      <c r="E135" s="32"/>
      <c r="F135" s="32"/>
      <c r="G135" s="32"/>
    </row>
    <row r="136">
      <c r="E136" s="32"/>
      <c r="F136" s="32"/>
      <c r="G136" s="32"/>
    </row>
    <row r="137">
      <c r="E137" s="32"/>
      <c r="F137" s="32"/>
      <c r="G137" s="32"/>
    </row>
    <row r="138">
      <c r="E138" s="32"/>
      <c r="F138" s="32"/>
      <c r="G138" s="32"/>
    </row>
    <row r="139">
      <c r="E139" s="32"/>
      <c r="F139" s="32"/>
      <c r="G139" s="32"/>
    </row>
    <row r="140">
      <c r="E140" s="32"/>
      <c r="F140" s="32"/>
      <c r="G140" s="32"/>
    </row>
    <row r="141">
      <c r="E141" s="32"/>
      <c r="F141" s="32"/>
      <c r="G141" s="32"/>
    </row>
    <row r="142">
      <c r="E142" s="32"/>
      <c r="F142" s="32"/>
      <c r="G142" s="32"/>
    </row>
    <row r="143">
      <c r="E143" s="32"/>
      <c r="F143" s="32"/>
      <c r="G143" s="32"/>
    </row>
    <row r="144">
      <c r="E144" s="32"/>
      <c r="F144" s="32"/>
      <c r="G144" s="32"/>
    </row>
    <row r="145">
      <c r="E145" s="32"/>
      <c r="F145" s="32"/>
      <c r="G145" s="32"/>
    </row>
    <row r="146">
      <c r="E146" s="32"/>
      <c r="F146" s="32"/>
      <c r="G146" s="32"/>
    </row>
    <row r="147">
      <c r="E147" s="32"/>
      <c r="F147" s="32"/>
      <c r="G147" s="32"/>
    </row>
    <row r="148">
      <c r="E148" s="32"/>
      <c r="F148" s="32"/>
      <c r="G148" s="32"/>
    </row>
    <row r="149">
      <c r="E149" s="32"/>
      <c r="F149" s="32"/>
      <c r="G149" s="32"/>
    </row>
    <row r="150">
      <c r="E150" s="32"/>
      <c r="F150" s="32"/>
      <c r="G150" s="32"/>
    </row>
    <row r="151">
      <c r="E151" s="32"/>
      <c r="F151" s="32"/>
      <c r="G151" s="32"/>
    </row>
    <row r="152">
      <c r="E152" s="32"/>
      <c r="F152" s="32"/>
      <c r="G152" s="32"/>
    </row>
    <row r="153">
      <c r="E153" s="32"/>
      <c r="F153" s="32"/>
      <c r="G153" s="32"/>
    </row>
    <row r="154">
      <c r="E154" s="32"/>
      <c r="F154" s="32"/>
      <c r="G154" s="32"/>
    </row>
    <row r="155">
      <c r="E155" s="32"/>
      <c r="F155" s="32"/>
      <c r="G155" s="32"/>
    </row>
    <row r="156">
      <c r="E156" s="32"/>
      <c r="F156" s="32"/>
      <c r="G156" s="32"/>
    </row>
    <row r="157">
      <c r="E157" s="32"/>
      <c r="F157" s="32"/>
      <c r="G157" s="32"/>
    </row>
    <row r="158">
      <c r="E158" s="32"/>
      <c r="F158" s="32"/>
      <c r="G158" s="32"/>
    </row>
    <row r="159">
      <c r="E159" s="32"/>
      <c r="F159" s="32"/>
      <c r="G159" s="32"/>
    </row>
    <row r="160">
      <c r="E160" s="32"/>
      <c r="F160" s="32"/>
      <c r="G160" s="32"/>
    </row>
    <row r="161">
      <c r="E161" s="32"/>
      <c r="F161" s="32"/>
      <c r="G161" s="32"/>
    </row>
    <row r="162">
      <c r="E162" s="32"/>
      <c r="F162" s="32"/>
      <c r="G162" s="32"/>
    </row>
    <row r="163">
      <c r="E163" s="32"/>
      <c r="F163" s="32"/>
      <c r="G163" s="32"/>
    </row>
    <row r="164">
      <c r="E164" s="32"/>
      <c r="F164" s="32"/>
      <c r="G164" s="32"/>
    </row>
    <row r="165">
      <c r="E165" s="32"/>
      <c r="F165" s="32"/>
      <c r="G165" s="32"/>
    </row>
    <row r="166">
      <c r="E166" s="32"/>
      <c r="F166" s="32"/>
      <c r="G166" s="32"/>
    </row>
    <row r="167">
      <c r="E167" s="32"/>
      <c r="F167" s="32"/>
      <c r="G167" s="32"/>
    </row>
    <row r="168">
      <c r="E168" s="32"/>
      <c r="F168" s="32"/>
      <c r="G168" s="32"/>
    </row>
    <row r="169">
      <c r="E169" s="32"/>
      <c r="F169" s="32"/>
      <c r="G169" s="32"/>
    </row>
    <row r="170">
      <c r="E170" s="32"/>
      <c r="F170" s="32"/>
      <c r="G170" s="32"/>
    </row>
    <row r="171">
      <c r="E171" s="32"/>
      <c r="F171" s="32"/>
      <c r="G171" s="32"/>
    </row>
    <row r="172">
      <c r="E172" s="32"/>
      <c r="F172" s="32"/>
      <c r="G172" s="32"/>
    </row>
    <row r="173">
      <c r="E173" s="32"/>
      <c r="F173" s="32"/>
      <c r="G173" s="32"/>
    </row>
    <row r="174">
      <c r="E174" s="32"/>
      <c r="F174" s="32"/>
      <c r="G174" s="32"/>
    </row>
    <row r="175">
      <c r="E175" s="32"/>
      <c r="F175" s="32"/>
      <c r="G175" s="32"/>
    </row>
    <row r="176">
      <c r="E176" s="32"/>
      <c r="F176" s="32"/>
      <c r="G176" s="32"/>
    </row>
    <row r="177">
      <c r="E177" s="32"/>
      <c r="F177" s="32"/>
      <c r="G177" s="32"/>
    </row>
    <row r="178">
      <c r="E178" s="32"/>
      <c r="F178" s="32"/>
      <c r="G178" s="32"/>
    </row>
    <row r="179">
      <c r="E179" s="32"/>
      <c r="F179" s="32"/>
      <c r="G179" s="32"/>
    </row>
    <row r="180">
      <c r="E180" s="32"/>
      <c r="F180" s="32"/>
      <c r="G180" s="32"/>
    </row>
    <row r="181">
      <c r="E181" s="32"/>
      <c r="F181" s="32"/>
      <c r="G181" s="32"/>
    </row>
    <row r="182">
      <c r="E182" s="32"/>
      <c r="F182" s="32"/>
      <c r="G182" s="32"/>
    </row>
    <row r="183">
      <c r="E183" s="32"/>
      <c r="F183" s="32"/>
      <c r="G183" s="32"/>
    </row>
    <row r="184">
      <c r="E184" s="32"/>
      <c r="F184" s="32"/>
      <c r="G184" s="32"/>
    </row>
    <row r="185">
      <c r="E185" s="32"/>
      <c r="F185" s="32"/>
      <c r="G185" s="32"/>
    </row>
    <row r="186">
      <c r="E186" s="32"/>
      <c r="F186" s="32"/>
      <c r="G186" s="32"/>
    </row>
    <row r="187">
      <c r="E187" s="32"/>
      <c r="F187" s="32"/>
      <c r="G187" s="32"/>
    </row>
    <row r="188">
      <c r="E188" s="32"/>
      <c r="F188" s="32"/>
      <c r="G188" s="32"/>
    </row>
    <row r="189">
      <c r="E189" s="32"/>
      <c r="F189" s="32"/>
      <c r="G189" s="32"/>
    </row>
    <row r="190">
      <c r="E190" s="32"/>
      <c r="F190" s="32"/>
      <c r="G190" s="32"/>
    </row>
    <row r="191">
      <c r="E191" s="32"/>
      <c r="F191" s="32"/>
      <c r="G191" s="32"/>
    </row>
    <row r="192">
      <c r="E192" s="32"/>
      <c r="F192" s="32"/>
      <c r="G192" s="32"/>
    </row>
    <row r="193">
      <c r="E193" s="32"/>
      <c r="F193" s="32"/>
      <c r="G193" s="32"/>
    </row>
    <row r="194">
      <c r="E194" s="32"/>
      <c r="F194" s="32"/>
      <c r="G194" s="32"/>
    </row>
    <row r="195">
      <c r="E195" s="32"/>
      <c r="F195" s="32"/>
      <c r="G195" s="32"/>
    </row>
    <row r="196">
      <c r="E196" s="32"/>
      <c r="F196" s="32"/>
      <c r="G196" s="32"/>
    </row>
    <row r="197">
      <c r="E197" s="32"/>
      <c r="F197" s="32"/>
      <c r="G197" s="32"/>
    </row>
    <row r="198">
      <c r="E198" s="32"/>
      <c r="F198" s="32"/>
      <c r="G198" s="32"/>
    </row>
    <row r="199">
      <c r="E199" s="32"/>
      <c r="F199" s="32"/>
      <c r="G199" s="32"/>
    </row>
    <row r="200">
      <c r="E200" s="32"/>
      <c r="F200" s="32"/>
      <c r="G200" s="32"/>
    </row>
    <row r="201">
      <c r="E201" s="32"/>
      <c r="F201" s="32"/>
      <c r="G201" s="32"/>
    </row>
    <row r="202">
      <c r="E202" s="32"/>
      <c r="F202" s="32"/>
      <c r="G202" s="32"/>
    </row>
    <row r="203">
      <c r="E203" s="32"/>
      <c r="F203" s="32"/>
      <c r="G203" s="32"/>
    </row>
    <row r="204">
      <c r="E204" s="32"/>
      <c r="F204" s="32"/>
      <c r="G204" s="32"/>
    </row>
    <row r="205">
      <c r="E205" s="32"/>
      <c r="F205" s="32"/>
      <c r="G205" s="32"/>
    </row>
    <row r="206">
      <c r="E206" s="32"/>
      <c r="F206" s="32"/>
      <c r="G206" s="32"/>
    </row>
    <row r="207">
      <c r="E207" s="32"/>
      <c r="F207" s="32"/>
      <c r="G207" s="32"/>
    </row>
    <row r="208">
      <c r="E208" s="32"/>
      <c r="F208" s="32"/>
      <c r="G208" s="32"/>
    </row>
    <row r="209">
      <c r="E209" s="32"/>
      <c r="F209" s="32"/>
      <c r="G209" s="32"/>
    </row>
    <row r="210">
      <c r="E210" s="32"/>
      <c r="F210" s="32"/>
      <c r="G210" s="32"/>
    </row>
    <row r="211">
      <c r="E211" s="32"/>
      <c r="F211" s="32"/>
      <c r="G211" s="32"/>
    </row>
    <row r="212">
      <c r="E212" s="32"/>
      <c r="F212" s="32"/>
      <c r="G212" s="32"/>
    </row>
    <row r="213">
      <c r="E213" s="32"/>
      <c r="F213" s="32"/>
      <c r="G213" s="32"/>
    </row>
    <row r="214">
      <c r="E214" s="32"/>
      <c r="F214" s="32"/>
      <c r="G214" s="32"/>
    </row>
    <row r="215">
      <c r="E215" s="32"/>
      <c r="F215" s="32"/>
      <c r="G215" s="32"/>
    </row>
    <row r="216">
      <c r="E216" s="32"/>
      <c r="F216" s="32"/>
      <c r="G216" s="32"/>
    </row>
    <row r="217">
      <c r="E217" s="32"/>
      <c r="F217" s="32"/>
      <c r="G217" s="32"/>
    </row>
    <row r="218">
      <c r="E218" s="32"/>
      <c r="F218" s="32"/>
      <c r="G218" s="32"/>
    </row>
    <row r="219">
      <c r="E219" s="32"/>
      <c r="F219" s="32"/>
      <c r="G219" s="32"/>
    </row>
    <row r="220">
      <c r="E220" s="32"/>
      <c r="F220" s="32"/>
      <c r="G220" s="32"/>
    </row>
    <row r="221">
      <c r="E221" s="32"/>
      <c r="F221" s="32"/>
      <c r="G221" s="32"/>
    </row>
    <row r="222">
      <c r="E222" s="32"/>
      <c r="F222" s="32"/>
      <c r="G222" s="32"/>
    </row>
    <row r="223">
      <c r="E223" s="32"/>
      <c r="F223" s="32"/>
      <c r="G223" s="32"/>
    </row>
    <row r="224">
      <c r="E224" s="32"/>
      <c r="F224" s="32"/>
      <c r="G224" s="32"/>
    </row>
    <row r="225">
      <c r="E225" s="32"/>
      <c r="F225" s="32"/>
      <c r="G225" s="32"/>
    </row>
    <row r="226">
      <c r="E226" s="32"/>
      <c r="F226" s="32"/>
      <c r="G226" s="32"/>
    </row>
    <row r="227">
      <c r="E227" s="32"/>
      <c r="F227" s="32"/>
      <c r="G227" s="32"/>
    </row>
    <row r="228">
      <c r="E228" s="32"/>
      <c r="F228" s="32"/>
      <c r="G228" s="32"/>
    </row>
    <row r="229">
      <c r="E229" s="32"/>
      <c r="F229" s="32"/>
      <c r="G229" s="32"/>
    </row>
    <row r="230">
      <c r="E230" s="32"/>
      <c r="F230" s="32"/>
      <c r="G230" s="32"/>
    </row>
    <row r="231">
      <c r="E231" s="32"/>
      <c r="F231" s="32"/>
      <c r="G231" s="32"/>
    </row>
    <row r="232">
      <c r="E232" s="32"/>
      <c r="F232" s="32"/>
      <c r="G232" s="32"/>
    </row>
    <row r="233">
      <c r="E233" s="32"/>
      <c r="F233" s="32"/>
      <c r="G233" s="32"/>
    </row>
    <row r="234">
      <c r="E234" s="32"/>
      <c r="F234" s="32"/>
      <c r="G234" s="32"/>
    </row>
    <row r="235">
      <c r="E235" s="32"/>
      <c r="F235" s="32"/>
      <c r="G235" s="32"/>
    </row>
    <row r="236">
      <c r="E236" s="32"/>
      <c r="F236" s="32"/>
      <c r="G236" s="32"/>
    </row>
    <row r="237">
      <c r="E237" s="32"/>
      <c r="F237" s="32"/>
      <c r="G237" s="32"/>
    </row>
    <row r="238">
      <c r="E238" s="32"/>
      <c r="F238" s="32"/>
      <c r="G238" s="32"/>
    </row>
    <row r="239">
      <c r="E239" s="32"/>
      <c r="F239" s="32"/>
      <c r="G239" s="32"/>
    </row>
    <row r="240">
      <c r="E240" s="32"/>
      <c r="F240" s="32"/>
      <c r="G240" s="32"/>
    </row>
    <row r="241">
      <c r="E241" s="32"/>
      <c r="F241" s="32"/>
      <c r="G241" s="32"/>
    </row>
    <row r="242">
      <c r="E242" s="32"/>
      <c r="F242" s="32"/>
      <c r="G242" s="32"/>
    </row>
    <row r="243">
      <c r="E243" s="32"/>
      <c r="F243" s="32"/>
      <c r="G243" s="32"/>
    </row>
    <row r="244">
      <c r="E244" s="32"/>
      <c r="F244" s="32"/>
      <c r="G244" s="32"/>
    </row>
    <row r="245">
      <c r="E245" s="32"/>
      <c r="F245" s="32"/>
      <c r="G245" s="32"/>
    </row>
    <row r="246">
      <c r="E246" s="32"/>
      <c r="F246" s="32"/>
      <c r="G246" s="32"/>
    </row>
    <row r="247">
      <c r="E247" s="32"/>
      <c r="F247" s="32"/>
      <c r="G247" s="32"/>
    </row>
    <row r="248">
      <c r="E248" s="32"/>
      <c r="F248" s="32"/>
      <c r="G248" s="32"/>
    </row>
    <row r="249">
      <c r="E249" s="32"/>
      <c r="F249" s="32"/>
      <c r="G249" s="32"/>
    </row>
    <row r="250">
      <c r="E250" s="32"/>
      <c r="F250" s="32"/>
      <c r="G250" s="32"/>
    </row>
    <row r="251">
      <c r="E251" s="32"/>
      <c r="F251" s="32"/>
      <c r="G251" s="32"/>
    </row>
    <row r="252">
      <c r="E252" s="32"/>
      <c r="F252" s="32"/>
      <c r="G252" s="32"/>
    </row>
    <row r="253">
      <c r="E253" s="32"/>
      <c r="F253" s="32"/>
      <c r="G253" s="32"/>
    </row>
    <row r="254">
      <c r="E254" s="32"/>
      <c r="F254" s="32"/>
      <c r="G254" s="32"/>
    </row>
    <row r="255">
      <c r="E255" s="32"/>
      <c r="F255" s="32"/>
      <c r="G255" s="32"/>
    </row>
    <row r="256">
      <c r="E256" s="32"/>
      <c r="F256" s="32"/>
      <c r="G256" s="32"/>
    </row>
    <row r="257">
      <c r="E257" s="32"/>
      <c r="F257" s="32"/>
      <c r="G257" s="32"/>
    </row>
    <row r="258">
      <c r="E258" s="32"/>
      <c r="F258" s="32"/>
      <c r="G258" s="32"/>
    </row>
    <row r="259">
      <c r="E259" s="32"/>
      <c r="F259" s="32"/>
      <c r="G259" s="32"/>
    </row>
    <row r="260">
      <c r="E260" s="32"/>
      <c r="F260" s="32"/>
      <c r="G260" s="32"/>
    </row>
    <row r="261">
      <c r="E261" s="32"/>
      <c r="F261" s="32"/>
      <c r="G261" s="32"/>
    </row>
    <row r="262">
      <c r="E262" s="32"/>
      <c r="F262" s="32"/>
      <c r="G262" s="32"/>
    </row>
    <row r="263">
      <c r="E263" s="32"/>
      <c r="F263" s="32"/>
      <c r="G263" s="32"/>
    </row>
    <row r="264">
      <c r="E264" s="32"/>
      <c r="F264" s="32"/>
      <c r="G264" s="32"/>
    </row>
    <row r="265">
      <c r="E265" s="32"/>
      <c r="F265" s="32"/>
      <c r="G265" s="32"/>
    </row>
    <row r="266">
      <c r="E266" s="32"/>
      <c r="F266" s="32"/>
      <c r="G266" s="32"/>
    </row>
    <row r="267">
      <c r="E267" s="32"/>
      <c r="F267" s="32"/>
      <c r="G267" s="32"/>
    </row>
    <row r="268">
      <c r="E268" s="32"/>
      <c r="F268" s="32"/>
      <c r="G268" s="32"/>
    </row>
    <row r="269">
      <c r="E269" s="32"/>
      <c r="F269" s="32"/>
      <c r="G269" s="32"/>
    </row>
    <row r="270">
      <c r="E270" s="32"/>
      <c r="F270" s="32"/>
      <c r="G270" s="32"/>
    </row>
    <row r="271">
      <c r="E271" s="32"/>
      <c r="F271" s="32"/>
      <c r="G271" s="32"/>
    </row>
    <row r="272">
      <c r="E272" s="32"/>
      <c r="F272" s="32"/>
      <c r="G272" s="32"/>
    </row>
    <row r="273">
      <c r="E273" s="32"/>
      <c r="F273" s="32"/>
      <c r="G273" s="32"/>
    </row>
    <row r="274">
      <c r="E274" s="32"/>
      <c r="F274" s="32"/>
      <c r="G274" s="32"/>
    </row>
    <row r="275">
      <c r="E275" s="32"/>
      <c r="F275" s="32"/>
      <c r="G275" s="32"/>
    </row>
    <row r="276">
      <c r="E276" s="32"/>
      <c r="F276" s="32"/>
      <c r="G276" s="32"/>
    </row>
    <row r="277">
      <c r="E277" s="32"/>
      <c r="F277" s="32"/>
      <c r="G277" s="32"/>
    </row>
    <row r="278">
      <c r="E278" s="32"/>
      <c r="F278" s="32"/>
      <c r="G278" s="32"/>
    </row>
    <row r="279">
      <c r="E279" s="32"/>
      <c r="F279" s="32"/>
      <c r="G279" s="32"/>
    </row>
    <row r="280">
      <c r="E280" s="32"/>
      <c r="F280" s="32"/>
      <c r="G280" s="32"/>
    </row>
    <row r="281">
      <c r="E281" s="32"/>
      <c r="F281" s="32"/>
      <c r="G281" s="32"/>
    </row>
    <row r="282">
      <c r="E282" s="32"/>
      <c r="F282" s="32"/>
      <c r="G282" s="32"/>
    </row>
    <row r="283">
      <c r="E283" s="32"/>
      <c r="F283" s="32"/>
      <c r="G283" s="32"/>
    </row>
    <row r="284">
      <c r="E284" s="32"/>
      <c r="F284" s="32"/>
      <c r="G284" s="32"/>
    </row>
    <row r="285">
      <c r="E285" s="32"/>
      <c r="F285" s="32"/>
      <c r="G285" s="32"/>
    </row>
    <row r="286">
      <c r="E286" s="32"/>
      <c r="F286" s="32"/>
      <c r="G286" s="32"/>
    </row>
    <row r="287">
      <c r="E287" s="32"/>
      <c r="F287" s="32"/>
      <c r="G287" s="32"/>
    </row>
    <row r="288">
      <c r="E288" s="32"/>
      <c r="F288" s="32"/>
      <c r="G288" s="32"/>
    </row>
    <row r="289">
      <c r="E289" s="32"/>
      <c r="F289" s="32"/>
      <c r="G289" s="32"/>
    </row>
    <row r="290">
      <c r="E290" s="32"/>
      <c r="F290" s="32"/>
      <c r="G290" s="32"/>
    </row>
    <row r="291">
      <c r="E291" s="32"/>
      <c r="F291" s="32"/>
      <c r="G291" s="32"/>
    </row>
    <row r="292">
      <c r="E292" s="32"/>
      <c r="F292" s="32"/>
      <c r="G292" s="32"/>
    </row>
    <row r="293">
      <c r="E293" s="32"/>
      <c r="F293" s="32"/>
      <c r="G293" s="32"/>
    </row>
    <row r="294">
      <c r="E294" s="32"/>
      <c r="F294" s="32"/>
      <c r="G294" s="32"/>
    </row>
    <row r="295">
      <c r="E295" s="32"/>
      <c r="F295" s="32"/>
      <c r="G295" s="32"/>
    </row>
    <row r="296">
      <c r="E296" s="32"/>
      <c r="F296" s="32"/>
      <c r="G296" s="32"/>
    </row>
    <row r="297">
      <c r="E297" s="32"/>
      <c r="F297" s="32"/>
      <c r="G297" s="32"/>
    </row>
    <row r="298">
      <c r="E298" s="32"/>
      <c r="F298" s="32"/>
      <c r="G298" s="32"/>
    </row>
    <row r="299">
      <c r="E299" s="32"/>
      <c r="F299" s="32"/>
      <c r="G299" s="32"/>
    </row>
    <row r="300">
      <c r="E300" s="32"/>
      <c r="F300" s="32"/>
      <c r="G300" s="32"/>
    </row>
    <row r="301">
      <c r="E301" s="32"/>
      <c r="F301" s="32"/>
      <c r="G301" s="32"/>
    </row>
    <row r="302">
      <c r="E302" s="32"/>
      <c r="F302" s="32"/>
      <c r="G302" s="32"/>
    </row>
    <row r="303">
      <c r="E303" s="32"/>
      <c r="F303" s="32"/>
      <c r="G303" s="32"/>
    </row>
    <row r="304">
      <c r="E304" s="32"/>
      <c r="F304" s="32"/>
      <c r="G304" s="32"/>
    </row>
    <row r="305">
      <c r="E305" s="32"/>
      <c r="F305" s="32"/>
      <c r="G305" s="32"/>
    </row>
    <row r="306">
      <c r="E306" s="32"/>
      <c r="F306" s="32"/>
      <c r="G306" s="32"/>
    </row>
    <row r="307">
      <c r="E307" s="32"/>
      <c r="F307" s="32"/>
      <c r="G307" s="32"/>
    </row>
    <row r="308">
      <c r="E308" s="32"/>
      <c r="F308" s="32"/>
      <c r="G308" s="32"/>
    </row>
    <row r="309">
      <c r="E309" s="32"/>
      <c r="F309" s="32"/>
      <c r="G309" s="32"/>
    </row>
    <row r="310">
      <c r="E310" s="32"/>
      <c r="F310" s="32"/>
      <c r="G310" s="32"/>
    </row>
    <row r="311">
      <c r="E311" s="32"/>
      <c r="F311" s="32"/>
      <c r="G311" s="32"/>
    </row>
    <row r="312">
      <c r="E312" s="32"/>
      <c r="F312" s="32"/>
      <c r="G312" s="32"/>
    </row>
    <row r="313">
      <c r="E313" s="32"/>
      <c r="F313" s="32"/>
      <c r="G313" s="32"/>
    </row>
    <row r="314">
      <c r="E314" s="32"/>
      <c r="F314" s="32"/>
      <c r="G314" s="32"/>
    </row>
    <row r="315">
      <c r="E315" s="32"/>
      <c r="F315" s="32"/>
      <c r="G315" s="32"/>
    </row>
    <row r="316">
      <c r="E316" s="32"/>
      <c r="F316" s="32"/>
      <c r="G316" s="32"/>
    </row>
    <row r="317">
      <c r="E317" s="32"/>
      <c r="F317" s="32"/>
      <c r="G317" s="32"/>
    </row>
    <row r="318">
      <c r="E318" s="32"/>
      <c r="F318" s="32"/>
      <c r="G318" s="32"/>
    </row>
    <row r="319">
      <c r="E319" s="32"/>
      <c r="F319" s="32"/>
      <c r="G319" s="32"/>
    </row>
    <row r="320">
      <c r="E320" s="32"/>
      <c r="F320" s="32"/>
      <c r="G320" s="32"/>
    </row>
    <row r="321">
      <c r="E321" s="32"/>
      <c r="F321" s="32"/>
      <c r="G321" s="32"/>
    </row>
    <row r="322">
      <c r="E322" s="32"/>
      <c r="F322" s="32"/>
      <c r="G322" s="32"/>
    </row>
    <row r="323">
      <c r="E323" s="32"/>
      <c r="F323" s="32"/>
      <c r="G323" s="32"/>
    </row>
    <row r="324">
      <c r="E324" s="32"/>
      <c r="F324" s="32"/>
      <c r="G324" s="32"/>
    </row>
    <row r="325">
      <c r="E325" s="32"/>
      <c r="F325" s="32"/>
      <c r="G325" s="32"/>
    </row>
    <row r="326">
      <c r="E326" s="32"/>
      <c r="F326" s="32"/>
      <c r="G326" s="32"/>
    </row>
    <row r="327">
      <c r="E327" s="32"/>
      <c r="F327" s="32"/>
      <c r="G327" s="32"/>
    </row>
    <row r="328">
      <c r="E328" s="32"/>
      <c r="F328" s="32"/>
      <c r="G328" s="32"/>
    </row>
    <row r="329">
      <c r="E329" s="32"/>
      <c r="F329" s="32"/>
      <c r="G329" s="32"/>
    </row>
    <row r="330">
      <c r="E330" s="32"/>
      <c r="F330" s="32"/>
      <c r="G330" s="32"/>
    </row>
    <row r="331">
      <c r="E331" s="32"/>
      <c r="F331" s="32"/>
      <c r="G331" s="32"/>
    </row>
    <row r="332">
      <c r="E332" s="32"/>
      <c r="F332" s="32"/>
      <c r="G332" s="32"/>
    </row>
    <row r="333">
      <c r="E333" s="32"/>
      <c r="F333" s="32"/>
      <c r="G333" s="32"/>
    </row>
    <row r="334">
      <c r="E334" s="32"/>
      <c r="F334" s="32"/>
      <c r="G334" s="32"/>
    </row>
    <row r="335">
      <c r="E335" s="32"/>
      <c r="F335" s="32"/>
      <c r="G335" s="32"/>
    </row>
    <row r="336">
      <c r="E336" s="32"/>
      <c r="F336" s="32"/>
      <c r="G336" s="32"/>
    </row>
    <row r="337">
      <c r="E337" s="32"/>
      <c r="F337" s="32"/>
      <c r="G337" s="32"/>
    </row>
    <row r="338">
      <c r="E338" s="32"/>
      <c r="F338" s="32"/>
      <c r="G338" s="32"/>
    </row>
    <row r="339">
      <c r="E339" s="32"/>
      <c r="F339" s="32"/>
      <c r="G339" s="32"/>
    </row>
    <row r="340">
      <c r="E340" s="32"/>
      <c r="F340" s="32"/>
      <c r="G340" s="32"/>
    </row>
    <row r="341">
      <c r="E341" s="32"/>
      <c r="F341" s="32"/>
      <c r="G341" s="32"/>
    </row>
    <row r="342">
      <c r="E342" s="32"/>
      <c r="F342" s="32"/>
      <c r="G342" s="32"/>
    </row>
    <row r="343">
      <c r="E343" s="32"/>
      <c r="F343" s="32"/>
      <c r="G343" s="32"/>
    </row>
    <row r="344">
      <c r="E344" s="32"/>
      <c r="F344" s="32"/>
      <c r="G344" s="32"/>
    </row>
    <row r="345">
      <c r="E345" s="32"/>
      <c r="F345" s="32"/>
      <c r="G345" s="32"/>
    </row>
    <row r="346">
      <c r="E346" s="32"/>
      <c r="F346" s="32"/>
      <c r="G346" s="32"/>
    </row>
    <row r="347">
      <c r="E347" s="32"/>
      <c r="F347" s="32"/>
      <c r="G347" s="32"/>
    </row>
    <row r="348">
      <c r="E348" s="32"/>
      <c r="F348" s="32"/>
      <c r="G348" s="32"/>
    </row>
    <row r="349">
      <c r="E349" s="32"/>
      <c r="F349" s="32"/>
      <c r="G349" s="32"/>
    </row>
    <row r="350">
      <c r="E350" s="32"/>
      <c r="F350" s="32"/>
      <c r="G350" s="32"/>
    </row>
    <row r="351">
      <c r="E351" s="32"/>
      <c r="F351" s="32"/>
      <c r="G351" s="32"/>
    </row>
    <row r="352">
      <c r="E352" s="32"/>
      <c r="F352" s="32"/>
      <c r="G352" s="32"/>
    </row>
    <row r="353">
      <c r="E353" s="32"/>
      <c r="F353" s="32"/>
      <c r="G353" s="32"/>
    </row>
    <row r="354">
      <c r="E354" s="32"/>
      <c r="F354" s="32"/>
      <c r="G354" s="32"/>
    </row>
    <row r="355">
      <c r="E355" s="32"/>
      <c r="F355" s="32"/>
      <c r="G355" s="32"/>
    </row>
    <row r="356">
      <c r="E356" s="32"/>
      <c r="F356" s="32"/>
      <c r="G356" s="32"/>
    </row>
    <row r="357">
      <c r="E357" s="32"/>
      <c r="F357" s="32"/>
      <c r="G357" s="32"/>
    </row>
    <row r="358">
      <c r="E358" s="32"/>
      <c r="F358" s="32"/>
      <c r="G358" s="32"/>
    </row>
    <row r="359">
      <c r="E359" s="32"/>
      <c r="F359" s="32"/>
      <c r="G359" s="32"/>
    </row>
    <row r="360">
      <c r="E360" s="32"/>
      <c r="F360" s="32"/>
      <c r="G360" s="32"/>
    </row>
    <row r="361">
      <c r="E361" s="32"/>
      <c r="F361" s="32"/>
      <c r="G361" s="32"/>
    </row>
    <row r="362">
      <c r="E362" s="32"/>
      <c r="F362" s="32"/>
      <c r="G362" s="32"/>
    </row>
    <row r="363">
      <c r="E363" s="32"/>
      <c r="F363" s="32"/>
      <c r="G363" s="32"/>
    </row>
    <row r="364">
      <c r="E364" s="32"/>
      <c r="F364" s="32"/>
      <c r="G364" s="32"/>
    </row>
    <row r="365">
      <c r="E365" s="32"/>
      <c r="F365" s="32"/>
      <c r="G365" s="32"/>
    </row>
    <row r="366">
      <c r="E366" s="32"/>
      <c r="F366" s="32"/>
      <c r="G366" s="32"/>
    </row>
    <row r="367">
      <c r="E367" s="32"/>
      <c r="F367" s="32"/>
      <c r="G367" s="32"/>
    </row>
    <row r="368">
      <c r="E368" s="32"/>
      <c r="F368" s="32"/>
      <c r="G368" s="32"/>
    </row>
    <row r="369">
      <c r="E369" s="32"/>
      <c r="F369" s="32"/>
      <c r="G369" s="32"/>
    </row>
    <row r="370">
      <c r="E370" s="32"/>
      <c r="F370" s="32"/>
      <c r="G370" s="32"/>
    </row>
    <row r="371">
      <c r="E371" s="32"/>
      <c r="F371" s="32"/>
      <c r="G371" s="32"/>
    </row>
    <row r="372">
      <c r="E372" s="32"/>
      <c r="F372" s="32"/>
      <c r="G372" s="32"/>
    </row>
    <row r="373">
      <c r="E373" s="32"/>
      <c r="F373" s="32"/>
      <c r="G373" s="32"/>
    </row>
    <row r="374">
      <c r="E374" s="32"/>
      <c r="F374" s="32"/>
      <c r="G374" s="32"/>
    </row>
    <row r="375">
      <c r="E375" s="32"/>
      <c r="F375" s="32"/>
      <c r="G375" s="32"/>
    </row>
    <row r="376">
      <c r="E376" s="32"/>
      <c r="F376" s="32"/>
      <c r="G376" s="32"/>
    </row>
    <row r="377">
      <c r="E377" s="32"/>
      <c r="F377" s="32"/>
      <c r="G377" s="32"/>
    </row>
    <row r="378">
      <c r="E378" s="32"/>
      <c r="F378" s="32"/>
      <c r="G378" s="32"/>
    </row>
    <row r="379">
      <c r="E379" s="32"/>
      <c r="F379" s="32"/>
      <c r="G379" s="32"/>
    </row>
    <row r="380">
      <c r="E380" s="32"/>
      <c r="F380" s="32"/>
      <c r="G380" s="32"/>
    </row>
    <row r="381">
      <c r="E381" s="32"/>
      <c r="F381" s="32"/>
      <c r="G381" s="32"/>
    </row>
    <row r="382">
      <c r="E382" s="32"/>
      <c r="F382" s="32"/>
      <c r="G382" s="32"/>
    </row>
    <row r="383">
      <c r="E383" s="32"/>
      <c r="F383" s="32"/>
      <c r="G383" s="32"/>
    </row>
    <row r="384">
      <c r="E384" s="32"/>
      <c r="F384" s="32"/>
      <c r="G384" s="32"/>
    </row>
    <row r="385">
      <c r="E385" s="32"/>
      <c r="F385" s="32"/>
      <c r="G385" s="32"/>
    </row>
    <row r="386">
      <c r="E386" s="32"/>
      <c r="F386" s="32"/>
      <c r="G386" s="32"/>
    </row>
    <row r="387">
      <c r="E387" s="32"/>
      <c r="F387" s="32"/>
      <c r="G387" s="32"/>
    </row>
    <row r="388">
      <c r="E388" s="32"/>
      <c r="F388" s="32"/>
      <c r="G388" s="32"/>
    </row>
    <row r="389">
      <c r="E389" s="32"/>
      <c r="F389" s="32"/>
      <c r="G389" s="32"/>
    </row>
    <row r="390">
      <c r="E390" s="32"/>
      <c r="F390" s="32"/>
      <c r="G390" s="32"/>
    </row>
    <row r="391">
      <c r="E391" s="32"/>
      <c r="F391" s="32"/>
      <c r="G391" s="32"/>
    </row>
    <row r="392">
      <c r="E392" s="32"/>
      <c r="F392" s="32"/>
      <c r="G392" s="32"/>
    </row>
    <row r="393">
      <c r="E393" s="32"/>
      <c r="F393" s="32"/>
      <c r="G393" s="32"/>
    </row>
    <row r="394">
      <c r="E394" s="32"/>
      <c r="F394" s="32"/>
      <c r="G394" s="32"/>
    </row>
    <row r="395">
      <c r="E395" s="32"/>
      <c r="F395" s="32"/>
      <c r="G395" s="32"/>
    </row>
    <row r="396">
      <c r="E396" s="32"/>
      <c r="F396" s="32"/>
      <c r="G396" s="32"/>
    </row>
    <row r="397">
      <c r="E397" s="32"/>
      <c r="F397" s="32"/>
      <c r="G397" s="32"/>
    </row>
    <row r="398">
      <c r="E398" s="32"/>
      <c r="F398" s="32"/>
      <c r="G398" s="32"/>
    </row>
    <row r="399">
      <c r="E399" s="32"/>
      <c r="F399" s="32"/>
      <c r="G399" s="32"/>
    </row>
    <row r="400">
      <c r="E400" s="32"/>
      <c r="F400" s="32"/>
      <c r="G400" s="32"/>
    </row>
    <row r="401">
      <c r="E401" s="32"/>
      <c r="F401" s="32"/>
      <c r="G401" s="32"/>
    </row>
    <row r="402">
      <c r="E402" s="32"/>
      <c r="F402" s="32"/>
      <c r="G402" s="32"/>
    </row>
    <row r="403">
      <c r="E403" s="32"/>
      <c r="F403" s="32"/>
      <c r="G403" s="32"/>
    </row>
    <row r="404">
      <c r="E404" s="32"/>
      <c r="F404" s="32"/>
      <c r="G404" s="32"/>
    </row>
    <row r="405">
      <c r="E405" s="32"/>
      <c r="F405" s="32"/>
      <c r="G405" s="32"/>
    </row>
    <row r="406">
      <c r="E406" s="32"/>
      <c r="F406" s="32"/>
      <c r="G406" s="32"/>
    </row>
    <row r="407">
      <c r="E407" s="32"/>
      <c r="F407" s="32"/>
      <c r="G407" s="32"/>
    </row>
    <row r="408">
      <c r="E408" s="32"/>
      <c r="F408" s="32"/>
      <c r="G408" s="32"/>
    </row>
    <row r="409">
      <c r="E409" s="32"/>
      <c r="F409" s="32"/>
      <c r="G409" s="32"/>
    </row>
    <row r="410">
      <c r="E410" s="32"/>
      <c r="F410" s="32"/>
      <c r="G410" s="32"/>
    </row>
    <row r="411">
      <c r="E411" s="32"/>
      <c r="F411" s="32"/>
      <c r="G411" s="32"/>
    </row>
    <row r="412">
      <c r="E412" s="32"/>
      <c r="F412" s="32"/>
      <c r="G412" s="32"/>
    </row>
    <row r="413">
      <c r="E413" s="32"/>
      <c r="F413" s="32"/>
      <c r="G413" s="32"/>
    </row>
    <row r="414">
      <c r="E414" s="32"/>
      <c r="F414" s="32"/>
      <c r="G414" s="32"/>
    </row>
    <row r="415">
      <c r="E415" s="32"/>
      <c r="F415" s="32"/>
      <c r="G415" s="32"/>
    </row>
    <row r="416">
      <c r="E416" s="32"/>
      <c r="F416" s="32"/>
      <c r="G416" s="32"/>
    </row>
    <row r="417">
      <c r="E417" s="32"/>
      <c r="F417" s="32"/>
      <c r="G417" s="32"/>
    </row>
    <row r="418">
      <c r="E418" s="32"/>
      <c r="F418" s="32"/>
      <c r="G418" s="32"/>
    </row>
    <row r="419">
      <c r="E419" s="32"/>
      <c r="F419" s="32"/>
      <c r="G419" s="32"/>
    </row>
    <row r="420">
      <c r="E420" s="32"/>
      <c r="F420" s="32"/>
      <c r="G420" s="32"/>
    </row>
    <row r="421">
      <c r="E421" s="32"/>
      <c r="F421" s="32"/>
      <c r="G421" s="32"/>
    </row>
    <row r="422">
      <c r="E422" s="32"/>
      <c r="F422" s="32"/>
      <c r="G422" s="32"/>
    </row>
    <row r="423">
      <c r="E423" s="32"/>
      <c r="F423" s="32"/>
      <c r="G423" s="32"/>
    </row>
    <row r="424">
      <c r="E424" s="32"/>
      <c r="F424" s="32"/>
      <c r="G424" s="32"/>
    </row>
    <row r="425">
      <c r="E425" s="32"/>
      <c r="F425" s="32"/>
      <c r="G425" s="32"/>
    </row>
    <row r="426">
      <c r="E426" s="32"/>
      <c r="F426" s="32"/>
      <c r="G426" s="32"/>
    </row>
    <row r="427">
      <c r="E427" s="32"/>
      <c r="F427" s="32"/>
      <c r="G427" s="32"/>
    </row>
    <row r="428">
      <c r="E428" s="32"/>
      <c r="F428" s="32"/>
      <c r="G428" s="32"/>
    </row>
    <row r="429">
      <c r="E429" s="32"/>
      <c r="F429" s="32"/>
      <c r="G429" s="32"/>
    </row>
    <row r="430">
      <c r="E430" s="32"/>
      <c r="F430" s="32"/>
      <c r="G430" s="32"/>
    </row>
    <row r="431">
      <c r="E431" s="32"/>
      <c r="F431" s="32"/>
      <c r="G431" s="32"/>
    </row>
    <row r="432">
      <c r="E432" s="32"/>
      <c r="F432" s="32"/>
      <c r="G432" s="32"/>
    </row>
    <row r="433">
      <c r="E433" s="32"/>
      <c r="F433" s="32"/>
      <c r="G433" s="32"/>
    </row>
    <row r="434">
      <c r="E434" s="32"/>
      <c r="F434" s="32"/>
      <c r="G434" s="32"/>
    </row>
    <row r="435">
      <c r="E435" s="32"/>
      <c r="F435" s="32"/>
      <c r="G435" s="32"/>
    </row>
    <row r="436">
      <c r="E436" s="32"/>
      <c r="F436" s="32"/>
      <c r="G436" s="32"/>
    </row>
    <row r="437">
      <c r="E437" s="32"/>
      <c r="F437" s="32"/>
      <c r="G437" s="32"/>
    </row>
    <row r="438">
      <c r="E438" s="32"/>
      <c r="F438" s="32"/>
      <c r="G438" s="32"/>
    </row>
    <row r="439">
      <c r="E439" s="32"/>
      <c r="F439" s="32"/>
      <c r="G439" s="32"/>
    </row>
    <row r="440">
      <c r="E440" s="32"/>
      <c r="F440" s="32"/>
      <c r="G440" s="32"/>
    </row>
    <row r="441">
      <c r="E441" s="32"/>
      <c r="F441" s="32"/>
      <c r="G441" s="32"/>
    </row>
    <row r="442">
      <c r="E442" s="32"/>
      <c r="F442" s="32"/>
      <c r="G442" s="32"/>
    </row>
    <row r="443">
      <c r="E443" s="32"/>
      <c r="F443" s="32"/>
      <c r="G443" s="32"/>
    </row>
    <row r="444">
      <c r="E444" s="32"/>
      <c r="F444" s="32"/>
      <c r="G444" s="32"/>
    </row>
    <row r="445">
      <c r="E445" s="32"/>
      <c r="F445" s="32"/>
      <c r="G445" s="32"/>
    </row>
    <row r="446">
      <c r="E446" s="32"/>
      <c r="F446" s="32"/>
      <c r="G446" s="32"/>
    </row>
    <row r="447">
      <c r="E447" s="32"/>
      <c r="F447" s="32"/>
      <c r="G447" s="32"/>
    </row>
    <row r="448">
      <c r="E448" s="32"/>
      <c r="F448" s="32"/>
      <c r="G448" s="32"/>
    </row>
    <row r="449">
      <c r="E449" s="32"/>
      <c r="F449" s="32"/>
      <c r="G449" s="32"/>
    </row>
    <row r="450">
      <c r="E450" s="32"/>
      <c r="F450" s="32"/>
      <c r="G450" s="32"/>
    </row>
    <row r="451">
      <c r="E451" s="32"/>
      <c r="F451" s="32"/>
      <c r="G451" s="32"/>
    </row>
    <row r="452">
      <c r="E452" s="32"/>
      <c r="F452" s="32"/>
      <c r="G452" s="32"/>
    </row>
    <row r="453">
      <c r="E453" s="32"/>
      <c r="F453" s="32"/>
      <c r="G453" s="32"/>
    </row>
    <row r="454">
      <c r="E454" s="32"/>
      <c r="F454" s="32"/>
      <c r="G454" s="32"/>
    </row>
    <row r="455">
      <c r="E455" s="32"/>
      <c r="F455" s="32"/>
      <c r="G455" s="32"/>
    </row>
    <row r="456">
      <c r="E456" s="32"/>
      <c r="F456" s="32"/>
      <c r="G456" s="32"/>
    </row>
    <row r="457">
      <c r="E457" s="32"/>
      <c r="F457" s="32"/>
      <c r="G457" s="32"/>
    </row>
    <row r="458">
      <c r="E458" s="32"/>
      <c r="F458" s="32"/>
      <c r="G458" s="32"/>
    </row>
    <row r="459">
      <c r="E459" s="32"/>
      <c r="F459" s="32"/>
      <c r="G459" s="32"/>
    </row>
    <row r="460">
      <c r="E460" s="32"/>
      <c r="F460" s="32"/>
      <c r="G460" s="32"/>
    </row>
    <row r="461">
      <c r="E461" s="32"/>
      <c r="F461" s="32"/>
      <c r="G461" s="32"/>
    </row>
    <row r="462">
      <c r="E462" s="32"/>
      <c r="F462" s="32"/>
      <c r="G462" s="32"/>
    </row>
    <row r="463">
      <c r="E463" s="32"/>
      <c r="F463" s="32"/>
      <c r="G463" s="32"/>
    </row>
    <row r="464">
      <c r="E464" s="32"/>
      <c r="F464" s="32"/>
      <c r="G464" s="32"/>
    </row>
    <row r="465">
      <c r="E465" s="32"/>
      <c r="F465" s="32"/>
      <c r="G465" s="32"/>
    </row>
    <row r="466">
      <c r="E466" s="32"/>
      <c r="F466" s="32"/>
      <c r="G466" s="32"/>
    </row>
    <row r="467">
      <c r="E467" s="32"/>
      <c r="F467" s="32"/>
      <c r="G467" s="32"/>
    </row>
    <row r="468">
      <c r="E468" s="32"/>
      <c r="F468" s="32"/>
      <c r="G468" s="32"/>
    </row>
    <row r="469">
      <c r="E469" s="32"/>
      <c r="F469" s="32"/>
      <c r="G469" s="32"/>
    </row>
    <row r="470">
      <c r="E470" s="32"/>
      <c r="F470" s="32"/>
      <c r="G470" s="32"/>
    </row>
    <row r="471">
      <c r="E471" s="32"/>
      <c r="F471" s="32"/>
      <c r="G471" s="32"/>
    </row>
    <row r="472">
      <c r="E472" s="32"/>
      <c r="F472" s="32"/>
      <c r="G472" s="32"/>
    </row>
    <row r="473">
      <c r="E473" s="32"/>
      <c r="F473" s="32"/>
      <c r="G473" s="32"/>
    </row>
    <row r="474">
      <c r="E474" s="32"/>
      <c r="F474" s="32"/>
      <c r="G474" s="32"/>
    </row>
    <row r="475">
      <c r="E475" s="32"/>
      <c r="F475" s="32"/>
      <c r="G475" s="32"/>
    </row>
    <row r="476">
      <c r="E476" s="32"/>
      <c r="F476" s="32"/>
      <c r="G476" s="32"/>
    </row>
    <row r="477">
      <c r="E477" s="32"/>
      <c r="F477" s="32"/>
      <c r="G477" s="32"/>
    </row>
    <row r="478">
      <c r="E478" s="32"/>
      <c r="F478" s="32"/>
      <c r="G478" s="32"/>
    </row>
    <row r="479">
      <c r="E479" s="32"/>
      <c r="F479" s="32"/>
      <c r="G479" s="32"/>
    </row>
    <row r="480">
      <c r="E480" s="32"/>
      <c r="F480" s="32"/>
      <c r="G480" s="32"/>
    </row>
    <row r="481">
      <c r="E481" s="32"/>
      <c r="F481" s="32"/>
      <c r="G481" s="32"/>
    </row>
    <row r="482">
      <c r="E482" s="32"/>
      <c r="F482" s="32"/>
      <c r="G482" s="32"/>
    </row>
    <row r="483">
      <c r="E483" s="32"/>
      <c r="F483" s="32"/>
      <c r="G483" s="32"/>
    </row>
    <row r="484">
      <c r="E484" s="32"/>
      <c r="F484" s="32"/>
      <c r="G484" s="32"/>
    </row>
    <row r="485">
      <c r="E485" s="32"/>
      <c r="F485" s="32"/>
      <c r="G485" s="32"/>
    </row>
    <row r="486">
      <c r="E486" s="32"/>
      <c r="F486" s="32"/>
      <c r="G486" s="32"/>
    </row>
    <row r="487">
      <c r="E487" s="32"/>
      <c r="F487" s="32"/>
      <c r="G487" s="32"/>
    </row>
    <row r="488">
      <c r="E488" s="32"/>
      <c r="F488" s="32"/>
      <c r="G488" s="32"/>
    </row>
    <row r="489">
      <c r="E489" s="32"/>
      <c r="F489" s="32"/>
      <c r="G489" s="32"/>
    </row>
    <row r="490">
      <c r="E490" s="32"/>
      <c r="F490" s="32"/>
      <c r="G490" s="32"/>
    </row>
    <row r="491">
      <c r="E491" s="32"/>
      <c r="F491" s="32"/>
      <c r="G491" s="32"/>
    </row>
    <row r="492">
      <c r="E492" s="32"/>
      <c r="F492" s="32"/>
      <c r="G492" s="32"/>
    </row>
    <row r="493">
      <c r="E493" s="32"/>
      <c r="F493" s="32"/>
      <c r="G493" s="32"/>
    </row>
    <row r="494">
      <c r="E494" s="32"/>
      <c r="F494" s="32"/>
      <c r="G494" s="32"/>
    </row>
    <row r="495">
      <c r="E495" s="32"/>
      <c r="F495" s="32"/>
      <c r="G495" s="32"/>
    </row>
    <row r="496">
      <c r="E496" s="32"/>
      <c r="F496" s="32"/>
      <c r="G496" s="32"/>
    </row>
    <row r="497">
      <c r="E497" s="32"/>
      <c r="F497" s="32"/>
      <c r="G497" s="32"/>
    </row>
    <row r="498">
      <c r="E498" s="32"/>
      <c r="F498" s="32"/>
      <c r="G498" s="32"/>
    </row>
    <row r="499">
      <c r="E499" s="32"/>
      <c r="F499" s="32"/>
      <c r="G499" s="32"/>
    </row>
    <row r="500">
      <c r="E500" s="32"/>
      <c r="F500" s="32"/>
      <c r="G500" s="32"/>
    </row>
    <row r="501">
      <c r="E501" s="32"/>
      <c r="F501" s="32"/>
      <c r="G501" s="32"/>
    </row>
    <row r="502">
      <c r="E502" s="32"/>
      <c r="F502" s="32"/>
      <c r="G502" s="32"/>
    </row>
    <row r="503">
      <c r="E503" s="32"/>
      <c r="F503" s="32"/>
      <c r="G503" s="32"/>
    </row>
    <row r="504">
      <c r="E504" s="32"/>
      <c r="F504" s="32"/>
      <c r="G504" s="32"/>
    </row>
    <row r="505">
      <c r="E505" s="32"/>
      <c r="F505" s="32"/>
      <c r="G505" s="32"/>
    </row>
    <row r="506">
      <c r="E506" s="32"/>
      <c r="F506" s="32"/>
      <c r="G506" s="32"/>
    </row>
    <row r="507">
      <c r="E507" s="32"/>
      <c r="F507" s="32"/>
      <c r="G507" s="32"/>
    </row>
    <row r="508">
      <c r="E508" s="32"/>
      <c r="F508" s="32"/>
      <c r="G508" s="32"/>
    </row>
    <row r="509">
      <c r="E509" s="32"/>
      <c r="F509" s="32"/>
      <c r="G509" s="32"/>
    </row>
    <row r="510">
      <c r="E510" s="32"/>
      <c r="F510" s="32"/>
      <c r="G510" s="32"/>
    </row>
    <row r="511">
      <c r="E511" s="32"/>
      <c r="F511" s="32"/>
      <c r="G511" s="32"/>
    </row>
    <row r="512">
      <c r="E512" s="32"/>
      <c r="F512" s="32"/>
      <c r="G512" s="32"/>
    </row>
    <row r="513">
      <c r="E513" s="32"/>
      <c r="F513" s="32"/>
      <c r="G513" s="32"/>
    </row>
    <row r="514">
      <c r="E514" s="32"/>
      <c r="F514" s="32"/>
      <c r="G514" s="32"/>
    </row>
    <row r="515">
      <c r="E515" s="32"/>
      <c r="F515" s="32"/>
      <c r="G515" s="32"/>
    </row>
    <row r="516">
      <c r="E516" s="32"/>
      <c r="F516" s="32"/>
      <c r="G516" s="32"/>
    </row>
    <row r="517">
      <c r="E517" s="32"/>
      <c r="F517" s="32"/>
      <c r="G517" s="32"/>
    </row>
    <row r="518">
      <c r="E518" s="32"/>
      <c r="F518" s="32"/>
      <c r="G518" s="32"/>
    </row>
    <row r="519">
      <c r="E519" s="32"/>
      <c r="F519" s="32"/>
      <c r="G519" s="32"/>
    </row>
    <row r="520">
      <c r="E520" s="32"/>
      <c r="F520" s="32"/>
      <c r="G520" s="32"/>
    </row>
    <row r="521">
      <c r="E521" s="32"/>
      <c r="F521" s="32"/>
      <c r="G521" s="32"/>
    </row>
    <row r="522">
      <c r="E522" s="32"/>
      <c r="F522" s="32"/>
      <c r="G522" s="32"/>
    </row>
    <row r="523">
      <c r="E523" s="32"/>
      <c r="F523" s="32"/>
      <c r="G523" s="32"/>
    </row>
    <row r="524">
      <c r="E524" s="32"/>
      <c r="F524" s="32"/>
      <c r="G524" s="32"/>
    </row>
    <row r="525">
      <c r="E525" s="32"/>
      <c r="F525" s="32"/>
      <c r="G525" s="32"/>
    </row>
    <row r="526">
      <c r="E526" s="32"/>
      <c r="F526" s="32"/>
      <c r="G526" s="32"/>
    </row>
    <row r="527">
      <c r="E527" s="32"/>
      <c r="F527" s="32"/>
      <c r="G527" s="32"/>
    </row>
    <row r="528">
      <c r="E528" s="32"/>
      <c r="F528" s="32"/>
      <c r="G528" s="32"/>
    </row>
    <row r="529">
      <c r="E529" s="32"/>
      <c r="F529" s="32"/>
      <c r="G529" s="32"/>
    </row>
    <row r="530">
      <c r="E530" s="32"/>
      <c r="F530" s="32"/>
      <c r="G530" s="32"/>
    </row>
    <row r="531">
      <c r="E531" s="32"/>
      <c r="F531" s="32"/>
      <c r="G531" s="32"/>
    </row>
    <row r="532">
      <c r="E532" s="32"/>
      <c r="F532" s="32"/>
      <c r="G532" s="32"/>
    </row>
    <row r="533">
      <c r="E533" s="32"/>
      <c r="F533" s="32"/>
      <c r="G533" s="32"/>
    </row>
    <row r="534">
      <c r="E534" s="32"/>
      <c r="F534" s="32"/>
      <c r="G534" s="32"/>
    </row>
    <row r="535">
      <c r="E535" s="32"/>
      <c r="F535" s="32"/>
      <c r="G535" s="32"/>
    </row>
    <row r="536">
      <c r="E536" s="32"/>
      <c r="F536" s="32"/>
      <c r="G536" s="32"/>
    </row>
    <row r="537">
      <c r="E537" s="32"/>
      <c r="F537" s="32"/>
      <c r="G537" s="32"/>
    </row>
    <row r="538">
      <c r="E538" s="32"/>
      <c r="F538" s="32"/>
      <c r="G538" s="32"/>
    </row>
    <row r="539">
      <c r="E539" s="32"/>
      <c r="F539" s="32"/>
      <c r="G539" s="32"/>
    </row>
    <row r="540">
      <c r="E540" s="32"/>
      <c r="F540" s="32"/>
      <c r="G540" s="32"/>
    </row>
    <row r="541">
      <c r="E541" s="32"/>
      <c r="F541" s="32"/>
      <c r="G541" s="32"/>
    </row>
    <row r="542">
      <c r="E542" s="32"/>
      <c r="F542" s="32"/>
      <c r="G542" s="32"/>
    </row>
    <row r="543">
      <c r="E543" s="32"/>
      <c r="F543" s="32"/>
      <c r="G543" s="32"/>
    </row>
    <row r="544">
      <c r="E544" s="32"/>
      <c r="F544" s="32"/>
      <c r="G544" s="32"/>
    </row>
    <row r="545">
      <c r="E545" s="32"/>
      <c r="F545" s="32"/>
      <c r="G545" s="32"/>
    </row>
    <row r="546">
      <c r="E546" s="32"/>
      <c r="F546" s="32"/>
      <c r="G546" s="32"/>
    </row>
    <row r="547">
      <c r="E547" s="32"/>
      <c r="F547" s="32"/>
      <c r="G547" s="32"/>
    </row>
    <row r="548">
      <c r="E548" s="32"/>
      <c r="F548" s="32"/>
      <c r="G548" s="32"/>
    </row>
    <row r="549">
      <c r="E549" s="32"/>
      <c r="F549" s="32"/>
      <c r="G549" s="32"/>
    </row>
    <row r="550">
      <c r="E550" s="32"/>
      <c r="F550" s="32"/>
      <c r="G550" s="32"/>
    </row>
    <row r="551">
      <c r="E551" s="32"/>
      <c r="F551" s="32"/>
      <c r="G551" s="32"/>
    </row>
    <row r="552">
      <c r="E552" s="32"/>
      <c r="F552" s="32"/>
      <c r="G552" s="32"/>
    </row>
    <row r="553">
      <c r="E553" s="32"/>
      <c r="F553" s="32"/>
      <c r="G553" s="32"/>
    </row>
    <row r="554">
      <c r="E554" s="32"/>
      <c r="F554" s="32"/>
      <c r="G554" s="32"/>
    </row>
    <row r="555">
      <c r="E555" s="32"/>
      <c r="F555" s="32"/>
      <c r="G555" s="32"/>
    </row>
    <row r="556">
      <c r="E556" s="32"/>
      <c r="F556" s="32"/>
      <c r="G556" s="32"/>
    </row>
    <row r="557">
      <c r="E557" s="32"/>
      <c r="F557" s="32"/>
      <c r="G557" s="32"/>
    </row>
    <row r="558">
      <c r="E558" s="32"/>
      <c r="F558" s="32"/>
      <c r="G558" s="32"/>
    </row>
    <row r="559">
      <c r="E559" s="32"/>
      <c r="F559" s="32"/>
      <c r="G559" s="32"/>
    </row>
    <row r="560">
      <c r="E560" s="32"/>
      <c r="F560" s="32"/>
      <c r="G560" s="32"/>
    </row>
    <row r="561">
      <c r="E561" s="32"/>
      <c r="F561" s="32"/>
      <c r="G561" s="32"/>
    </row>
    <row r="562">
      <c r="E562" s="32"/>
      <c r="F562" s="32"/>
      <c r="G562" s="32"/>
    </row>
    <row r="563">
      <c r="E563" s="32"/>
      <c r="F563" s="32"/>
      <c r="G563" s="32"/>
    </row>
    <row r="564">
      <c r="E564" s="32"/>
      <c r="F564" s="32"/>
      <c r="G564" s="32"/>
    </row>
    <row r="565">
      <c r="E565" s="32"/>
      <c r="F565" s="32"/>
      <c r="G565" s="32"/>
    </row>
    <row r="566">
      <c r="E566" s="32"/>
      <c r="F566" s="32"/>
      <c r="G566" s="32"/>
    </row>
    <row r="567">
      <c r="E567" s="32"/>
      <c r="F567" s="32"/>
      <c r="G567" s="32"/>
    </row>
    <row r="568">
      <c r="E568" s="32"/>
      <c r="F568" s="32"/>
      <c r="G568" s="32"/>
    </row>
    <row r="569">
      <c r="E569" s="32"/>
      <c r="F569" s="32"/>
      <c r="G569" s="32"/>
    </row>
    <row r="570">
      <c r="E570" s="32"/>
      <c r="F570" s="32"/>
      <c r="G570" s="32"/>
    </row>
    <row r="571">
      <c r="E571" s="32"/>
      <c r="F571" s="32"/>
      <c r="G571" s="32"/>
    </row>
    <row r="572">
      <c r="E572" s="32"/>
      <c r="F572" s="32"/>
      <c r="G572" s="32"/>
    </row>
    <row r="573">
      <c r="E573" s="32"/>
      <c r="F573" s="32"/>
      <c r="G573" s="32"/>
    </row>
    <row r="574">
      <c r="E574" s="32"/>
      <c r="F574" s="32"/>
      <c r="G574" s="32"/>
    </row>
    <row r="575">
      <c r="E575" s="32"/>
      <c r="F575" s="32"/>
      <c r="G575" s="32"/>
    </row>
    <row r="576">
      <c r="E576" s="32"/>
      <c r="F576" s="32"/>
      <c r="G576" s="32"/>
    </row>
    <row r="577">
      <c r="E577" s="32"/>
      <c r="F577" s="32"/>
      <c r="G577" s="32"/>
    </row>
    <row r="578">
      <c r="E578" s="32"/>
      <c r="F578" s="32"/>
      <c r="G578" s="32"/>
    </row>
    <row r="579">
      <c r="E579" s="32"/>
      <c r="F579" s="32"/>
      <c r="G579" s="32"/>
    </row>
    <row r="580">
      <c r="E580" s="32"/>
      <c r="F580" s="32"/>
      <c r="G580" s="32"/>
    </row>
    <row r="581">
      <c r="E581" s="32"/>
      <c r="F581" s="32"/>
      <c r="G581" s="32"/>
    </row>
    <row r="582">
      <c r="E582" s="32"/>
      <c r="F582" s="32"/>
      <c r="G582" s="32"/>
    </row>
    <row r="583">
      <c r="E583" s="32"/>
      <c r="F583" s="32"/>
      <c r="G583" s="32"/>
    </row>
    <row r="584">
      <c r="E584" s="32"/>
      <c r="F584" s="32"/>
      <c r="G584" s="32"/>
    </row>
    <row r="585">
      <c r="E585" s="32"/>
      <c r="F585" s="32"/>
      <c r="G585" s="32"/>
    </row>
    <row r="586">
      <c r="E586" s="32"/>
      <c r="F586" s="32"/>
      <c r="G586" s="32"/>
    </row>
    <row r="587">
      <c r="E587" s="32"/>
      <c r="F587" s="32"/>
      <c r="G587" s="32"/>
    </row>
    <row r="588">
      <c r="E588" s="32"/>
      <c r="F588" s="32"/>
      <c r="G588" s="32"/>
    </row>
    <row r="589">
      <c r="E589" s="32"/>
      <c r="F589" s="32"/>
      <c r="G589" s="32"/>
    </row>
    <row r="590">
      <c r="E590" s="32"/>
      <c r="F590" s="32"/>
      <c r="G590" s="32"/>
    </row>
    <row r="591">
      <c r="E591" s="32"/>
      <c r="F591" s="32"/>
      <c r="G591" s="32"/>
    </row>
    <row r="592">
      <c r="E592" s="32"/>
      <c r="F592" s="32"/>
      <c r="G592" s="32"/>
    </row>
    <row r="593">
      <c r="E593" s="32"/>
      <c r="F593" s="32"/>
      <c r="G593" s="32"/>
    </row>
    <row r="594">
      <c r="E594" s="32"/>
      <c r="F594" s="32"/>
      <c r="G594" s="32"/>
    </row>
    <row r="595">
      <c r="E595" s="32"/>
      <c r="F595" s="32"/>
      <c r="G595" s="32"/>
    </row>
    <row r="596">
      <c r="E596" s="32"/>
      <c r="F596" s="32"/>
      <c r="G596" s="32"/>
    </row>
    <row r="597">
      <c r="E597" s="32"/>
      <c r="F597" s="32"/>
      <c r="G597" s="32"/>
    </row>
    <row r="598">
      <c r="E598" s="32"/>
      <c r="F598" s="32"/>
      <c r="G598" s="32"/>
    </row>
    <row r="599">
      <c r="E599" s="32"/>
      <c r="F599" s="32"/>
      <c r="G599" s="32"/>
    </row>
    <row r="600">
      <c r="E600" s="32"/>
      <c r="F600" s="32"/>
      <c r="G600" s="32"/>
    </row>
    <row r="601">
      <c r="E601" s="32"/>
      <c r="F601" s="32"/>
      <c r="G601" s="32"/>
    </row>
    <row r="602">
      <c r="E602" s="32"/>
      <c r="F602" s="32"/>
      <c r="G602" s="32"/>
    </row>
    <row r="603">
      <c r="E603" s="32"/>
      <c r="F603" s="32"/>
      <c r="G603" s="32"/>
    </row>
    <row r="604">
      <c r="E604" s="32"/>
      <c r="F604" s="32"/>
      <c r="G604" s="32"/>
    </row>
    <row r="605">
      <c r="E605" s="32"/>
      <c r="F605" s="32"/>
      <c r="G605" s="32"/>
    </row>
    <row r="606">
      <c r="E606" s="32"/>
      <c r="F606" s="32"/>
      <c r="G606" s="32"/>
    </row>
    <row r="607">
      <c r="E607" s="32"/>
      <c r="F607" s="32"/>
      <c r="G607" s="32"/>
    </row>
    <row r="608">
      <c r="E608" s="32"/>
      <c r="F608" s="32"/>
      <c r="G608" s="32"/>
    </row>
    <row r="609">
      <c r="E609" s="32"/>
      <c r="F609" s="32"/>
      <c r="G609" s="32"/>
    </row>
    <row r="610">
      <c r="E610" s="32"/>
      <c r="F610" s="32"/>
      <c r="G610" s="32"/>
    </row>
    <row r="611">
      <c r="E611" s="32"/>
      <c r="F611" s="32"/>
      <c r="G611" s="32"/>
    </row>
    <row r="612">
      <c r="E612" s="32"/>
      <c r="F612" s="32"/>
      <c r="G612" s="32"/>
    </row>
    <row r="613">
      <c r="E613" s="32"/>
      <c r="F613" s="32"/>
      <c r="G613" s="32"/>
    </row>
    <row r="614">
      <c r="E614" s="32"/>
      <c r="F614" s="32"/>
      <c r="G614" s="32"/>
    </row>
    <row r="615">
      <c r="E615" s="32"/>
      <c r="F615" s="32"/>
      <c r="G615" s="32"/>
    </row>
    <row r="616">
      <c r="E616" s="32"/>
      <c r="F616" s="32"/>
      <c r="G616" s="32"/>
    </row>
    <row r="617">
      <c r="E617" s="32"/>
      <c r="F617" s="32"/>
      <c r="G617" s="32"/>
    </row>
    <row r="618">
      <c r="E618" s="32"/>
      <c r="F618" s="32"/>
      <c r="G618" s="32"/>
    </row>
    <row r="619">
      <c r="E619" s="32"/>
      <c r="F619" s="32"/>
      <c r="G619" s="32"/>
    </row>
    <row r="620">
      <c r="E620" s="32"/>
      <c r="F620" s="32"/>
      <c r="G620" s="32"/>
    </row>
    <row r="621">
      <c r="E621" s="32"/>
      <c r="F621" s="32"/>
      <c r="G621" s="32"/>
    </row>
    <row r="622">
      <c r="E622" s="32"/>
      <c r="F622" s="32"/>
      <c r="G622" s="32"/>
    </row>
    <row r="623">
      <c r="E623" s="32"/>
      <c r="F623" s="32"/>
      <c r="G623" s="32"/>
    </row>
    <row r="624">
      <c r="E624" s="32"/>
      <c r="F624" s="32"/>
      <c r="G624" s="32"/>
    </row>
    <row r="625">
      <c r="E625" s="32"/>
      <c r="F625" s="32"/>
      <c r="G625" s="32"/>
    </row>
    <row r="626">
      <c r="E626" s="32"/>
      <c r="F626" s="32"/>
      <c r="G626" s="32"/>
    </row>
    <row r="627">
      <c r="E627" s="32"/>
      <c r="F627" s="32"/>
      <c r="G627" s="32"/>
    </row>
    <row r="628">
      <c r="E628" s="32"/>
      <c r="F628" s="32"/>
      <c r="G628" s="32"/>
    </row>
    <row r="629">
      <c r="E629" s="32"/>
      <c r="F629" s="32"/>
      <c r="G629" s="32"/>
    </row>
    <row r="630">
      <c r="E630" s="32"/>
      <c r="F630" s="32"/>
      <c r="G630" s="32"/>
    </row>
    <row r="631">
      <c r="E631" s="32"/>
      <c r="F631" s="32"/>
      <c r="G631" s="32"/>
    </row>
    <row r="632">
      <c r="E632" s="32"/>
      <c r="F632" s="32"/>
      <c r="G632" s="32"/>
    </row>
    <row r="633">
      <c r="E633" s="32"/>
      <c r="F633" s="32"/>
      <c r="G633" s="32"/>
    </row>
    <row r="634">
      <c r="E634" s="32"/>
      <c r="F634" s="32"/>
      <c r="G634" s="32"/>
    </row>
    <row r="635">
      <c r="E635" s="32"/>
      <c r="F635" s="32"/>
      <c r="G635" s="32"/>
    </row>
    <row r="636">
      <c r="E636" s="32"/>
      <c r="F636" s="32"/>
      <c r="G636" s="32"/>
    </row>
    <row r="637">
      <c r="E637" s="32"/>
      <c r="F637" s="32"/>
      <c r="G637" s="32"/>
    </row>
    <row r="638">
      <c r="E638" s="32"/>
      <c r="F638" s="32"/>
      <c r="G638" s="32"/>
    </row>
    <row r="639">
      <c r="E639" s="32"/>
      <c r="F639" s="32"/>
      <c r="G639" s="32"/>
    </row>
    <row r="640">
      <c r="E640" s="32"/>
      <c r="F640" s="32"/>
      <c r="G640" s="32"/>
    </row>
    <row r="641">
      <c r="E641" s="32"/>
      <c r="F641" s="32"/>
      <c r="G641" s="32"/>
    </row>
    <row r="642">
      <c r="E642" s="32"/>
      <c r="F642" s="32"/>
      <c r="G642" s="32"/>
    </row>
    <row r="643">
      <c r="E643" s="32"/>
      <c r="F643" s="32"/>
      <c r="G643" s="32"/>
    </row>
    <row r="644">
      <c r="E644" s="32"/>
      <c r="F644" s="32"/>
      <c r="G644" s="32"/>
    </row>
    <row r="645">
      <c r="E645" s="32"/>
      <c r="F645" s="32"/>
      <c r="G645" s="32"/>
    </row>
    <row r="646">
      <c r="E646" s="32"/>
      <c r="F646" s="32"/>
      <c r="G646" s="32"/>
    </row>
    <row r="647">
      <c r="E647" s="32"/>
      <c r="F647" s="32"/>
      <c r="G647" s="32"/>
    </row>
    <row r="648">
      <c r="E648" s="32"/>
      <c r="F648" s="32"/>
      <c r="G648" s="32"/>
    </row>
    <row r="649">
      <c r="E649" s="32"/>
      <c r="F649" s="32"/>
      <c r="G649" s="32"/>
    </row>
    <row r="650">
      <c r="E650" s="32"/>
      <c r="F650" s="32"/>
      <c r="G650" s="32"/>
    </row>
    <row r="651">
      <c r="E651" s="32"/>
      <c r="F651" s="32"/>
      <c r="G651" s="32"/>
    </row>
    <row r="652">
      <c r="E652" s="32"/>
      <c r="F652" s="32"/>
      <c r="G652" s="32"/>
    </row>
    <row r="653">
      <c r="E653" s="32"/>
      <c r="F653" s="32"/>
      <c r="G653" s="32"/>
    </row>
    <row r="654">
      <c r="E654" s="32"/>
      <c r="F654" s="32"/>
      <c r="G654" s="32"/>
    </row>
    <row r="655">
      <c r="E655" s="32"/>
      <c r="F655" s="32"/>
      <c r="G655" s="32"/>
    </row>
    <row r="656">
      <c r="E656" s="32"/>
      <c r="F656" s="32"/>
      <c r="G656" s="32"/>
    </row>
    <row r="657">
      <c r="E657" s="32"/>
      <c r="F657" s="32"/>
      <c r="G657" s="32"/>
    </row>
    <row r="658">
      <c r="E658" s="32"/>
      <c r="F658" s="32"/>
      <c r="G658" s="32"/>
    </row>
    <row r="659">
      <c r="E659" s="32"/>
      <c r="F659" s="32"/>
      <c r="G659" s="32"/>
    </row>
    <row r="660">
      <c r="E660" s="32"/>
      <c r="F660" s="32"/>
      <c r="G660" s="32"/>
    </row>
    <row r="661">
      <c r="E661" s="32"/>
      <c r="F661" s="32"/>
      <c r="G661" s="32"/>
    </row>
    <row r="662">
      <c r="E662" s="32"/>
      <c r="F662" s="32"/>
      <c r="G662" s="32"/>
    </row>
    <row r="663">
      <c r="E663" s="32"/>
      <c r="F663" s="32"/>
      <c r="G663" s="32"/>
    </row>
    <row r="664">
      <c r="E664" s="32"/>
      <c r="F664" s="32"/>
      <c r="G664" s="32"/>
    </row>
    <row r="665">
      <c r="E665" s="32"/>
      <c r="F665" s="32"/>
      <c r="G665" s="32"/>
    </row>
    <row r="666">
      <c r="E666" s="32"/>
      <c r="F666" s="32"/>
      <c r="G666" s="32"/>
    </row>
    <row r="667">
      <c r="E667" s="32"/>
      <c r="F667" s="32"/>
      <c r="G667" s="32"/>
    </row>
    <row r="668">
      <c r="E668" s="32"/>
      <c r="F668" s="32"/>
      <c r="G668" s="32"/>
    </row>
    <row r="669">
      <c r="E669" s="32"/>
      <c r="F669" s="32"/>
      <c r="G669" s="32"/>
    </row>
    <row r="670">
      <c r="E670" s="32"/>
      <c r="F670" s="32"/>
      <c r="G670" s="32"/>
    </row>
    <row r="671">
      <c r="E671" s="32"/>
      <c r="F671" s="32"/>
      <c r="G671" s="32"/>
    </row>
    <row r="672">
      <c r="E672" s="32"/>
      <c r="F672" s="32"/>
      <c r="G672" s="32"/>
    </row>
    <row r="673">
      <c r="E673" s="32"/>
      <c r="F673" s="32"/>
      <c r="G673" s="32"/>
    </row>
    <row r="674">
      <c r="E674" s="32"/>
      <c r="F674" s="32"/>
      <c r="G674" s="32"/>
    </row>
    <row r="675">
      <c r="E675" s="32"/>
      <c r="F675" s="32"/>
      <c r="G675" s="32"/>
    </row>
    <row r="676">
      <c r="E676" s="32"/>
      <c r="F676" s="32"/>
      <c r="G676" s="32"/>
    </row>
    <row r="677">
      <c r="E677" s="32"/>
      <c r="F677" s="32"/>
      <c r="G677" s="32"/>
    </row>
    <row r="678">
      <c r="E678" s="32"/>
      <c r="F678" s="32"/>
      <c r="G678" s="32"/>
    </row>
    <row r="679">
      <c r="E679" s="32"/>
      <c r="F679" s="32"/>
      <c r="G679" s="32"/>
    </row>
    <row r="680">
      <c r="E680" s="32"/>
      <c r="F680" s="32"/>
      <c r="G680" s="32"/>
    </row>
    <row r="681">
      <c r="E681" s="32"/>
      <c r="F681" s="32"/>
      <c r="G681" s="32"/>
    </row>
    <row r="682">
      <c r="E682" s="32"/>
      <c r="F682" s="32"/>
      <c r="G682" s="32"/>
    </row>
    <row r="683">
      <c r="E683" s="32"/>
      <c r="F683" s="32"/>
      <c r="G683" s="32"/>
    </row>
    <row r="684">
      <c r="E684" s="32"/>
      <c r="F684" s="32"/>
      <c r="G684" s="32"/>
    </row>
    <row r="685">
      <c r="E685" s="32"/>
      <c r="F685" s="32"/>
      <c r="G685" s="32"/>
    </row>
    <row r="686">
      <c r="E686" s="32"/>
      <c r="F686" s="32"/>
      <c r="G686" s="32"/>
    </row>
    <row r="687">
      <c r="E687" s="32"/>
      <c r="F687" s="32"/>
      <c r="G687" s="32"/>
    </row>
    <row r="688">
      <c r="E688" s="32"/>
      <c r="F688" s="32"/>
      <c r="G688" s="32"/>
    </row>
    <row r="689">
      <c r="E689" s="32"/>
      <c r="F689" s="32"/>
      <c r="G689" s="32"/>
    </row>
    <row r="690">
      <c r="E690" s="32"/>
      <c r="F690" s="32"/>
      <c r="G690" s="32"/>
    </row>
    <row r="691">
      <c r="E691" s="32"/>
      <c r="F691" s="32"/>
      <c r="G691" s="32"/>
    </row>
    <row r="692">
      <c r="E692" s="32"/>
      <c r="F692" s="32"/>
      <c r="G692" s="32"/>
    </row>
    <row r="693">
      <c r="E693" s="32"/>
      <c r="F693" s="32"/>
      <c r="G693" s="32"/>
    </row>
    <row r="694">
      <c r="E694" s="32"/>
      <c r="F694" s="32"/>
      <c r="G694" s="32"/>
    </row>
    <row r="695">
      <c r="E695" s="32"/>
      <c r="F695" s="32"/>
      <c r="G695" s="32"/>
    </row>
    <row r="696">
      <c r="E696" s="32"/>
      <c r="F696" s="32"/>
      <c r="G696" s="32"/>
    </row>
    <row r="697">
      <c r="E697" s="32"/>
      <c r="F697" s="32"/>
      <c r="G697" s="32"/>
    </row>
    <row r="698">
      <c r="E698" s="32"/>
      <c r="F698" s="32"/>
      <c r="G698" s="32"/>
    </row>
    <row r="699">
      <c r="E699" s="32"/>
      <c r="F699" s="32"/>
      <c r="G699" s="32"/>
    </row>
    <row r="700">
      <c r="E700" s="32"/>
      <c r="F700" s="32"/>
      <c r="G700" s="32"/>
    </row>
    <row r="701">
      <c r="E701" s="32"/>
      <c r="F701" s="32"/>
      <c r="G701" s="32"/>
    </row>
    <row r="702">
      <c r="E702" s="32"/>
      <c r="F702" s="32"/>
      <c r="G702" s="32"/>
    </row>
    <row r="703">
      <c r="E703" s="32"/>
      <c r="F703" s="32"/>
      <c r="G703" s="32"/>
    </row>
    <row r="704">
      <c r="E704" s="32"/>
      <c r="F704" s="32"/>
      <c r="G704" s="32"/>
    </row>
    <row r="705">
      <c r="E705" s="32"/>
      <c r="F705" s="32"/>
      <c r="G705" s="32"/>
    </row>
    <row r="706">
      <c r="E706" s="32"/>
      <c r="F706" s="32"/>
      <c r="G706" s="32"/>
    </row>
    <row r="707">
      <c r="E707" s="32"/>
      <c r="F707" s="32"/>
      <c r="G707" s="32"/>
    </row>
    <row r="708">
      <c r="E708" s="32"/>
      <c r="F708" s="32"/>
      <c r="G708" s="32"/>
    </row>
    <row r="709">
      <c r="E709" s="32"/>
      <c r="F709" s="32"/>
      <c r="G709" s="32"/>
    </row>
    <row r="710">
      <c r="E710" s="32"/>
      <c r="F710" s="32"/>
      <c r="G710" s="32"/>
    </row>
    <row r="711">
      <c r="E711" s="32"/>
      <c r="F711" s="32"/>
      <c r="G711" s="32"/>
    </row>
    <row r="712">
      <c r="E712" s="32"/>
      <c r="F712" s="32"/>
      <c r="G712" s="32"/>
    </row>
    <row r="713">
      <c r="E713" s="32"/>
      <c r="F713" s="32"/>
      <c r="G713" s="32"/>
    </row>
    <row r="714">
      <c r="E714" s="32"/>
      <c r="F714" s="32"/>
      <c r="G714" s="32"/>
    </row>
    <row r="715">
      <c r="E715" s="32"/>
      <c r="F715" s="32"/>
      <c r="G715" s="32"/>
    </row>
    <row r="716">
      <c r="E716" s="32"/>
      <c r="F716" s="32"/>
      <c r="G716" s="32"/>
    </row>
    <row r="717">
      <c r="E717" s="32"/>
      <c r="F717" s="32"/>
      <c r="G717" s="32"/>
    </row>
    <row r="718">
      <c r="E718" s="32"/>
      <c r="F718" s="32"/>
      <c r="G718" s="32"/>
    </row>
    <row r="719">
      <c r="E719" s="32"/>
      <c r="F719" s="32"/>
      <c r="G719" s="32"/>
    </row>
    <row r="720">
      <c r="E720" s="32"/>
      <c r="F720" s="32"/>
      <c r="G720" s="32"/>
    </row>
    <row r="721">
      <c r="E721" s="32"/>
      <c r="F721" s="32"/>
      <c r="G721" s="32"/>
    </row>
    <row r="722">
      <c r="E722" s="32"/>
      <c r="F722" s="32"/>
      <c r="G722" s="32"/>
    </row>
    <row r="723">
      <c r="E723" s="32"/>
      <c r="F723" s="32"/>
      <c r="G723" s="32"/>
    </row>
    <row r="724">
      <c r="E724" s="32"/>
      <c r="F724" s="32"/>
      <c r="G724" s="32"/>
    </row>
    <row r="725">
      <c r="E725" s="32"/>
      <c r="F725" s="32"/>
      <c r="G725" s="32"/>
    </row>
    <row r="726">
      <c r="E726" s="32"/>
      <c r="F726" s="32"/>
      <c r="G726" s="32"/>
    </row>
    <row r="727">
      <c r="E727" s="32"/>
      <c r="F727" s="32"/>
      <c r="G727" s="32"/>
    </row>
    <row r="728">
      <c r="E728" s="32"/>
      <c r="F728" s="32"/>
      <c r="G728" s="32"/>
    </row>
    <row r="729">
      <c r="E729" s="32"/>
      <c r="F729" s="32"/>
      <c r="G729" s="32"/>
    </row>
    <row r="730">
      <c r="E730" s="32"/>
      <c r="F730" s="32"/>
      <c r="G730" s="32"/>
    </row>
    <row r="731">
      <c r="E731" s="32"/>
      <c r="F731" s="32"/>
      <c r="G731" s="32"/>
    </row>
    <row r="732">
      <c r="E732" s="32"/>
      <c r="F732" s="32"/>
      <c r="G732" s="32"/>
    </row>
    <row r="733">
      <c r="E733" s="32"/>
      <c r="F733" s="32"/>
      <c r="G733" s="32"/>
    </row>
    <row r="734">
      <c r="E734" s="32"/>
      <c r="F734" s="32"/>
      <c r="G734" s="32"/>
    </row>
    <row r="735">
      <c r="E735" s="32"/>
      <c r="F735" s="32"/>
      <c r="G735" s="32"/>
    </row>
    <row r="736">
      <c r="E736" s="32"/>
      <c r="F736" s="32"/>
      <c r="G736" s="32"/>
    </row>
    <row r="737">
      <c r="E737" s="32"/>
      <c r="F737" s="32"/>
      <c r="G737" s="32"/>
    </row>
    <row r="738">
      <c r="E738" s="32"/>
      <c r="F738" s="32"/>
      <c r="G738" s="32"/>
    </row>
    <row r="739">
      <c r="E739" s="32"/>
      <c r="F739" s="32"/>
      <c r="G739" s="32"/>
    </row>
    <row r="740">
      <c r="E740" s="32"/>
      <c r="F740" s="32"/>
      <c r="G740" s="32"/>
    </row>
    <row r="741">
      <c r="E741" s="32"/>
      <c r="F741" s="32"/>
      <c r="G741" s="32"/>
    </row>
    <row r="742">
      <c r="E742" s="32"/>
      <c r="F742" s="32"/>
      <c r="G742" s="32"/>
    </row>
    <row r="743">
      <c r="E743" s="32"/>
      <c r="F743" s="32"/>
      <c r="G743" s="32"/>
    </row>
    <row r="744">
      <c r="E744" s="32"/>
      <c r="F744" s="32"/>
      <c r="G744" s="32"/>
    </row>
    <row r="745">
      <c r="E745" s="32"/>
      <c r="F745" s="32"/>
      <c r="G745" s="32"/>
    </row>
    <row r="746">
      <c r="E746" s="32"/>
      <c r="F746" s="32"/>
      <c r="G746" s="32"/>
    </row>
    <row r="747">
      <c r="E747" s="32"/>
      <c r="F747" s="32"/>
      <c r="G747" s="32"/>
    </row>
    <row r="748">
      <c r="E748" s="32"/>
      <c r="F748" s="32"/>
      <c r="G748" s="32"/>
    </row>
    <row r="749">
      <c r="E749" s="32"/>
      <c r="F749" s="32"/>
      <c r="G749" s="32"/>
    </row>
    <row r="750">
      <c r="E750" s="32"/>
      <c r="F750" s="32"/>
      <c r="G750" s="32"/>
    </row>
    <row r="751">
      <c r="E751" s="32"/>
      <c r="F751" s="32"/>
      <c r="G751" s="32"/>
    </row>
    <row r="752">
      <c r="E752" s="32"/>
      <c r="F752" s="32"/>
      <c r="G752" s="32"/>
    </row>
    <row r="753">
      <c r="E753" s="32"/>
      <c r="F753" s="32"/>
      <c r="G753" s="32"/>
    </row>
    <row r="754">
      <c r="E754" s="32"/>
      <c r="F754" s="32"/>
      <c r="G754" s="32"/>
    </row>
    <row r="755">
      <c r="E755" s="32"/>
      <c r="F755" s="32"/>
      <c r="G755" s="32"/>
    </row>
    <row r="756">
      <c r="E756" s="32"/>
      <c r="F756" s="32"/>
      <c r="G756" s="32"/>
    </row>
    <row r="757">
      <c r="E757" s="32"/>
      <c r="F757" s="32"/>
      <c r="G757" s="32"/>
    </row>
    <row r="758">
      <c r="E758" s="32"/>
      <c r="F758" s="32"/>
      <c r="G758" s="32"/>
    </row>
    <row r="759">
      <c r="E759" s="32"/>
      <c r="F759" s="32"/>
      <c r="G759" s="32"/>
    </row>
    <row r="760">
      <c r="E760" s="32"/>
      <c r="F760" s="32"/>
      <c r="G760" s="32"/>
    </row>
    <row r="761">
      <c r="E761" s="32"/>
      <c r="F761" s="32"/>
      <c r="G761" s="32"/>
    </row>
    <row r="762">
      <c r="E762" s="32"/>
      <c r="F762" s="32"/>
      <c r="G762" s="32"/>
    </row>
    <row r="763">
      <c r="E763" s="32"/>
      <c r="F763" s="32"/>
      <c r="G763" s="32"/>
    </row>
    <row r="764">
      <c r="E764" s="32"/>
      <c r="F764" s="32"/>
      <c r="G764" s="32"/>
    </row>
    <row r="765">
      <c r="E765" s="32"/>
      <c r="F765" s="32"/>
      <c r="G765" s="32"/>
    </row>
    <row r="766">
      <c r="E766" s="32"/>
      <c r="F766" s="32"/>
      <c r="G766" s="32"/>
    </row>
    <row r="767">
      <c r="E767" s="32"/>
      <c r="F767" s="32"/>
      <c r="G767" s="32"/>
    </row>
    <row r="768">
      <c r="E768" s="32"/>
      <c r="F768" s="32"/>
      <c r="G768" s="32"/>
    </row>
    <row r="769">
      <c r="E769" s="32"/>
      <c r="F769" s="32"/>
      <c r="G769" s="32"/>
    </row>
    <row r="770">
      <c r="E770" s="32"/>
      <c r="F770" s="32"/>
      <c r="G770" s="32"/>
    </row>
    <row r="771">
      <c r="E771" s="32"/>
      <c r="F771" s="32"/>
      <c r="G771" s="32"/>
    </row>
    <row r="772">
      <c r="E772" s="32"/>
      <c r="F772" s="32"/>
      <c r="G772" s="32"/>
    </row>
    <row r="773">
      <c r="E773" s="32"/>
      <c r="F773" s="32"/>
      <c r="G773" s="32"/>
    </row>
    <row r="774">
      <c r="E774" s="32"/>
      <c r="F774" s="32"/>
      <c r="G774" s="32"/>
    </row>
    <row r="775">
      <c r="E775" s="32"/>
      <c r="F775" s="32"/>
      <c r="G775" s="32"/>
    </row>
    <row r="776">
      <c r="E776" s="32"/>
      <c r="F776" s="32"/>
      <c r="G776" s="32"/>
    </row>
    <row r="777">
      <c r="E777" s="32"/>
      <c r="F777" s="32"/>
      <c r="G777" s="32"/>
    </row>
    <row r="778">
      <c r="E778" s="32"/>
      <c r="F778" s="32"/>
      <c r="G778" s="32"/>
    </row>
    <row r="779">
      <c r="E779" s="32"/>
      <c r="F779" s="32"/>
      <c r="G779" s="32"/>
    </row>
    <row r="780">
      <c r="E780" s="32"/>
      <c r="F780" s="32"/>
      <c r="G780" s="32"/>
    </row>
    <row r="781">
      <c r="E781" s="32"/>
      <c r="F781" s="32"/>
      <c r="G781" s="32"/>
    </row>
    <row r="782">
      <c r="E782" s="32"/>
      <c r="F782" s="32"/>
      <c r="G782" s="32"/>
    </row>
    <row r="783">
      <c r="E783" s="32"/>
      <c r="F783" s="32"/>
      <c r="G783" s="32"/>
    </row>
    <row r="784">
      <c r="E784" s="32"/>
      <c r="F784" s="32"/>
      <c r="G784" s="32"/>
    </row>
    <row r="785">
      <c r="E785" s="32"/>
      <c r="F785" s="32"/>
      <c r="G785" s="32"/>
    </row>
    <row r="786">
      <c r="E786" s="32"/>
      <c r="F786" s="32"/>
      <c r="G786" s="32"/>
    </row>
    <row r="787">
      <c r="E787" s="32"/>
      <c r="F787" s="32"/>
      <c r="G787" s="32"/>
    </row>
    <row r="788">
      <c r="E788" s="32"/>
      <c r="F788" s="32"/>
      <c r="G788" s="32"/>
    </row>
    <row r="789">
      <c r="E789" s="32"/>
      <c r="F789" s="32"/>
      <c r="G789" s="32"/>
    </row>
    <row r="790">
      <c r="E790" s="32"/>
      <c r="F790" s="32"/>
      <c r="G790" s="32"/>
    </row>
    <row r="791">
      <c r="E791" s="32"/>
      <c r="F791" s="32"/>
      <c r="G791" s="32"/>
    </row>
    <row r="792">
      <c r="E792" s="32"/>
      <c r="F792" s="32"/>
      <c r="G792" s="32"/>
    </row>
    <row r="793">
      <c r="E793" s="32"/>
      <c r="F793" s="32"/>
      <c r="G793" s="32"/>
    </row>
    <row r="794">
      <c r="E794" s="32"/>
      <c r="F794" s="32"/>
      <c r="G794" s="32"/>
    </row>
    <row r="795">
      <c r="E795" s="32"/>
      <c r="F795" s="32"/>
      <c r="G795" s="32"/>
    </row>
    <row r="796">
      <c r="E796" s="32"/>
      <c r="F796" s="32"/>
      <c r="G796" s="32"/>
    </row>
    <row r="797">
      <c r="E797" s="32"/>
      <c r="F797" s="32"/>
      <c r="G797" s="32"/>
    </row>
    <row r="798">
      <c r="E798" s="32"/>
      <c r="F798" s="32"/>
      <c r="G798" s="32"/>
    </row>
    <row r="799">
      <c r="E799" s="32"/>
      <c r="F799" s="32"/>
      <c r="G799" s="32"/>
    </row>
    <row r="800">
      <c r="E800" s="32"/>
      <c r="F800" s="32"/>
      <c r="G800" s="32"/>
    </row>
    <row r="801">
      <c r="E801" s="32"/>
      <c r="F801" s="32"/>
      <c r="G801" s="32"/>
    </row>
    <row r="802">
      <c r="E802" s="32"/>
      <c r="F802" s="32"/>
      <c r="G802" s="32"/>
    </row>
    <row r="803">
      <c r="E803" s="32"/>
      <c r="F803" s="32"/>
      <c r="G803" s="32"/>
    </row>
    <row r="804">
      <c r="E804" s="32"/>
      <c r="F804" s="32"/>
      <c r="G804" s="32"/>
    </row>
    <row r="805">
      <c r="E805" s="32"/>
      <c r="F805" s="32"/>
      <c r="G805" s="32"/>
    </row>
    <row r="806">
      <c r="E806" s="32"/>
      <c r="F806" s="32"/>
      <c r="G806" s="32"/>
    </row>
    <row r="807">
      <c r="E807" s="32"/>
      <c r="F807" s="32"/>
      <c r="G807" s="32"/>
    </row>
    <row r="808">
      <c r="E808" s="32"/>
      <c r="F808" s="32"/>
      <c r="G808" s="32"/>
    </row>
    <row r="809">
      <c r="E809" s="32"/>
      <c r="F809" s="32"/>
      <c r="G809" s="32"/>
    </row>
    <row r="810">
      <c r="E810" s="32"/>
      <c r="F810" s="32"/>
      <c r="G810" s="32"/>
    </row>
    <row r="811">
      <c r="E811" s="32"/>
      <c r="F811" s="32"/>
      <c r="G811" s="32"/>
    </row>
    <row r="812">
      <c r="E812" s="32"/>
      <c r="F812" s="32"/>
      <c r="G812" s="32"/>
    </row>
    <row r="813">
      <c r="E813" s="32"/>
      <c r="F813" s="32"/>
      <c r="G813" s="32"/>
    </row>
    <row r="814">
      <c r="E814" s="32"/>
      <c r="F814" s="32"/>
      <c r="G814" s="32"/>
    </row>
    <row r="815">
      <c r="E815" s="32"/>
      <c r="F815" s="32"/>
      <c r="G815" s="32"/>
    </row>
    <row r="816">
      <c r="E816" s="32"/>
      <c r="F816" s="32"/>
      <c r="G816" s="32"/>
    </row>
    <row r="817">
      <c r="E817" s="32"/>
      <c r="F817" s="32"/>
      <c r="G817" s="32"/>
    </row>
    <row r="818">
      <c r="E818" s="32"/>
      <c r="F818" s="32"/>
      <c r="G818" s="32"/>
    </row>
    <row r="819">
      <c r="E819" s="32"/>
      <c r="F819" s="32"/>
      <c r="G819" s="32"/>
    </row>
    <row r="820">
      <c r="E820" s="32"/>
      <c r="F820" s="32"/>
      <c r="G820" s="32"/>
    </row>
    <row r="821">
      <c r="E821" s="32"/>
      <c r="F821" s="32"/>
      <c r="G821" s="32"/>
    </row>
    <row r="822">
      <c r="E822" s="32"/>
      <c r="F822" s="32"/>
      <c r="G822" s="32"/>
    </row>
    <row r="823">
      <c r="E823" s="32"/>
      <c r="F823" s="32"/>
      <c r="G823" s="32"/>
    </row>
    <row r="824">
      <c r="E824" s="32"/>
      <c r="F824" s="32"/>
      <c r="G824" s="32"/>
    </row>
    <row r="825">
      <c r="E825" s="32"/>
      <c r="F825" s="32"/>
      <c r="G825" s="32"/>
    </row>
    <row r="826">
      <c r="E826" s="32"/>
      <c r="F826" s="32"/>
      <c r="G826" s="32"/>
    </row>
    <row r="827">
      <c r="E827" s="32"/>
      <c r="F827" s="32"/>
      <c r="G827" s="32"/>
    </row>
    <row r="828">
      <c r="E828" s="32"/>
      <c r="F828" s="32"/>
      <c r="G828" s="32"/>
    </row>
    <row r="829">
      <c r="E829" s="32"/>
      <c r="F829" s="32"/>
      <c r="G829" s="32"/>
    </row>
    <row r="830">
      <c r="E830" s="32"/>
      <c r="F830" s="32"/>
      <c r="G830" s="32"/>
    </row>
    <row r="831">
      <c r="E831" s="32"/>
      <c r="F831" s="32"/>
      <c r="G831" s="32"/>
    </row>
    <row r="832">
      <c r="E832" s="32"/>
      <c r="F832" s="32"/>
      <c r="G832" s="32"/>
    </row>
    <row r="833">
      <c r="E833" s="32"/>
      <c r="F833" s="32"/>
      <c r="G833" s="32"/>
    </row>
    <row r="834">
      <c r="E834" s="32"/>
      <c r="F834" s="32"/>
      <c r="G834" s="32"/>
    </row>
    <row r="835">
      <c r="E835" s="32"/>
      <c r="F835" s="32"/>
      <c r="G835" s="32"/>
    </row>
    <row r="836">
      <c r="E836" s="32"/>
      <c r="F836" s="32"/>
      <c r="G836" s="32"/>
    </row>
    <row r="837">
      <c r="E837" s="32"/>
      <c r="F837" s="32"/>
      <c r="G837" s="32"/>
    </row>
    <row r="838">
      <c r="E838" s="32"/>
      <c r="F838" s="32"/>
      <c r="G838" s="32"/>
    </row>
    <row r="839">
      <c r="E839" s="32"/>
      <c r="F839" s="32"/>
      <c r="G839" s="32"/>
    </row>
    <row r="840">
      <c r="E840" s="32"/>
      <c r="F840" s="32"/>
      <c r="G840" s="32"/>
    </row>
    <row r="841">
      <c r="E841" s="32"/>
      <c r="F841" s="32"/>
      <c r="G841" s="32"/>
    </row>
    <row r="842">
      <c r="E842" s="32"/>
      <c r="F842" s="32"/>
      <c r="G842" s="32"/>
    </row>
    <row r="843">
      <c r="E843" s="32"/>
      <c r="F843" s="32"/>
      <c r="G843" s="32"/>
    </row>
    <row r="844">
      <c r="E844" s="32"/>
      <c r="F844" s="32"/>
      <c r="G844" s="32"/>
    </row>
    <row r="845">
      <c r="E845" s="32"/>
      <c r="F845" s="32"/>
      <c r="G845" s="32"/>
    </row>
    <row r="846">
      <c r="E846" s="32"/>
      <c r="F846" s="32"/>
      <c r="G846" s="32"/>
    </row>
    <row r="847">
      <c r="E847" s="32"/>
      <c r="F847" s="32"/>
      <c r="G847" s="32"/>
    </row>
    <row r="848">
      <c r="E848" s="32"/>
      <c r="F848" s="32"/>
      <c r="G848" s="32"/>
    </row>
    <row r="849">
      <c r="E849" s="32"/>
      <c r="F849" s="32"/>
      <c r="G849" s="32"/>
    </row>
    <row r="850">
      <c r="E850" s="32"/>
      <c r="F850" s="32"/>
      <c r="G850" s="32"/>
    </row>
    <row r="851">
      <c r="E851" s="32"/>
      <c r="F851" s="32"/>
      <c r="G851" s="32"/>
    </row>
    <row r="852">
      <c r="E852" s="32"/>
      <c r="F852" s="32"/>
      <c r="G852" s="32"/>
    </row>
    <row r="853">
      <c r="E853" s="32"/>
      <c r="F853" s="32"/>
      <c r="G853" s="32"/>
    </row>
    <row r="854">
      <c r="E854" s="32"/>
      <c r="F854" s="32"/>
      <c r="G854" s="32"/>
    </row>
    <row r="855">
      <c r="E855" s="32"/>
      <c r="F855" s="32"/>
      <c r="G855" s="32"/>
    </row>
    <row r="856">
      <c r="E856" s="32"/>
      <c r="F856" s="32"/>
      <c r="G856" s="32"/>
    </row>
    <row r="857">
      <c r="E857" s="32"/>
      <c r="F857" s="32"/>
      <c r="G857" s="32"/>
    </row>
    <row r="858">
      <c r="E858" s="32"/>
      <c r="F858" s="32"/>
      <c r="G858" s="32"/>
    </row>
    <row r="859">
      <c r="E859" s="32"/>
      <c r="F859" s="32"/>
      <c r="G859" s="32"/>
    </row>
    <row r="860">
      <c r="E860" s="32"/>
      <c r="F860" s="32"/>
      <c r="G860" s="32"/>
    </row>
    <row r="861">
      <c r="E861" s="32"/>
      <c r="F861" s="32"/>
      <c r="G861" s="32"/>
    </row>
    <row r="862">
      <c r="E862" s="32"/>
      <c r="F862" s="32"/>
      <c r="G862" s="32"/>
    </row>
    <row r="863">
      <c r="E863" s="32"/>
      <c r="F863" s="32"/>
      <c r="G863" s="32"/>
    </row>
    <row r="864">
      <c r="E864" s="32"/>
      <c r="F864" s="32"/>
      <c r="G864" s="32"/>
    </row>
    <row r="865">
      <c r="E865" s="32"/>
      <c r="F865" s="32"/>
      <c r="G865" s="32"/>
    </row>
    <row r="866">
      <c r="E866" s="32"/>
      <c r="F866" s="32"/>
      <c r="G866" s="32"/>
    </row>
    <row r="867">
      <c r="E867" s="32"/>
      <c r="F867" s="32"/>
      <c r="G867" s="32"/>
    </row>
    <row r="868">
      <c r="E868" s="32"/>
      <c r="F868" s="32"/>
      <c r="G868" s="32"/>
    </row>
    <row r="869">
      <c r="E869" s="32"/>
      <c r="F869" s="32"/>
      <c r="G869" s="32"/>
    </row>
    <row r="870">
      <c r="E870" s="32"/>
      <c r="F870" s="32"/>
      <c r="G870" s="32"/>
    </row>
    <row r="871">
      <c r="E871" s="32"/>
      <c r="F871" s="32"/>
      <c r="G871" s="32"/>
    </row>
    <row r="872">
      <c r="E872" s="32"/>
      <c r="F872" s="32"/>
      <c r="G872" s="32"/>
    </row>
    <row r="873">
      <c r="E873" s="32"/>
      <c r="F873" s="32"/>
      <c r="G873" s="32"/>
    </row>
    <row r="874">
      <c r="E874" s="32"/>
      <c r="F874" s="32"/>
      <c r="G874" s="32"/>
    </row>
    <row r="875">
      <c r="E875" s="32"/>
      <c r="F875" s="32"/>
      <c r="G875" s="32"/>
    </row>
    <row r="876">
      <c r="E876" s="32"/>
      <c r="F876" s="32"/>
      <c r="G876" s="32"/>
    </row>
    <row r="877">
      <c r="E877" s="32"/>
      <c r="F877" s="32"/>
      <c r="G877" s="32"/>
    </row>
    <row r="878">
      <c r="E878" s="32"/>
      <c r="F878" s="32"/>
      <c r="G878" s="32"/>
    </row>
    <row r="879">
      <c r="E879" s="32"/>
      <c r="F879" s="32"/>
      <c r="G879" s="32"/>
    </row>
    <row r="880">
      <c r="E880" s="32"/>
      <c r="F880" s="32"/>
      <c r="G880" s="32"/>
    </row>
    <row r="881">
      <c r="E881" s="32"/>
      <c r="F881" s="32"/>
      <c r="G881" s="32"/>
    </row>
    <row r="882">
      <c r="E882" s="32"/>
      <c r="F882" s="32"/>
      <c r="G882" s="32"/>
    </row>
    <row r="883">
      <c r="E883" s="32"/>
      <c r="F883" s="32"/>
      <c r="G883" s="32"/>
    </row>
    <row r="884">
      <c r="E884" s="32"/>
      <c r="F884" s="32"/>
      <c r="G884" s="32"/>
    </row>
    <row r="885">
      <c r="E885" s="32"/>
      <c r="F885" s="32"/>
      <c r="G885" s="32"/>
    </row>
    <row r="886">
      <c r="E886" s="32"/>
      <c r="F886" s="32"/>
      <c r="G886" s="32"/>
    </row>
    <row r="887">
      <c r="E887" s="32"/>
      <c r="F887" s="32"/>
      <c r="G887" s="32"/>
    </row>
    <row r="888">
      <c r="E888" s="32"/>
      <c r="F888" s="32"/>
      <c r="G888" s="32"/>
    </row>
    <row r="889">
      <c r="E889" s="32"/>
      <c r="F889" s="32"/>
      <c r="G889" s="32"/>
    </row>
    <row r="890">
      <c r="E890" s="32"/>
      <c r="F890" s="32"/>
      <c r="G890" s="32"/>
    </row>
    <row r="891">
      <c r="E891" s="32"/>
      <c r="F891" s="32"/>
      <c r="G891" s="32"/>
    </row>
    <row r="892">
      <c r="E892" s="32"/>
      <c r="F892" s="32"/>
      <c r="G892" s="32"/>
    </row>
    <row r="893">
      <c r="E893" s="32"/>
      <c r="F893" s="32"/>
      <c r="G893" s="32"/>
    </row>
    <row r="894">
      <c r="E894" s="32"/>
      <c r="F894" s="32"/>
      <c r="G894" s="32"/>
    </row>
    <row r="895">
      <c r="E895" s="32"/>
      <c r="F895" s="32"/>
      <c r="G895" s="32"/>
    </row>
    <row r="896">
      <c r="E896" s="32"/>
      <c r="F896" s="32"/>
      <c r="G896" s="32"/>
    </row>
    <row r="897">
      <c r="E897" s="32"/>
      <c r="F897" s="32"/>
      <c r="G897" s="32"/>
    </row>
    <row r="898">
      <c r="E898" s="32"/>
      <c r="F898" s="32"/>
      <c r="G898" s="32"/>
    </row>
    <row r="899">
      <c r="E899" s="32"/>
      <c r="F899" s="32"/>
      <c r="G899" s="32"/>
    </row>
    <row r="900">
      <c r="E900" s="32"/>
      <c r="F900" s="32"/>
      <c r="G900" s="32"/>
    </row>
    <row r="901">
      <c r="E901" s="32"/>
      <c r="F901" s="32"/>
      <c r="G901" s="32"/>
    </row>
    <row r="902">
      <c r="E902" s="32"/>
      <c r="F902" s="32"/>
      <c r="G902" s="32"/>
    </row>
    <row r="903">
      <c r="E903" s="32"/>
      <c r="F903" s="32"/>
      <c r="G903" s="32"/>
    </row>
    <row r="904">
      <c r="E904" s="32"/>
      <c r="F904" s="32"/>
      <c r="G904" s="32"/>
    </row>
    <row r="905">
      <c r="E905" s="32"/>
      <c r="F905" s="32"/>
      <c r="G905" s="32"/>
    </row>
    <row r="906">
      <c r="E906" s="32"/>
      <c r="F906" s="32"/>
      <c r="G906" s="32"/>
    </row>
    <row r="907">
      <c r="E907" s="32"/>
      <c r="F907" s="32"/>
      <c r="G907" s="32"/>
    </row>
    <row r="908">
      <c r="E908" s="32"/>
      <c r="F908" s="32"/>
      <c r="G908" s="32"/>
    </row>
    <row r="909">
      <c r="E909" s="32"/>
      <c r="F909" s="32"/>
      <c r="G909" s="32"/>
    </row>
    <row r="910">
      <c r="E910" s="32"/>
      <c r="F910" s="32"/>
      <c r="G910" s="32"/>
    </row>
    <row r="911">
      <c r="E911" s="32"/>
      <c r="F911" s="32"/>
      <c r="G911" s="32"/>
    </row>
    <row r="912">
      <c r="E912" s="32"/>
      <c r="F912" s="32"/>
      <c r="G912" s="32"/>
    </row>
    <row r="913">
      <c r="E913" s="32"/>
      <c r="F913" s="32"/>
      <c r="G913" s="32"/>
    </row>
    <row r="914">
      <c r="E914" s="32"/>
      <c r="F914" s="32"/>
      <c r="G914" s="32"/>
    </row>
    <row r="915">
      <c r="E915" s="32"/>
      <c r="F915" s="32"/>
      <c r="G915" s="32"/>
    </row>
    <row r="916">
      <c r="E916" s="32"/>
      <c r="F916" s="32"/>
      <c r="G916" s="32"/>
    </row>
    <row r="917">
      <c r="E917" s="32"/>
      <c r="F917" s="32"/>
      <c r="G917" s="32"/>
    </row>
    <row r="918">
      <c r="E918" s="32"/>
      <c r="F918" s="32"/>
      <c r="G918" s="32"/>
    </row>
    <row r="919">
      <c r="E919" s="32"/>
      <c r="F919" s="32"/>
      <c r="G919" s="32"/>
    </row>
    <row r="920">
      <c r="E920" s="32"/>
      <c r="F920" s="32"/>
      <c r="G920" s="32"/>
    </row>
    <row r="921">
      <c r="E921" s="32"/>
      <c r="F921" s="32"/>
      <c r="G921" s="32"/>
    </row>
    <row r="922">
      <c r="E922" s="32"/>
      <c r="F922" s="32"/>
      <c r="G922" s="32"/>
    </row>
    <row r="923">
      <c r="E923" s="32"/>
      <c r="F923" s="32"/>
      <c r="G923" s="32"/>
    </row>
    <row r="924">
      <c r="E924" s="32"/>
      <c r="F924" s="32"/>
      <c r="G924" s="32"/>
    </row>
    <row r="925">
      <c r="E925" s="32"/>
      <c r="F925" s="32"/>
      <c r="G925" s="32"/>
    </row>
    <row r="926">
      <c r="E926" s="32"/>
      <c r="F926" s="32"/>
      <c r="G926" s="32"/>
    </row>
    <row r="927">
      <c r="E927" s="32"/>
      <c r="F927" s="32"/>
      <c r="G927" s="32"/>
    </row>
    <row r="928">
      <c r="E928" s="32"/>
      <c r="F928" s="32"/>
      <c r="G928" s="32"/>
    </row>
    <row r="929">
      <c r="E929" s="32"/>
      <c r="F929" s="32"/>
      <c r="G929" s="32"/>
    </row>
    <row r="930">
      <c r="E930" s="32"/>
      <c r="F930" s="32"/>
      <c r="G930" s="32"/>
    </row>
    <row r="931">
      <c r="E931" s="32"/>
      <c r="F931" s="32"/>
      <c r="G931" s="32"/>
    </row>
    <row r="932">
      <c r="E932" s="32"/>
      <c r="F932" s="32"/>
      <c r="G932" s="32"/>
    </row>
    <row r="933">
      <c r="E933" s="32"/>
      <c r="F933" s="32"/>
      <c r="G933" s="32"/>
    </row>
    <row r="934">
      <c r="E934" s="32"/>
      <c r="F934" s="32"/>
      <c r="G934" s="32"/>
    </row>
    <row r="935">
      <c r="E935" s="32"/>
      <c r="F935" s="32"/>
      <c r="G935" s="32"/>
    </row>
    <row r="936">
      <c r="E936" s="32"/>
      <c r="F936" s="32"/>
      <c r="G936" s="32"/>
    </row>
    <row r="937">
      <c r="E937" s="32"/>
      <c r="F937" s="32"/>
      <c r="G937" s="32"/>
    </row>
    <row r="938">
      <c r="E938" s="32"/>
      <c r="F938" s="32"/>
      <c r="G938" s="32"/>
    </row>
    <row r="939">
      <c r="E939" s="32"/>
      <c r="F939" s="32"/>
      <c r="G939" s="32"/>
    </row>
    <row r="940">
      <c r="E940" s="32"/>
      <c r="F940" s="32"/>
      <c r="G940" s="32"/>
    </row>
    <row r="941">
      <c r="E941" s="32"/>
      <c r="F941" s="32"/>
      <c r="G941" s="32"/>
    </row>
    <row r="942">
      <c r="E942" s="32"/>
      <c r="F942" s="32"/>
      <c r="G942" s="32"/>
    </row>
    <row r="943">
      <c r="E943" s="32"/>
      <c r="F943" s="32"/>
      <c r="G943" s="32"/>
    </row>
    <row r="944">
      <c r="E944" s="32"/>
      <c r="F944" s="32"/>
      <c r="G944" s="32"/>
    </row>
    <row r="945">
      <c r="E945" s="32"/>
      <c r="F945" s="32"/>
      <c r="G945" s="32"/>
    </row>
    <row r="946">
      <c r="E946" s="32"/>
      <c r="F946" s="32"/>
      <c r="G946" s="32"/>
    </row>
    <row r="947">
      <c r="E947" s="32"/>
      <c r="F947" s="32"/>
      <c r="G947" s="32"/>
    </row>
    <row r="948">
      <c r="E948" s="32"/>
      <c r="F948" s="32"/>
      <c r="G948" s="32"/>
    </row>
    <row r="949">
      <c r="E949" s="32"/>
      <c r="F949" s="32"/>
      <c r="G949" s="32"/>
    </row>
    <row r="950">
      <c r="E950" s="32"/>
      <c r="F950" s="32"/>
      <c r="G950" s="32"/>
    </row>
    <row r="951">
      <c r="E951" s="32"/>
      <c r="F951" s="32"/>
      <c r="G951" s="32"/>
    </row>
    <row r="952">
      <c r="E952" s="32"/>
      <c r="F952" s="32"/>
      <c r="G952" s="32"/>
    </row>
    <row r="953">
      <c r="E953" s="32"/>
      <c r="F953" s="32"/>
      <c r="G953" s="32"/>
    </row>
    <row r="954">
      <c r="E954" s="32"/>
      <c r="F954" s="32"/>
      <c r="G954" s="32"/>
    </row>
    <row r="955">
      <c r="E955" s="32"/>
      <c r="F955" s="32"/>
      <c r="G955" s="32"/>
    </row>
    <row r="956">
      <c r="E956" s="32"/>
      <c r="F956" s="32"/>
      <c r="G956" s="32"/>
    </row>
    <row r="957">
      <c r="E957" s="32"/>
      <c r="F957" s="32"/>
      <c r="G957" s="32"/>
    </row>
    <row r="958">
      <c r="E958" s="32"/>
      <c r="F958" s="32"/>
      <c r="G958" s="32"/>
    </row>
    <row r="959">
      <c r="E959" s="32"/>
      <c r="F959" s="32"/>
      <c r="G959" s="32"/>
    </row>
    <row r="960">
      <c r="E960" s="32"/>
      <c r="F960" s="32"/>
      <c r="G960" s="32"/>
    </row>
    <row r="961">
      <c r="E961" s="32"/>
      <c r="F961" s="32"/>
      <c r="G961" s="32"/>
    </row>
    <row r="962">
      <c r="E962" s="32"/>
      <c r="F962" s="32"/>
      <c r="G962" s="32"/>
    </row>
    <row r="963">
      <c r="E963" s="32"/>
      <c r="F963" s="32"/>
      <c r="G963" s="32"/>
    </row>
    <row r="964">
      <c r="E964" s="32"/>
      <c r="F964" s="32"/>
      <c r="G964" s="32"/>
    </row>
    <row r="965">
      <c r="E965" s="32"/>
      <c r="F965" s="32"/>
      <c r="G965" s="32"/>
    </row>
    <row r="966">
      <c r="E966" s="32"/>
      <c r="F966" s="32"/>
      <c r="G966" s="32"/>
    </row>
    <row r="967">
      <c r="E967" s="32"/>
      <c r="F967" s="32"/>
      <c r="G967" s="32"/>
    </row>
    <row r="968">
      <c r="E968" s="32"/>
      <c r="F968" s="32"/>
      <c r="G968" s="32"/>
    </row>
    <row r="969">
      <c r="E969" s="32"/>
      <c r="F969" s="32"/>
      <c r="G969" s="32"/>
    </row>
    <row r="970">
      <c r="E970" s="32"/>
      <c r="F970" s="32"/>
      <c r="G970" s="32"/>
    </row>
    <row r="971">
      <c r="E971" s="32"/>
      <c r="F971" s="32"/>
      <c r="G971" s="32"/>
    </row>
    <row r="972">
      <c r="E972" s="32"/>
      <c r="F972" s="32"/>
      <c r="G972" s="32"/>
    </row>
    <row r="973">
      <c r="E973" s="32"/>
      <c r="F973" s="32"/>
      <c r="G973" s="32"/>
    </row>
    <row r="974">
      <c r="E974" s="32"/>
      <c r="F974" s="32"/>
      <c r="G974" s="32"/>
    </row>
    <row r="975">
      <c r="E975" s="32"/>
      <c r="F975" s="32"/>
      <c r="G975" s="32"/>
    </row>
    <row r="976">
      <c r="E976" s="32"/>
      <c r="F976" s="32"/>
      <c r="G976" s="32"/>
    </row>
    <row r="977">
      <c r="E977" s="32"/>
      <c r="F977" s="32"/>
      <c r="G977" s="32"/>
    </row>
    <row r="978">
      <c r="E978" s="32"/>
      <c r="F978" s="32"/>
      <c r="G978" s="32"/>
    </row>
    <row r="979">
      <c r="E979" s="32"/>
      <c r="F979" s="32"/>
      <c r="G979" s="32"/>
    </row>
    <row r="980">
      <c r="E980" s="32"/>
      <c r="F980" s="32"/>
      <c r="G980" s="32"/>
    </row>
    <row r="981">
      <c r="E981" s="32"/>
      <c r="F981" s="32"/>
      <c r="G981" s="32"/>
    </row>
    <row r="982">
      <c r="E982" s="32"/>
      <c r="F982" s="32"/>
      <c r="G982" s="32"/>
    </row>
    <row r="983">
      <c r="E983" s="32"/>
      <c r="F983" s="32"/>
      <c r="G983" s="32"/>
    </row>
    <row r="984">
      <c r="E984" s="32"/>
      <c r="F984" s="32"/>
      <c r="G984" s="32"/>
    </row>
    <row r="985">
      <c r="E985" s="32"/>
      <c r="F985" s="32"/>
      <c r="G985" s="32"/>
    </row>
    <row r="986">
      <c r="E986" s="32"/>
      <c r="F986" s="32"/>
      <c r="G986" s="32"/>
    </row>
    <row r="987">
      <c r="E987" s="32"/>
      <c r="F987" s="32"/>
      <c r="G987" s="32"/>
    </row>
    <row r="988">
      <c r="E988" s="32"/>
      <c r="F988" s="32"/>
      <c r="G988" s="32"/>
    </row>
    <row r="989">
      <c r="E989" s="32"/>
      <c r="F989" s="32"/>
      <c r="G989" s="32"/>
    </row>
    <row r="990">
      <c r="E990" s="32"/>
      <c r="F990" s="32"/>
      <c r="G990" s="32"/>
    </row>
    <row r="991">
      <c r="E991" s="32"/>
      <c r="F991" s="32"/>
      <c r="G991" s="32"/>
    </row>
    <row r="992">
      <c r="E992" s="32"/>
      <c r="F992" s="32"/>
      <c r="G992" s="32"/>
    </row>
    <row r="993">
      <c r="E993" s="32"/>
      <c r="F993" s="32"/>
      <c r="G993" s="32"/>
    </row>
    <row r="994">
      <c r="E994" s="32"/>
      <c r="F994" s="32"/>
      <c r="G994" s="32"/>
    </row>
    <row r="995">
      <c r="E995" s="32"/>
      <c r="F995" s="32"/>
      <c r="G995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  <col customWidth="1" min="6" max="6" width="38.63"/>
  </cols>
  <sheetData>
    <row r="1">
      <c r="A1" s="42" t="s">
        <v>0</v>
      </c>
      <c r="B1" s="42" t="s">
        <v>1</v>
      </c>
      <c r="C1" s="42" t="s">
        <v>1845</v>
      </c>
      <c r="D1" s="55" t="s">
        <v>1846</v>
      </c>
      <c r="E1" s="56" t="s">
        <v>1847</v>
      </c>
      <c r="F1" s="61" t="s">
        <v>1848</v>
      </c>
      <c r="G1" s="15" t="s">
        <v>7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9">
        <v>1216.0</v>
      </c>
      <c r="B2" s="9" t="s">
        <v>50</v>
      </c>
      <c r="C2" s="21" t="s">
        <v>1849</v>
      </c>
      <c r="D2" s="11" t="s">
        <v>1850</v>
      </c>
      <c r="E2" s="9">
        <v>0.0</v>
      </c>
      <c r="F2" s="62" t="s">
        <v>1851</v>
      </c>
      <c r="G2" s="63">
        <v>0.0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9">
        <v>1216.0</v>
      </c>
      <c r="B3" s="9" t="s">
        <v>50</v>
      </c>
      <c r="C3" s="21" t="s">
        <v>1852</v>
      </c>
      <c r="D3" s="11" t="s">
        <v>1853</v>
      </c>
      <c r="E3" s="9">
        <v>0.0</v>
      </c>
      <c r="F3" s="62" t="s">
        <v>1851</v>
      </c>
      <c r="G3" s="63">
        <v>0.0</v>
      </c>
    </row>
    <row r="4">
      <c r="A4" s="9">
        <v>1216.0</v>
      </c>
      <c r="B4" s="9" t="s">
        <v>50</v>
      </c>
      <c r="C4" s="21" t="s">
        <v>1854</v>
      </c>
      <c r="D4" s="11" t="s">
        <v>1855</v>
      </c>
      <c r="E4" s="9">
        <v>0.0</v>
      </c>
      <c r="F4" s="62" t="s">
        <v>1851</v>
      </c>
      <c r="G4" s="63">
        <v>0.0</v>
      </c>
    </row>
    <row r="5">
      <c r="A5" s="9">
        <v>1216.0</v>
      </c>
      <c r="B5" s="9" t="s">
        <v>50</v>
      </c>
      <c r="C5" s="21" t="s">
        <v>1856</v>
      </c>
      <c r="D5" s="11" t="s">
        <v>1857</v>
      </c>
      <c r="E5" s="9">
        <v>0.0</v>
      </c>
      <c r="F5" s="62" t="s">
        <v>1851</v>
      </c>
      <c r="G5" s="63">
        <v>0.0</v>
      </c>
    </row>
    <row r="6">
      <c r="A6" s="9">
        <v>1216.0</v>
      </c>
      <c r="B6" s="9" t="s">
        <v>50</v>
      </c>
      <c r="C6" s="21" t="s">
        <v>1858</v>
      </c>
      <c r="D6" s="11" t="s">
        <v>1859</v>
      </c>
      <c r="E6" s="9">
        <v>0.0</v>
      </c>
      <c r="F6" s="62" t="s">
        <v>1851</v>
      </c>
      <c r="G6" s="63">
        <v>0.0</v>
      </c>
    </row>
    <row r="7">
      <c r="A7" s="9">
        <v>1216.0</v>
      </c>
      <c r="B7" s="9" t="s">
        <v>50</v>
      </c>
      <c r="C7" s="21" t="s">
        <v>1860</v>
      </c>
      <c r="D7" s="11" t="s">
        <v>1861</v>
      </c>
      <c r="E7" s="9">
        <v>0.0</v>
      </c>
      <c r="F7" s="62" t="s">
        <v>1851</v>
      </c>
      <c r="G7" s="63">
        <v>0.0</v>
      </c>
    </row>
    <row r="8">
      <c r="A8" s="9">
        <v>1216.0</v>
      </c>
      <c r="B8" s="9" t="s">
        <v>50</v>
      </c>
      <c r="C8" s="21" t="s">
        <v>1862</v>
      </c>
      <c r="D8" s="11" t="s">
        <v>1863</v>
      </c>
      <c r="E8" s="9">
        <v>0.0</v>
      </c>
      <c r="F8" s="62" t="s">
        <v>1851</v>
      </c>
      <c r="G8" s="63">
        <v>0.0</v>
      </c>
    </row>
    <row r="9">
      <c r="A9" s="9">
        <v>1216.0</v>
      </c>
      <c r="B9" s="9" t="s">
        <v>50</v>
      </c>
      <c r="C9" s="21" t="s">
        <v>1864</v>
      </c>
      <c r="D9" s="11" t="s">
        <v>1865</v>
      </c>
      <c r="E9" s="9">
        <v>0.0</v>
      </c>
      <c r="F9" s="62" t="s">
        <v>1851</v>
      </c>
      <c r="G9" s="63">
        <v>0.0</v>
      </c>
    </row>
    <row r="10">
      <c r="A10" s="9">
        <v>1216.0</v>
      </c>
      <c r="B10" s="9" t="s">
        <v>50</v>
      </c>
      <c r="C10" s="21" t="s">
        <v>1866</v>
      </c>
      <c r="D10" s="11" t="s">
        <v>1867</v>
      </c>
      <c r="E10" s="9">
        <v>0.0</v>
      </c>
      <c r="F10" s="62" t="s">
        <v>1851</v>
      </c>
      <c r="G10" s="63">
        <v>0.0</v>
      </c>
    </row>
    <row r="11">
      <c r="A11" s="9">
        <v>1216.0</v>
      </c>
      <c r="B11" s="9" t="s">
        <v>50</v>
      </c>
      <c r="C11" s="21" t="s">
        <v>1868</v>
      </c>
      <c r="D11" s="11" t="s">
        <v>1869</v>
      </c>
      <c r="E11" s="9">
        <v>0.0</v>
      </c>
      <c r="F11" s="62" t="s">
        <v>1851</v>
      </c>
      <c r="G11" s="63">
        <v>0.0</v>
      </c>
    </row>
    <row r="12">
      <c r="A12" s="9">
        <v>1216.0</v>
      </c>
      <c r="B12" s="9" t="s">
        <v>50</v>
      </c>
      <c r="C12" s="21" t="s">
        <v>1870</v>
      </c>
      <c r="D12" s="11" t="s">
        <v>1871</v>
      </c>
      <c r="E12" s="9">
        <v>0.0</v>
      </c>
      <c r="F12" s="62" t="s">
        <v>1851</v>
      </c>
      <c r="G12" s="63">
        <v>0.0</v>
      </c>
    </row>
    <row r="13">
      <c r="A13" s="9">
        <v>1216.0</v>
      </c>
      <c r="B13" s="9" t="s">
        <v>50</v>
      </c>
      <c r="C13" s="21" t="s">
        <v>1872</v>
      </c>
      <c r="D13" s="11" t="s">
        <v>1873</v>
      </c>
      <c r="E13" s="9">
        <v>0.0</v>
      </c>
      <c r="F13" s="62" t="s">
        <v>1851</v>
      </c>
      <c r="G13" s="63">
        <v>0.0</v>
      </c>
    </row>
    <row r="14">
      <c r="A14" s="9">
        <v>1216.0</v>
      </c>
      <c r="B14" s="9" t="s">
        <v>50</v>
      </c>
      <c r="C14" s="21" t="s">
        <v>1874</v>
      </c>
      <c r="D14" s="11" t="s">
        <v>1875</v>
      </c>
      <c r="E14" s="9">
        <v>0.0</v>
      </c>
      <c r="F14" s="62" t="s">
        <v>1851</v>
      </c>
      <c r="G14" s="63">
        <v>0.0</v>
      </c>
    </row>
    <row r="15">
      <c r="A15" s="9">
        <v>1216.0</v>
      </c>
      <c r="B15" s="9" t="s">
        <v>50</v>
      </c>
      <c r="C15" s="21" t="s">
        <v>1876</v>
      </c>
      <c r="D15" s="11" t="s">
        <v>1877</v>
      </c>
      <c r="E15" s="9">
        <v>0.0</v>
      </c>
      <c r="F15" s="62" t="s">
        <v>1851</v>
      </c>
      <c r="G15" s="63">
        <v>0.0</v>
      </c>
    </row>
    <row r="16">
      <c r="A16" s="9">
        <v>1216.0</v>
      </c>
      <c r="B16" s="9" t="s">
        <v>50</v>
      </c>
      <c r="C16" s="21" t="s">
        <v>1878</v>
      </c>
      <c r="D16" s="11" t="s">
        <v>1879</v>
      </c>
      <c r="E16" s="9">
        <v>0.0</v>
      </c>
      <c r="F16" s="62" t="s">
        <v>1851</v>
      </c>
      <c r="G16" s="63">
        <v>0.0</v>
      </c>
    </row>
    <row r="17">
      <c r="A17" s="9">
        <v>1216.0</v>
      </c>
      <c r="B17" s="9" t="s">
        <v>50</v>
      </c>
      <c r="C17" s="21" t="s">
        <v>1880</v>
      </c>
      <c r="D17" s="11" t="s">
        <v>1881</v>
      </c>
      <c r="E17" s="9">
        <v>0.0</v>
      </c>
      <c r="F17" s="62" t="s">
        <v>1851</v>
      </c>
      <c r="G17" s="63">
        <v>0.0</v>
      </c>
    </row>
    <row r="18">
      <c r="A18" s="9">
        <v>1216.0</v>
      </c>
      <c r="B18" s="9" t="s">
        <v>50</v>
      </c>
      <c r="C18" s="21" t="s">
        <v>1882</v>
      </c>
      <c r="D18" s="11" t="s">
        <v>1883</v>
      </c>
      <c r="E18" s="9">
        <v>0.0</v>
      </c>
      <c r="F18" s="62" t="s">
        <v>1851</v>
      </c>
      <c r="G18" s="63">
        <v>0.0</v>
      </c>
    </row>
    <row r="19">
      <c r="A19" s="9">
        <v>1216.0</v>
      </c>
      <c r="B19" s="9" t="s">
        <v>50</v>
      </c>
      <c r="C19" s="21" t="s">
        <v>1884</v>
      </c>
      <c r="D19" s="11" t="s">
        <v>1885</v>
      </c>
      <c r="E19" s="9">
        <v>0.0</v>
      </c>
      <c r="F19" s="62" t="s">
        <v>1851</v>
      </c>
      <c r="G19" s="63">
        <v>0.0</v>
      </c>
    </row>
    <row r="20">
      <c r="A20" s="9">
        <v>1216.0</v>
      </c>
      <c r="B20" s="9" t="s">
        <v>50</v>
      </c>
      <c r="C20" s="21" t="s">
        <v>1886</v>
      </c>
      <c r="D20" s="11" t="s">
        <v>1887</v>
      </c>
      <c r="E20" s="9">
        <v>0.0</v>
      </c>
      <c r="F20" s="62" t="s">
        <v>1851</v>
      </c>
      <c r="G20" s="63">
        <v>0.0</v>
      </c>
    </row>
    <row r="21">
      <c r="A21" s="9">
        <v>1216.0</v>
      </c>
      <c r="B21" s="9" t="s">
        <v>50</v>
      </c>
      <c r="C21" s="21" t="s">
        <v>1888</v>
      </c>
      <c r="D21" s="11" t="s">
        <v>1889</v>
      </c>
      <c r="E21" s="9">
        <v>0.0</v>
      </c>
      <c r="F21" s="62" t="s">
        <v>1851</v>
      </c>
      <c r="G21" s="6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  <col customWidth="1" min="5" max="5" width="11.5"/>
    <col customWidth="1" min="6" max="6" width="26.75"/>
    <col customWidth="1" min="8" max="8" width="28.25"/>
  </cols>
  <sheetData>
    <row r="1">
      <c r="A1" s="42" t="s">
        <v>0</v>
      </c>
      <c r="B1" s="42" t="s">
        <v>1</v>
      </c>
      <c r="C1" s="42" t="s">
        <v>1890</v>
      </c>
      <c r="D1" s="55" t="s">
        <v>1891</v>
      </c>
      <c r="E1" s="64" t="s">
        <v>7</v>
      </c>
      <c r="F1" s="65" t="s">
        <v>1892</v>
      </c>
      <c r="G1" s="65" t="s">
        <v>1893</v>
      </c>
      <c r="H1" s="55" t="s">
        <v>1894</v>
      </c>
      <c r="I1" s="56" t="s">
        <v>7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9">
        <v>1216.0</v>
      </c>
      <c r="B2" s="9" t="s">
        <v>50</v>
      </c>
      <c r="C2" s="9" t="s">
        <v>1895</v>
      </c>
      <c r="D2" s="11" t="s">
        <v>1896</v>
      </c>
      <c r="E2" s="47">
        <v>0.0</v>
      </c>
      <c r="F2" s="11" t="s">
        <v>1897</v>
      </c>
      <c r="G2" s="47">
        <v>0.0</v>
      </c>
      <c r="H2" s="11" t="s">
        <v>1898</v>
      </c>
      <c r="I2" s="47">
        <v>1.0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>
      <c r="A3" s="9">
        <v>1216.0</v>
      </c>
      <c r="B3" s="9" t="s">
        <v>50</v>
      </c>
      <c r="C3" s="9" t="s">
        <v>1899</v>
      </c>
      <c r="D3" s="11" t="s">
        <v>1900</v>
      </c>
      <c r="E3" s="47">
        <v>0.0</v>
      </c>
      <c r="F3" s="11" t="s">
        <v>1901</v>
      </c>
      <c r="G3" s="47">
        <v>0.0</v>
      </c>
      <c r="H3" s="11" t="s">
        <v>1902</v>
      </c>
      <c r="I3" s="47">
        <v>1.0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>
      <c r="E4" s="32"/>
      <c r="F4" s="32"/>
      <c r="G4" s="32"/>
    </row>
    <row r="5">
      <c r="E5" s="32"/>
      <c r="F5" s="32"/>
      <c r="G5" s="32"/>
    </row>
    <row r="6">
      <c r="E6" s="32"/>
      <c r="F6" s="32"/>
      <c r="G6" s="32"/>
    </row>
    <row r="7">
      <c r="E7" s="32"/>
      <c r="F7" s="32"/>
      <c r="G7" s="32"/>
    </row>
    <row r="8">
      <c r="E8" s="32"/>
      <c r="F8" s="32"/>
      <c r="G8" s="32"/>
    </row>
    <row r="9">
      <c r="E9" s="32"/>
      <c r="F9" s="32"/>
      <c r="G9" s="32"/>
    </row>
    <row r="10">
      <c r="E10" s="32"/>
      <c r="F10" s="32"/>
      <c r="G10" s="32"/>
    </row>
    <row r="11">
      <c r="E11" s="32"/>
      <c r="F11" s="32"/>
      <c r="G11" s="32"/>
    </row>
    <row r="12">
      <c r="E12" s="32"/>
      <c r="F12" s="32"/>
      <c r="G12" s="32"/>
    </row>
    <row r="13">
      <c r="E13" s="32"/>
      <c r="F13" s="32"/>
      <c r="G13" s="32"/>
    </row>
    <row r="14">
      <c r="E14" s="32"/>
      <c r="F14" s="32"/>
      <c r="G14" s="32"/>
    </row>
    <row r="15">
      <c r="E15" s="32"/>
      <c r="F15" s="32"/>
      <c r="G15" s="32"/>
    </row>
    <row r="16">
      <c r="E16" s="32"/>
      <c r="F16" s="32"/>
      <c r="G16" s="32"/>
    </row>
    <row r="17">
      <c r="E17" s="32"/>
      <c r="F17" s="32"/>
      <c r="G17" s="32"/>
    </row>
    <row r="18">
      <c r="E18" s="32"/>
      <c r="F18" s="32"/>
      <c r="G18" s="32"/>
    </row>
    <row r="19">
      <c r="E19" s="32"/>
      <c r="F19" s="32"/>
      <c r="G19" s="32"/>
    </row>
    <row r="20">
      <c r="E20" s="32"/>
      <c r="F20" s="32"/>
      <c r="G20" s="32"/>
    </row>
    <row r="21">
      <c r="E21" s="32"/>
      <c r="F21" s="32"/>
      <c r="G21" s="32"/>
    </row>
    <row r="22">
      <c r="E22" s="32"/>
      <c r="F22" s="32"/>
      <c r="G22" s="32"/>
    </row>
    <row r="23">
      <c r="E23" s="32"/>
      <c r="F23" s="32"/>
      <c r="G23" s="32"/>
    </row>
    <row r="24">
      <c r="E24" s="32"/>
      <c r="F24" s="32"/>
      <c r="G24" s="32"/>
    </row>
    <row r="25">
      <c r="E25" s="32"/>
      <c r="F25" s="32"/>
      <c r="G25" s="32"/>
    </row>
    <row r="26">
      <c r="E26" s="32"/>
      <c r="F26" s="32"/>
      <c r="G26" s="32"/>
    </row>
    <row r="27">
      <c r="E27" s="32"/>
      <c r="F27" s="32"/>
      <c r="G27" s="32"/>
    </row>
    <row r="28">
      <c r="E28" s="32"/>
      <c r="F28" s="32"/>
      <c r="G28" s="32"/>
    </row>
    <row r="29">
      <c r="E29" s="32"/>
      <c r="F29" s="32"/>
      <c r="G29" s="32"/>
    </row>
    <row r="30">
      <c r="E30" s="32"/>
      <c r="F30" s="32"/>
      <c r="G30" s="32"/>
    </row>
    <row r="31">
      <c r="E31" s="32"/>
      <c r="F31" s="32"/>
      <c r="G31" s="32"/>
    </row>
    <row r="32">
      <c r="E32" s="32"/>
      <c r="F32" s="32"/>
      <c r="G32" s="32"/>
    </row>
    <row r="33">
      <c r="E33" s="32"/>
      <c r="F33" s="32"/>
      <c r="G33" s="32"/>
    </row>
    <row r="34">
      <c r="E34" s="32"/>
      <c r="F34" s="32"/>
      <c r="G34" s="32"/>
    </row>
    <row r="35">
      <c r="E35" s="32"/>
      <c r="F35" s="32"/>
      <c r="G35" s="32"/>
    </row>
    <row r="36">
      <c r="E36" s="32"/>
      <c r="F36" s="32"/>
      <c r="G36" s="32"/>
    </row>
    <row r="37">
      <c r="E37" s="32"/>
      <c r="F37" s="32"/>
      <c r="G37" s="32"/>
    </row>
    <row r="38">
      <c r="E38" s="32"/>
      <c r="F38" s="32"/>
      <c r="G38" s="32"/>
    </row>
    <row r="39">
      <c r="E39" s="32"/>
      <c r="F39" s="32"/>
      <c r="G39" s="32"/>
    </row>
    <row r="40">
      <c r="E40" s="32"/>
      <c r="F40" s="32"/>
      <c r="G40" s="32"/>
    </row>
    <row r="41">
      <c r="E41" s="32"/>
      <c r="F41" s="32"/>
      <c r="G41" s="32"/>
    </row>
    <row r="42">
      <c r="E42" s="32"/>
      <c r="F42" s="32"/>
      <c r="G42" s="32"/>
    </row>
    <row r="43">
      <c r="E43" s="32"/>
      <c r="F43" s="32"/>
      <c r="G43" s="32"/>
    </row>
    <row r="44">
      <c r="E44" s="32"/>
      <c r="F44" s="32"/>
      <c r="G44" s="32"/>
    </row>
    <row r="45">
      <c r="E45" s="32"/>
      <c r="F45" s="32"/>
      <c r="G45" s="32"/>
    </row>
    <row r="46">
      <c r="E46" s="32"/>
      <c r="F46" s="32"/>
      <c r="G46" s="32"/>
    </row>
    <row r="47">
      <c r="E47" s="32"/>
      <c r="F47" s="32"/>
      <c r="G47" s="32"/>
    </row>
    <row r="48">
      <c r="E48" s="32"/>
      <c r="F48" s="32"/>
      <c r="G48" s="32"/>
    </row>
    <row r="49">
      <c r="E49" s="32"/>
      <c r="F49" s="32"/>
      <c r="G49" s="32"/>
    </row>
    <row r="50">
      <c r="E50" s="32"/>
      <c r="F50" s="32"/>
      <c r="G50" s="32"/>
    </row>
    <row r="51">
      <c r="E51" s="32"/>
      <c r="F51" s="32"/>
      <c r="G51" s="32"/>
    </row>
    <row r="52">
      <c r="E52" s="32"/>
      <c r="F52" s="32"/>
      <c r="G52" s="32"/>
    </row>
    <row r="53">
      <c r="E53" s="32"/>
      <c r="F53" s="32"/>
      <c r="G53" s="32"/>
    </row>
    <row r="54">
      <c r="E54" s="32"/>
      <c r="F54" s="32"/>
      <c r="G54" s="32"/>
    </row>
    <row r="55">
      <c r="E55" s="32"/>
      <c r="F55" s="32"/>
      <c r="G55" s="32"/>
    </row>
    <row r="56">
      <c r="E56" s="32"/>
      <c r="F56" s="32"/>
      <c r="G56" s="32"/>
    </row>
    <row r="57">
      <c r="E57" s="32"/>
      <c r="F57" s="32"/>
      <c r="G57" s="32"/>
    </row>
    <row r="58">
      <c r="E58" s="32"/>
      <c r="F58" s="32"/>
      <c r="G58" s="32"/>
    </row>
    <row r="59">
      <c r="E59" s="32"/>
      <c r="F59" s="32"/>
      <c r="G59" s="32"/>
    </row>
    <row r="60">
      <c r="E60" s="32"/>
      <c r="F60" s="32"/>
      <c r="G60" s="32"/>
    </row>
    <row r="61">
      <c r="E61" s="32"/>
      <c r="F61" s="32"/>
      <c r="G61" s="32"/>
    </row>
    <row r="62">
      <c r="E62" s="32"/>
      <c r="F62" s="32"/>
      <c r="G62" s="32"/>
    </row>
    <row r="63">
      <c r="E63" s="32"/>
      <c r="F63" s="32"/>
      <c r="G63" s="32"/>
    </row>
    <row r="64">
      <c r="E64" s="32"/>
      <c r="F64" s="32"/>
      <c r="G64" s="32"/>
    </row>
    <row r="65">
      <c r="E65" s="32"/>
      <c r="F65" s="32"/>
      <c r="G65" s="32"/>
    </row>
    <row r="66">
      <c r="E66" s="32"/>
      <c r="F66" s="32"/>
      <c r="G66" s="32"/>
    </row>
    <row r="67">
      <c r="E67" s="32"/>
      <c r="F67" s="32"/>
      <c r="G67" s="32"/>
    </row>
    <row r="68">
      <c r="E68" s="32"/>
      <c r="F68" s="32"/>
      <c r="G68" s="32"/>
    </row>
    <row r="69">
      <c r="E69" s="32"/>
      <c r="F69" s="32"/>
      <c r="G69" s="32"/>
    </row>
    <row r="70">
      <c r="E70" s="32"/>
      <c r="F70" s="32"/>
      <c r="G70" s="32"/>
    </row>
    <row r="71">
      <c r="E71" s="32"/>
      <c r="F71" s="32"/>
      <c r="G71" s="32"/>
    </row>
    <row r="72">
      <c r="E72" s="32"/>
      <c r="F72" s="32"/>
      <c r="G72" s="32"/>
    </row>
    <row r="73">
      <c r="E73" s="32"/>
      <c r="F73" s="32"/>
      <c r="G73" s="32"/>
    </row>
    <row r="74">
      <c r="E74" s="32"/>
      <c r="F74" s="32"/>
      <c r="G74" s="32"/>
    </row>
    <row r="75">
      <c r="E75" s="32"/>
      <c r="F75" s="32"/>
      <c r="G75" s="32"/>
    </row>
    <row r="76">
      <c r="E76" s="32"/>
      <c r="F76" s="32"/>
      <c r="G76" s="32"/>
    </row>
    <row r="77">
      <c r="E77" s="32"/>
      <c r="F77" s="32"/>
      <c r="G77" s="32"/>
    </row>
    <row r="78">
      <c r="E78" s="32"/>
      <c r="F78" s="32"/>
      <c r="G78" s="32"/>
    </row>
    <row r="79">
      <c r="E79" s="32"/>
      <c r="F79" s="32"/>
      <c r="G79" s="32"/>
    </row>
    <row r="80">
      <c r="E80" s="32"/>
      <c r="F80" s="32"/>
      <c r="G80" s="32"/>
    </row>
    <row r="81">
      <c r="E81" s="32"/>
      <c r="F81" s="32"/>
      <c r="G81" s="32"/>
    </row>
    <row r="82">
      <c r="E82" s="32"/>
      <c r="F82" s="32"/>
      <c r="G82" s="32"/>
    </row>
    <row r="83">
      <c r="E83" s="32"/>
      <c r="F83" s="32"/>
      <c r="G83" s="32"/>
    </row>
    <row r="84">
      <c r="E84" s="32"/>
      <c r="F84" s="32"/>
      <c r="G84" s="32"/>
    </row>
    <row r="85">
      <c r="E85" s="32"/>
      <c r="F85" s="32"/>
      <c r="G85" s="32"/>
    </row>
    <row r="86">
      <c r="E86" s="32"/>
      <c r="F86" s="32"/>
      <c r="G86" s="32"/>
    </row>
    <row r="87">
      <c r="E87" s="32"/>
      <c r="F87" s="32"/>
      <c r="G87" s="32"/>
    </row>
    <row r="88">
      <c r="E88" s="32"/>
      <c r="F88" s="32"/>
      <c r="G88" s="32"/>
    </row>
    <row r="89">
      <c r="E89" s="32"/>
      <c r="F89" s="32"/>
      <c r="G89" s="32"/>
    </row>
    <row r="90">
      <c r="E90" s="32"/>
      <c r="F90" s="32"/>
      <c r="G90" s="32"/>
    </row>
    <row r="91">
      <c r="E91" s="32"/>
      <c r="F91" s="32"/>
      <c r="G91" s="32"/>
    </row>
    <row r="92">
      <c r="E92" s="32"/>
      <c r="F92" s="32"/>
      <c r="G92" s="32"/>
    </row>
    <row r="93">
      <c r="E93" s="32"/>
      <c r="F93" s="32"/>
      <c r="G93" s="32"/>
    </row>
    <row r="94">
      <c r="E94" s="32"/>
      <c r="F94" s="32"/>
      <c r="G94" s="32"/>
    </row>
    <row r="95">
      <c r="E95" s="32"/>
      <c r="F95" s="32"/>
      <c r="G95" s="32"/>
    </row>
    <row r="96">
      <c r="E96" s="32"/>
      <c r="F96" s="32"/>
      <c r="G96" s="32"/>
    </row>
    <row r="97">
      <c r="E97" s="32"/>
      <c r="F97" s="32"/>
      <c r="G97" s="32"/>
    </row>
    <row r="98">
      <c r="E98" s="32"/>
      <c r="F98" s="32"/>
      <c r="G98" s="32"/>
    </row>
    <row r="99">
      <c r="E99" s="32"/>
      <c r="F99" s="32"/>
      <c r="G99" s="32"/>
    </row>
    <row r="100">
      <c r="E100" s="32"/>
      <c r="F100" s="32"/>
      <c r="G100" s="32"/>
    </row>
    <row r="101">
      <c r="E101" s="32"/>
      <c r="F101" s="32"/>
      <c r="G101" s="32"/>
    </row>
    <row r="102">
      <c r="E102" s="32"/>
      <c r="F102" s="32"/>
      <c r="G102" s="32"/>
    </row>
    <row r="103">
      <c r="E103" s="32"/>
      <c r="F103" s="32"/>
      <c r="G103" s="32"/>
    </row>
    <row r="104">
      <c r="E104" s="32"/>
      <c r="F104" s="32"/>
      <c r="G104" s="32"/>
    </row>
    <row r="105">
      <c r="E105" s="32"/>
      <c r="F105" s="32"/>
      <c r="G105" s="32"/>
    </row>
    <row r="106">
      <c r="E106" s="32"/>
      <c r="F106" s="32"/>
      <c r="G106" s="32"/>
    </row>
    <row r="107">
      <c r="E107" s="32"/>
      <c r="F107" s="32"/>
      <c r="G107" s="32"/>
    </row>
    <row r="108">
      <c r="E108" s="32"/>
      <c r="F108" s="32"/>
      <c r="G108" s="32"/>
    </row>
    <row r="109">
      <c r="E109" s="32"/>
      <c r="F109" s="32"/>
      <c r="G109" s="32"/>
    </row>
    <row r="110">
      <c r="E110" s="32"/>
      <c r="F110" s="32"/>
      <c r="G110" s="32"/>
    </row>
    <row r="111">
      <c r="E111" s="32"/>
      <c r="F111" s="32"/>
      <c r="G111" s="32"/>
    </row>
    <row r="112">
      <c r="E112" s="32"/>
      <c r="F112" s="32"/>
      <c r="G112" s="32"/>
    </row>
    <row r="113">
      <c r="E113" s="32"/>
      <c r="F113" s="32"/>
      <c r="G113" s="32"/>
    </row>
    <row r="114">
      <c r="E114" s="32"/>
      <c r="F114" s="32"/>
      <c r="G114" s="32"/>
    </row>
    <row r="115">
      <c r="E115" s="32"/>
      <c r="F115" s="32"/>
      <c r="G115" s="32"/>
    </row>
    <row r="116">
      <c r="E116" s="32"/>
      <c r="F116" s="32"/>
      <c r="G116" s="32"/>
    </row>
    <row r="117">
      <c r="E117" s="32"/>
      <c r="F117" s="32"/>
      <c r="G117" s="32"/>
    </row>
    <row r="118">
      <c r="E118" s="32"/>
      <c r="F118" s="32"/>
      <c r="G118" s="32"/>
    </row>
    <row r="119">
      <c r="E119" s="32"/>
      <c r="F119" s="32"/>
      <c r="G119" s="32"/>
    </row>
    <row r="120">
      <c r="E120" s="32"/>
      <c r="F120" s="32"/>
      <c r="G120" s="32"/>
    </row>
    <row r="121">
      <c r="E121" s="32"/>
      <c r="F121" s="32"/>
      <c r="G121" s="32"/>
    </row>
    <row r="122">
      <c r="E122" s="32"/>
      <c r="F122" s="32"/>
      <c r="G122" s="32"/>
    </row>
    <row r="123">
      <c r="E123" s="32"/>
      <c r="F123" s="32"/>
      <c r="G123" s="32"/>
    </row>
    <row r="124">
      <c r="E124" s="32"/>
      <c r="F124" s="32"/>
      <c r="G124" s="32"/>
    </row>
    <row r="125">
      <c r="E125" s="32"/>
      <c r="F125" s="32"/>
      <c r="G125" s="32"/>
    </row>
    <row r="126">
      <c r="E126" s="32"/>
      <c r="F126" s="32"/>
      <c r="G126" s="32"/>
    </row>
    <row r="127">
      <c r="E127" s="32"/>
      <c r="F127" s="32"/>
      <c r="G127" s="32"/>
    </row>
    <row r="128">
      <c r="E128" s="32"/>
      <c r="F128" s="32"/>
      <c r="G128" s="32"/>
    </row>
    <row r="129">
      <c r="E129" s="32"/>
      <c r="F129" s="32"/>
      <c r="G129" s="32"/>
    </row>
    <row r="130">
      <c r="E130" s="32"/>
      <c r="F130" s="32"/>
      <c r="G130" s="32"/>
    </row>
    <row r="131">
      <c r="E131" s="32"/>
      <c r="F131" s="32"/>
      <c r="G131" s="32"/>
    </row>
    <row r="132">
      <c r="E132" s="32"/>
      <c r="F132" s="32"/>
      <c r="G132" s="32"/>
    </row>
    <row r="133">
      <c r="E133" s="32"/>
      <c r="F133" s="32"/>
      <c r="G133" s="32"/>
    </row>
    <row r="134">
      <c r="E134" s="32"/>
      <c r="F134" s="32"/>
      <c r="G134" s="32"/>
    </row>
    <row r="135">
      <c r="E135" s="32"/>
      <c r="F135" s="32"/>
      <c r="G135" s="32"/>
    </row>
    <row r="136">
      <c r="E136" s="32"/>
      <c r="F136" s="32"/>
      <c r="G136" s="32"/>
    </row>
    <row r="137">
      <c r="E137" s="32"/>
      <c r="F137" s="32"/>
      <c r="G137" s="32"/>
    </row>
    <row r="138">
      <c r="E138" s="32"/>
      <c r="F138" s="32"/>
      <c r="G138" s="32"/>
    </row>
    <row r="139">
      <c r="E139" s="32"/>
      <c r="F139" s="32"/>
      <c r="G139" s="32"/>
    </row>
    <row r="140">
      <c r="E140" s="32"/>
      <c r="F140" s="32"/>
      <c r="G140" s="32"/>
    </row>
    <row r="141">
      <c r="E141" s="32"/>
      <c r="F141" s="32"/>
      <c r="G141" s="32"/>
    </row>
    <row r="142">
      <c r="E142" s="32"/>
      <c r="F142" s="32"/>
      <c r="G142" s="32"/>
    </row>
    <row r="143">
      <c r="E143" s="32"/>
      <c r="F143" s="32"/>
      <c r="G143" s="32"/>
    </row>
    <row r="144">
      <c r="E144" s="32"/>
      <c r="F144" s="32"/>
      <c r="G144" s="32"/>
    </row>
    <row r="145">
      <c r="E145" s="32"/>
      <c r="F145" s="32"/>
      <c r="G145" s="32"/>
    </row>
    <row r="146">
      <c r="E146" s="32"/>
      <c r="F146" s="32"/>
      <c r="G146" s="32"/>
    </row>
    <row r="147">
      <c r="E147" s="32"/>
      <c r="F147" s="32"/>
      <c r="G147" s="32"/>
    </row>
    <row r="148">
      <c r="E148" s="32"/>
      <c r="F148" s="32"/>
      <c r="G148" s="32"/>
    </row>
    <row r="149">
      <c r="E149" s="32"/>
      <c r="F149" s="32"/>
      <c r="G149" s="32"/>
    </row>
    <row r="150">
      <c r="E150" s="32"/>
      <c r="F150" s="32"/>
      <c r="G150" s="32"/>
    </row>
    <row r="151">
      <c r="E151" s="32"/>
      <c r="F151" s="32"/>
      <c r="G151" s="32"/>
    </row>
    <row r="152">
      <c r="E152" s="32"/>
      <c r="F152" s="32"/>
      <c r="G152" s="32"/>
    </row>
    <row r="153">
      <c r="E153" s="32"/>
      <c r="F153" s="32"/>
      <c r="G153" s="32"/>
    </row>
    <row r="154">
      <c r="E154" s="32"/>
      <c r="F154" s="32"/>
      <c r="G154" s="32"/>
    </row>
    <row r="155">
      <c r="E155" s="32"/>
      <c r="F155" s="32"/>
      <c r="G155" s="32"/>
    </row>
    <row r="156">
      <c r="E156" s="32"/>
      <c r="F156" s="32"/>
      <c r="G156" s="32"/>
    </row>
    <row r="157">
      <c r="E157" s="32"/>
      <c r="F157" s="32"/>
      <c r="G157" s="32"/>
    </row>
    <row r="158">
      <c r="E158" s="32"/>
      <c r="F158" s="32"/>
      <c r="G158" s="32"/>
    </row>
    <row r="159">
      <c r="E159" s="32"/>
      <c r="F159" s="32"/>
      <c r="G159" s="32"/>
    </row>
    <row r="160">
      <c r="E160" s="32"/>
      <c r="F160" s="32"/>
      <c r="G160" s="32"/>
    </row>
    <row r="161">
      <c r="E161" s="32"/>
      <c r="F161" s="32"/>
      <c r="G161" s="32"/>
    </row>
    <row r="162">
      <c r="E162" s="32"/>
      <c r="F162" s="32"/>
      <c r="G162" s="32"/>
    </row>
    <row r="163">
      <c r="E163" s="32"/>
      <c r="F163" s="32"/>
      <c r="G163" s="32"/>
    </row>
    <row r="164">
      <c r="E164" s="32"/>
      <c r="F164" s="32"/>
      <c r="G164" s="32"/>
    </row>
    <row r="165">
      <c r="E165" s="32"/>
      <c r="F165" s="32"/>
      <c r="G165" s="32"/>
    </row>
    <row r="166">
      <c r="E166" s="32"/>
      <c r="F166" s="32"/>
      <c r="G166" s="32"/>
    </row>
    <row r="167">
      <c r="E167" s="32"/>
      <c r="F167" s="32"/>
      <c r="G167" s="32"/>
    </row>
    <row r="168">
      <c r="E168" s="32"/>
      <c r="F168" s="32"/>
      <c r="G168" s="32"/>
    </row>
    <row r="169">
      <c r="E169" s="32"/>
      <c r="F169" s="32"/>
      <c r="G169" s="32"/>
    </row>
    <row r="170">
      <c r="E170" s="32"/>
      <c r="F170" s="32"/>
      <c r="G170" s="32"/>
    </row>
    <row r="171">
      <c r="E171" s="32"/>
      <c r="F171" s="32"/>
      <c r="G171" s="32"/>
    </row>
    <row r="172">
      <c r="E172" s="32"/>
      <c r="F172" s="32"/>
      <c r="G172" s="32"/>
    </row>
    <row r="173">
      <c r="E173" s="32"/>
      <c r="F173" s="32"/>
      <c r="G173" s="32"/>
    </row>
    <row r="174">
      <c r="E174" s="32"/>
      <c r="F174" s="32"/>
      <c r="G174" s="32"/>
    </row>
    <row r="175">
      <c r="E175" s="32"/>
      <c r="F175" s="32"/>
      <c r="G175" s="32"/>
    </row>
    <row r="176">
      <c r="E176" s="32"/>
      <c r="F176" s="32"/>
      <c r="G176" s="32"/>
    </row>
    <row r="177">
      <c r="E177" s="32"/>
      <c r="F177" s="32"/>
      <c r="G177" s="32"/>
    </row>
    <row r="178">
      <c r="E178" s="32"/>
      <c r="F178" s="32"/>
      <c r="G178" s="32"/>
    </row>
    <row r="179">
      <c r="E179" s="32"/>
      <c r="F179" s="32"/>
      <c r="G179" s="32"/>
    </row>
    <row r="180">
      <c r="E180" s="32"/>
      <c r="F180" s="32"/>
      <c r="G180" s="32"/>
    </row>
    <row r="181">
      <c r="E181" s="32"/>
      <c r="F181" s="32"/>
      <c r="G181" s="32"/>
    </row>
    <row r="182">
      <c r="E182" s="32"/>
      <c r="F182" s="32"/>
      <c r="G182" s="32"/>
    </row>
    <row r="183">
      <c r="E183" s="32"/>
      <c r="F183" s="32"/>
      <c r="G183" s="32"/>
    </row>
    <row r="184">
      <c r="E184" s="32"/>
      <c r="F184" s="32"/>
      <c r="G184" s="32"/>
    </row>
    <row r="185">
      <c r="E185" s="32"/>
      <c r="F185" s="32"/>
      <c r="G185" s="32"/>
    </row>
    <row r="186">
      <c r="E186" s="32"/>
      <c r="F186" s="32"/>
      <c r="G186" s="32"/>
    </row>
    <row r="187">
      <c r="E187" s="32"/>
      <c r="F187" s="32"/>
      <c r="G187" s="32"/>
    </row>
    <row r="188">
      <c r="E188" s="32"/>
      <c r="F188" s="32"/>
      <c r="G188" s="32"/>
    </row>
    <row r="189">
      <c r="E189" s="32"/>
      <c r="F189" s="32"/>
      <c r="G189" s="32"/>
    </row>
    <row r="190">
      <c r="E190" s="32"/>
      <c r="F190" s="32"/>
      <c r="G190" s="32"/>
    </row>
    <row r="191">
      <c r="E191" s="32"/>
      <c r="F191" s="32"/>
      <c r="G191" s="32"/>
    </row>
    <row r="192">
      <c r="E192" s="32"/>
      <c r="F192" s="32"/>
      <c r="G192" s="32"/>
    </row>
    <row r="193">
      <c r="E193" s="32"/>
      <c r="F193" s="32"/>
      <c r="G193" s="32"/>
    </row>
    <row r="194">
      <c r="E194" s="32"/>
      <c r="F194" s="32"/>
      <c r="G194" s="32"/>
    </row>
    <row r="195">
      <c r="E195" s="32"/>
      <c r="F195" s="32"/>
      <c r="G195" s="32"/>
    </row>
    <row r="196">
      <c r="E196" s="32"/>
      <c r="F196" s="32"/>
      <c r="G196" s="32"/>
    </row>
    <row r="197">
      <c r="E197" s="32"/>
      <c r="F197" s="32"/>
      <c r="G197" s="32"/>
    </row>
    <row r="198">
      <c r="E198" s="32"/>
      <c r="F198" s="32"/>
      <c r="G198" s="32"/>
    </row>
    <row r="199">
      <c r="E199" s="32"/>
      <c r="F199" s="32"/>
      <c r="G199" s="32"/>
    </row>
    <row r="200">
      <c r="E200" s="32"/>
      <c r="F200" s="32"/>
      <c r="G200" s="32"/>
    </row>
    <row r="201">
      <c r="E201" s="32"/>
      <c r="F201" s="32"/>
      <c r="G201" s="32"/>
    </row>
    <row r="202">
      <c r="E202" s="32"/>
      <c r="F202" s="32"/>
      <c r="G202" s="32"/>
    </row>
    <row r="203">
      <c r="E203" s="32"/>
      <c r="F203" s="32"/>
      <c r="G203" s="32"/>
    </row>
    <row r="204">
      <c r="E204" s="32"/>
      <c r="F204" s="32"/>
      <c r="G204" s="32"/>
    </row>
    <row r="205">
      <c r="E205" s="32"/>
      <c r="F205" s="32"/>
      <c r="G205" s="32"/>
    </row>
    <row r="206">
      <c r="E206" s="32"/>
      <c r="F206" s="32"/>
      <c r="G206" s="32"/>
    </row>
    <row r="207">
      <c r="E207" s="32"/>
      <c r="F207" s="32"/>
      <c r="G207" s="32"/>
    </row>
    <row r="208">
      <c r="E208" s="32"/>
      <c r="F208" s="32"/>
      <c r="G208" s="32"/>
    </row>
    <row r="209">
      <c r="E209" s="32"/>
      <c r="F209" s="32"/>
      <c r="G209" s="32"/>
    </row>
    <row r="210">
      <c r="E210" s="32"/>
      <c r="F210" s="32"/>
      <c r="G210" s="32"/>
    </row>
    <row r="211">
      <c r="E211" s="32"/>
      <c r="F211" s="32"/>
      <c r="G211" s="32"/>
    </row>
    <row r="212">
      <c r="E212" s="32"/>
      <c r="F212" s="32"/>
      <c r="G212" s="32"/>
    </row>
    <row r="213">
      <c r="E213" s="32"/>
      <c r="F213" s="32"/>
      <c r="G213" s="32"/>
    </row>
    <row r="214">
      <c r="E214" s="32"/>
      <c r="F214" s="32"/>
      <c r="G214" s="32"/>
    </row>
    <row r="215">
      <c r="E215" s="32"/>
      <c r="F215" s="32"/>
      <c r="G215" s="32"/>
    </row>
    <row r="216">
      <c r="E216" s="32"/>
      <c r="F216" s="32"/>
      <c r="G216" s="32"/>
    </row>
    <row r="217">
      <c r="E217" s="32"/>
      <c r="F217" s="32"/>
      <c r="G217" s="32"/>
    </row>
    <row r="218">
      <c r="E218" s="32"/>
      <c r="F218" s="32"/>
      <c r="G218" s="32"/>
    </row>
    <row r="219">
      <c r="E219" s="32"/>
      <c r="F219" s="32"/>
      <c r="G219" s="32"/>
    </row>
    <row r="220">
      <c r="E220" s="32"/>
      <c r="F220" s="32"/>
      <c r="G220" s="32"/>
    </row>
    <row r="221">
      <c r="E221" s="32"/>
      <c r="F221" s="32"/>
      <c r="G221" s="32"/>
    </row>
    <row r="222">
      <c r="E222" s="32"/>
      <c r="F222" s="32"/>
      <c r="G222" s="32"/>
    </row>
    <row r="223">
      <c r="E223" s="32"/>
      <c r="F223" s="32"/>
      <c r="G223" s="32"/>
    </row>
    <row r="224">
      <c r="E224" s="32"/>
      <c r="F224" s="32"/>
      <c r="G224" s="32"/>
    </row>
    <row r="225">
      <c r="E225" s="32"/>
      <c r="F225" s="32"/>
      <c r="G225" s="32"/>
    </row>
    <row r="226">
      <c r="E226" s="32"/>
      <c r="F226" s="32"/>
      <c r="G226" s="32"/>
    </row>
    <row r="227">
      <c r="E227" s="32"/>
      <c r="F227" s="32"/>
      <c r="G227" s="32"/>
    </row>
    <row r="228">
      <c r="E228" s="32"/>
      <c r="F228" s="32"/>
      <c r="G228" s="32"/>
    </row>
    <row r="229">
      <c r="E229" s="32"/>
      <c r="F229" s="32"/>
      <c r="G229" s="32"/>
    </row>
    <row r="230">
      <c r="E230" s="32"/>
      <c r="F230" s="32"/>
      <c r="G230" s="32"/>
    </row>
    <row r="231">
      <c r="E231" s="32"/>
      <c r="F231" s="32"/>
      <c r="G231" s="32"/>
    </row>
    <row r="232">
      <c r="E232" s="32"/>
      <c r="F232" s="32"/>
      <c r="G232" s="32"/>
    </row>
    <row r="233">
      <c r="E233" s="32"/>
      <c r="F233" s="32"/>
      <c r="G233" s="32"/>
    </row>
    <row r="234">
      <c r="E234" s="32"/>
      <c r="F234" s="32"/>
      <c r="G234" s="32"/>
    </row>
    <row r="235">
      <c r="E235" s="32"/>
      <c r="F235" s="32"/>
      <c r="G235" s="32"/>
    </row>
    <row r="236">
      <c r="E236" s="32"/>
      <c r="F236" s="32"/>
      <c r="G236" s="32"/>
    </row>
    <row r="237">
      <c r="E237" s="32"/>
      <c r="F237" s="32"/>
      <c r="G237" s="32"/>
    </row>
    <row r="238">
      <c r="E238" s="32"/>
      <c r="F238" s="32"/>
      <c r="G238" s="32"/>
    </row>
    <row r="239">
      <c r="E239" s="32"/>
      <c r="F239" s="32"/>
      <c r="G239" s="32"/>
    </row>
    <row r="240">
      <c r="E240" s="32"/>
      <c r="F240" s="32"/>
      <c r="G240" s="32"/>
    </row>
    <row r="241">
      <c r="E241" s="32"/>
      <c r="F241" s="32"/>
      <c r="G241" s="32"/>
    </row>
    <row r="242">
      <c r="E242" s="32"/>
      <c r="F242" s="32"/>
      <c r="G242" s="32"/>
    </row>
    <row r="243">
      <c r="E243" s="32"/>
      <c r="F243" s="32"/>
      <c r="G243" s="32"/>
    </row>
    <row r="244">
      <c r="E244" s="32"/>
      <c r="F244" s="32"/>
      <c r="G244" s="32"/>
    </row>
    <row r="245">
      <c r="E245" s="32"/>
      <c r="F245" s="32"/>
      <c r="G245" s="32"/>
    </row>
    <row r="246">
      <c r="E246" s="32"/>
      <c r="F246" s="32"/>
      <c r="G246" s="32"/>
    </row>
    <row r="247">
      <c r="E247" s="32"/>
      <c r="F247" s="32"/>
      <c r="G247" s="32"/>
    </row>
    <row r="248">
      <c r="E248" s="32"/>
      <c r="F248" s="32"/>
      <c r="G248" s="32"/>
    </row>
    <row r="249">
      <c r="E249" s="32"/>
      <c r="F249" s="32"/>
      <c r="G249" s="32"/>
    </row>
    <row r="250">
      <c r="E250" s="32"/>
      <c r="F250" s="32"/>
      <c r="G250" s="32"/>
    </row>
    <row r="251">
      <c r="E251" s="32"/>
      <c r="F251" s="32"/>
      <c r="G251" s="32"/>
    </row>
    <row r="252">
      <c r="E252" s="32"/>
      <c r="F252" s="32"/>
      <c r="G252" s="32"/>
    </row>
    <row r="253">
      <c r="E253" s="32"/>
      <c r="F253" s="32"/>
      <c r="G253" s="32"/>
    </row>
    <row r="254">
      <c r="E254" s="32"/>
      <c r="F254" s="32"/>
      <c r="G254" s="32"/>
    </row>
    <row r="255">
      <c r="E255" s="32"/>
      <c r="F255" s="32"/>
      <c r="G255" s="32"/>
    </row>
    <row r="256">
      <c r="E256" s="32"/>
      <c r="F256" s="32"/>
      <c r="G256" s="32"/>
    </row>
    <row r="257">
      <c r="E257" s="32"/>
      <c r="F257" s="32"/>
      <c r="G257" s="32"/>
    </row>
    <row r="258">
      <c r="E258" s="32"/>
      <c r="F258" s="32"/>
      <c r="G258" s="32"/>
    </row>
    <row r="259">
      <c r="E259" s="32"/>
      <c r="F259" s="32"/>
      <c r="G259" s="32"/>
    </row>
    <row r="260">
      <c r="E260" s="32"/>
      <c r="F260" s="32"/>
      <c r="G260" s="32"/>
    </row>
    <row r="261">
      <c r="E261" s="32"/>
      <c r="F261" s="32"/>
      <c r="G261" s="32"/>
    </row>
    <row r="262">
      <c r="E262" s="32"/>
      <c r="F262" s="32"/>
      <c r="G262" s="32"/>
    </row>
    <row r="263">
      <c r="E263" s="32"/>
      <c r="F263" s="32"/>
      <c r="G263" s="32"/>
    </row>
    <row r="264">
      <c r="E264" s="32"/>
      <c r="F264" s="32"/>
      <c r="G264" s="32"/>
    </row>
    <row r="265">
      <c r="E265" s="32"/>
      <c r="F265" s="32"/>
      <c r="G265" s="32"/>
    </row>
    <row r="266">
      <c r="E266" s="32"/>
      <c r="F266" s="32"/>
      <c r="G266" s="32"/>
    </row>
    <row r="267">
      <c r="E267" s="32"/>
      <c r="F267" s="32"/>
      <c r="G267" s="32"/>
    </row>
    <row r="268">
      <c r="E268" s="32"/>
      <c r="F268" s="32"/>
      <c r="G268" s="32"/>
    </row>
    <row r="269">
      <c r="E269" s="32"/>
      <c r="F269" s="32"/>
      <c r="G269" s="32"/>
    </row>
    <row r="270">
      <c r="E270" s="32"/>
      <c r="F270" s="32"/>
      <c r="G270" s="32"/>
    </row>
    <row r="271">
      <c r="E271" s="32"/>
      <c r="F271" s="32"/>
      <c r="G271" s="32"/>
    </row>
    <row r="272">
      <c r="E272" s="32"/>
      <c r="F272" s="32"/>
      <c r="G272" s="32"/>
    </row>
    <row r="273">
      <c r="E273" s="32"/>
      <c r="F273" s="32"/>
      <c r="G273" s="32"/>
    </row>
    <row r="274">
      <c r="E274" s="32"/>
      <c r="F274" s="32"/>
      <c r="G274" s="32"/>
    </row>
    <row r="275">
      <c r="E275" s="32"/>
      <c r="F275" s="32"/>
      <c r="G275" s="32"/>
    </row>
    <row r="276">
      <c r="E276" s="32"/>
      <c r="F276" s="32"/>
      <c r="G276" s="32"/>
    </row>
    <row r="277">
      <c r="E277" s="32"/>
      <c r="F277" s="32"/>
      <c r="G277" s="32"/>
    </row>
    <row r="278">
      <c r="E278" s="32"/>
      <c r="F278" s="32"/>
      <c r="G278" s="32"/>
    </row>
    <row r="279">
      <c r="E279" s="32"/>
      <c r="F279" s="32"/>
      <c r="G279" s="32"/>
    </row>
    <row r="280">
      <c r="E280" s="32"/>
      <c r="F280" s="32"/>
      <c r="G280" s="32"/>
    </row>
    <row r="281">
      <c r="E281" s="32"/>
      <c r="F281" s="32"/>
      <c r="G281" s="32"/>
    </row>
    <row r="282">
      <c r="E282" s="32"/>
      <c r="F282" s="32"/>
      <c r="G282" s="32"/>
    </row>
    <row r="283">
      <c r="E283" s="32"/>
      <c r="F283" s="32"/>
      <c r="G283" s="32"/>
    </row>
    <row r="284">
      <c r="E284" s="32"/>
      <c r="F284" s="32"/>
      <c r="G284" s="32"/>
    </row>
    <row r="285">
      <c r="E285" s="32"/>
      <c r="F285" s="32"/>
      <c r="G285" s="32"/>
    </row>
    <row r="286">
      <c r="E286" s="32"/>
      <c r="F286" s="32"/>
      <c r="G286" s="32"/>
    </row>
    <row r="287">
      <c r="E287" s="32"/>
      <c r="F287" s="32"/>
      <c r="G287" s="32"/>
    </row>
    <row r="288">
      <c r="E288" s="32"/>
      <c r="F288" s="32"/>
      <c r="G288" s="32"/>
    </row>
    <row r="289">
      <c r="E289" s="32"/>
      <c r="F289" s="32"/>
      <c r="G289" s="32"/>
    </row>
    <row r="290">
      <c r="E290" s="32"/>
      <c r="F290" s="32"/>
      <c r="G290" s="32"/>
    </row>
    <row r="291">
      <c r="E291" s="32"/>
      <c r="F291" s="32"/>
      <c r="G291" s="32"/>
    </row>
    <row r="292">
      <c r="E292" s="32"/>
      <c r="F292" s="32"/>
      <c r="G292" s="32"/>
    </row>
    <row r="293">
      <c r="E293" s="32"/>
      <c r="F293" s="32"/>
      <c r="G293" s="32"/>
    </row>
    <row r="294">
      <c r="E294" s="32"/>
      <c r="F294" s="32"/>
      <c r="G294" s="32"/>
    </row>
    <row r="295">
      <c r="E295" s="32"/>
      <c r="F295" s="32"/>
      <c r="G295" s="32"/>
    </row>
    <row r="296">
      <c r="E296" s="32"/>
      <c r="F296" s="32"/>
      <c r="G296" s="32"/>
    </row>
    <row r="297">
      <c r="E297" s="32"/>
      <c r="F297" s="32"/>
      <c r="G297" s="32"/>
    </row>
    <row r="298">
      <c r="E298" s="32"/>
      <c r="F298" s="32"/>
      <c r="G298" s="32"/>
    </row>
    <row r="299">
      <c r="E299" s="32"/>
      <c r="F299" s="32"/>
      <c r="G299" s="32"/>
    </row>
    <row r="300">
      <c r="E300" s="32"/>
      <c r="F300" s="32"/>
      <c r="G300" s="32"/>
    </row>
    <row r="301">
      <c r="E301" s="32"/>
      <c r="F301" s="32"/>
      <c r="G301" s="32"/>
    </row>
    <row r="302">
      <c r="E302" s="32"/>
      <c r="F302" s="32"/>
      <c r="G302" s="32"/>
    </row>
    <row r="303">
      <c r="E303" s="32"/>
      <c r="F303" s="32"/>
      <c r="G303" s="32"/>
    </row>
    <row r="304">
      <c r="E304" s="32"/>
      <c r="F304" s="32"/>
      <c r="G304" s="32"/>
    </row>
    <row r="305">
      <c r="E305" s="32"/>
      <c r="F305" s="32"/>
      <c r="G305" s="32"/>
    </row>
    <row r="306">
      <c r="E306" s="32"/>
      <c r="F306" s="32"/>
      <c r="G306" s="32"/>
    </row>
    <row r="307">
      <c r="E307" s="32"/>
      <c r="F307" s="32"/>
      <c r="G307" s="32"/>
    </row>
    <row r="308">
      <c r="E308" s="32"/>
      <c r="F308" s="32"/>
      <c r="G308" s="32"/>
    </row>
    <row r="309">
      <c r="E309" s="32"/>
      <c r="F309" s="32"/>
      <c r="G309" s="32"/>
    </row>
    <row r="310">
      <c r="E310" s="32"/>
      <c r="F310" s="32"/>
      <c r="G310" s="32"/>
    </row>
    <row r="311">
      <c r="E311" s="32"/>
      <c r="F311" s="32"/>
      <c r="G311" s="32"/>
    </row>
    <row r="312">
      <c r="E312" s="32"/>
      <c r="F312" s="32"/>
      <c r="G312" s="32"/>
    </row>
    <row r="313">
      <c r="E313" s="32"/>
      <c r="F313" s="32"/>
      <c r="G313" s="32"/>
    </row>
    <row r="314">
      <c r="E314" s="32"/>
      <c r="F314" s="32"/>
      <c r="G314" s="32"/>
    </row>
    <row r="315">
      <c r="E315" s="32"/>
      <c r="F315" s="32"/>
      <c r="G315" s="32"/>
    </row>
    <row r="316">
      <c r="E316" s="32"/>
      <c r="F316" s="32"/>
      <c r="G316" s="32"/>
    </row>
    <row r="317">
      <c r="E317" s="32"/>
      <c r="F317" s="32"/>
      <c r="G317" s="32"/>
    </row>
    <row r="318">
      <c r="E318" s="32"/>
      <c r="F318" s="32"/>
      <c r="G318" s="32"/>
    </row>
    <row r="319">
      <c r="E319" s="32"/>
      <c r="F319" s="32"/>
      <c r="G319" s="32"/>
    </row>
    <row r="320">
      <c r="E320" s="32"/>
      <c r="F320" s="32"/>
      <c r="G320" s="32"/>
    </row>
    <row r="321">
      <c r="E321" s="32"/>
      <c r="F321" s="32"/>
      <c r="G321" s="32"/>
    </row>
    <row r="322">
      <c r="E322" s="32"/>
      <c r="F322" s="32"/>
      <c r="G322" s="32"/>
    </row>
    <row r="323">
      <c r="E323" s="32"/>
      <c r="F323" s="32"/>
      <c r="G323" s="32"/>
    </row>
    <row r="324">
      <c r="E324" s="32"/>
      <c r="F324" s="32"/>
      <c r="G324" s="32"/>
    </row>
    <row r="325">
      <c r="E325" s="32"/>
      <c r="F325" s="32"/>
      <c r="G325" s="32"/>
    </row>
    <row r="326">
      <c r="E326" s="32"/>
      <c r="F326" s="32"/>
      <c r="G326" s="32"/>
    </row>
    <row r="327">
      <c r="E327" s="32"/>
      <c r="F327" s="32"/>
      <c r="G327" s="32"/>
    </row>
    <row r="328">
      <c r="E328" s="32"/>
      <c r="F328" s="32"/>
      <c r="G328" s="32"/>
    </row>
    <row r="329">
      <c r="E329" s="32"/>
      <c r="F329" s="32"/>
      <c r="G329" s="32"/>
    </row>
    <row r="330">
      <c r="E330" s="32"/>
      <c r="F330" s="32"/>
      <c r="G330" s="32"/>
    </row>
    <row r="331">
      <c r="E331" s="32"/>
      <c r="F331" s="32"/>
      <c r="G331" s="32"/>
    </row>
    <row r="332">
      <c r="E332" s="32"/>
      <c r="F332" s="32"/>
      <c r="G332" s="32"/>
    </row>
    <row r="333">
      <c r="E333" s="32"/>
      <c r="F333" s="32"/>
      <c r="G333" s="32"/>
    </row>
    <row r="334">
      <c r="E334" s="32"/>
      <c r="F334" s="32"/>
      <c r="G334" s="32"/>
    </row>
    <row r="335">
      <c r="E335" s="32"/>
      <c r="F335" s="32"/>
      <c r="G335" s="32"/>
    </row>
    <row r="336">
      <c r="E336" s="32"/>
      <c r="F336" s="32"/>
      <c r="G336" s="32"/>
    </row>
    <row r="337">
      <c r="E337" s="32"/>
      <c r="F337" s="32"/>
      <c r="G337" s="32"/>
    </row>
    <row r="338">
      <c r="E338" s="32"/>
      <c r="F338" s="32"/>
      <c r="G338" s="32"/>
    </row>
    <row r="339">
      <c r="E339" s="32"/>
      <c r="F339" s="32"/>
      <c r="G339" s="32"/>
    </row>
    <row r="340">
      <c r="E340" s="32"/>
      <c r="F340" s="32"/>
      <c r="G340" s="32"/>
    </row>
    <row r="341">
      <c r="E341" s="32"/>
      <c r="F341" s="32"/>
      <c r="G341" s="32"/>
    </row>
    <row r="342">
      <c r="E342" s="32"/>
      <c r="F342" s="32"/>
      <c r="G342" s="32"/>
    </row>
    <row r="343">
      <c r="E343" s="32"/>
      <c r="F343" s="32"/>
      <c r="G343" s="32"/>
    </row>
    <row r="344">
      <c r="E344" s="32"/>
      <c r="F344" s="32"/>
      <c r="G344" s="32"/>
    </row>
    <row r="345">
      <c r="E345" s="32"/>
      <c r="F345" s="32"/>
      <c r="G345" s="32"/>
    </row>
    <row r="346">
      <c r="E346" s="32"/>
      <c r="F346" s="32"/>
      <c r="G346" s="32"/>
    </row>
    <row r="347">
      <c r="E347" s="32"/>
      <c r="F347" s="32"/>
      <c r="G347" s="32"/>
    </row>
    <row r="348">
      <c r="E348" s="32"/>
      <c r="F348" s="32"/>
      <c r="G348" s="32"/>
    </row>
    <row r="349">
      <c r="E349" s="32"/>
      <c r="F349" s="32"/>
      <c r="G349" s="32"/>
    </row>
    <row r="350">
      <c r="E350" s="32"/>
      <c r="F350" s="32"/>
      <c r="G350" s="32"/>
    </row>
    <row r="351">
      <c r="E351" s="32"/>
      <c r="F351" s="32"/>
      <c r="G351" s="32"/>
    </row>
    <row r="352">
      <c r="E352" s="32"/>
      <c r="F352" s="32"/>
      <c r="G352" s="32"/>
    </row>
    <row r="353">
      <c r="E353" s="32"/>
      <c r="F353" s="32"/>
      <c r="G353" s="32"/>
    </row>
    <row r="354">
      <c r="E354" s="32"/>
      <c r="F354" s="32"/>
      <c r="G354" s="32"/>
    </row>
    <row r="355">
      <c r="E355" s="32"/>
      <c r="F355" s="32"/>
      <c r="G355" s="32"/>
    </row>
    <row r="356">
      <c r="E356" s="32"/>
      <c r="F356" s="32"/>
      <c r="G356" s="32"/>
    </row>
    <row r="357">
      <c r="E357" s="32"/>
      <c r="F357" s="32"/>
      <c r="G357" s="32"/>
    </row>
    <row r="358">
      <c r="E358" s="32"/>
      <c r="F358" s="32"/>
      <c r="G358" s="32"/>
    </row>
    <row r="359">
      <c r="E359" s="32"/>
      <c r="F359" s="32"/>
      <c r="G359" s="32"/>
    </row>
    <row r="360">
      <c r="E360" s="32"/>
      <c r="F360" s="32"/>
      <c r="G360" s="32"/>
    </row>
    <row r="361">
      <c r="E361" s="32"/>
      <c r="F361" s="32"/>
      <c r="G361" s="32"/>
    </row>
    <row r="362">
      <c r="E362" s="32"/>
      <c r="F362" s="32"/>
      <c r="G362" s="32"/>
    </row>
    <row r="363">
      <c r="E363" s="32"/>
      <c r="F363" s="32"/>
      <c r="G363" s="32"/>
    </row>
    <row r="364">
      <c r="E364" s="32"/>
      <c r="F364" s="32"/>
      <c r="G364" s="32"/>
    </row>
    <row r="365">
      <c r="E365" s="32"/>
      <c r="F365" s="32"/>
      <c r="G365" s="32"/>
    </row>
    <row r="366">
      <c r="E366" s="32"/>
      <c r="F366" s="32"/>
      <c r="G366" s="32"/>
    </row>
    <row r="367">
      <c r="E367" s="32"/>
      <c r="F367" s="32"/>
      <c r="G367" s="32"/>
    </row>
    <row r="368">
      <c r="E368" s="32"/>
      <c r="F368" s="32"/>
      <c r="G368" s="32"/>
    </row>
    <row r="369">
      <c r="E369" s="32"/>
      <c r="F369" s="32"/>
      <c r="G369" s="32"/>
    </row>
    <row r="370">
      <c r="E370" s="32"/>
      <c r="F370" s="32"/>
      <c r="G370" s="32"/>
    </row>
    <row r="371">
      <c r="E371" s="32"/>
      <c r="F371" s="32"/>
      <c r="G371" s="32"/>
    </row>
    <row r="372">
      <c r="E372" s="32"/>
      <c r="F372" s="32"/>
      <c r="G372" s="32"/>
    </row>
    <row r="373">
      <c r="E373" s="32"/>
      <c r="F373" s="32"/>
      <c r="G373" s="32"/>
    </row>
    <row r="374">
      <c r="E374" s="32"/>
      <c r="F374" s="32"/>
      <c r="G374" s="32"/>
    </row>
    <row r="375">
      <c r="E375" s="32"/>
      <c r="F375" s="32"/>
      <c r="G375" s="32"/>
    </row>
    <row r="376">
      <c r="E376" s="32"/>
      <c r="F376" s="32"/>
      <c r="G376" s="32"/>
    </row>
    <row r="377">
      <c r="E377" s="32"/>
      <c r="F377" s="32"/>
      <c r="G377" s="32"/>
    </row>
    <row r="378">
      <c r="E378" s="32"/>
      <c r="F378" s="32"/>
      <c r="G378" s="32"/>
    </row>
    <row r="379">
      <c r="E379" s="32"/>
      <c r="F379" s="32"/>
      <c r="G379" s="32"/>
    </row>
    <row r="380">
      <c r="E380" s="32"/>
      <c r="F380" s="32"/>
      <c r="G380" s="32"/>
    </row>
    <row r="381">
      <c r="E381" s="32"/>
      <c r="F381" s="32"/>
      <c r="G381" s="32"/>
    </row>
    <row r="382">
      <c r="E382" s="32"/>
      <c r="F382" s="32"/>
      <c r="G382" s="32"/>
    </row>
    <row r="383">
      <c r="E383" s="32"/>
      <c r="F383" s="32"/>
      <c r="G383" s="32"/>
    </row>
    <row r="384">
      <c r="E384" s="32"/>
      <c r="F384" s="32"/>
      <c r="G384" s="32"/>
    </row>
    <row r="385">
      <c r="E385" s="32"/>
      <c r="F385" s="32"/>
      <c r="G385" s="32"/>
    </row>
    <row r="386">
      <c r="E386" s="32"/>
      <c r="F386" s="32"/>
      <c r="G386" s="32"/>
    </row>
    <row r="387">
      <c r="E387" s="32"/>
      <c r="F387" s="32"/>
      <c r="G387" s="32"/>
    </row>
    <row r="388">
      <c r="E388" s="32"/>
      <c r="F388" s="32"/>
      <c r="G388" s="32"/>
    </row>
    <row r="389">
      <c r="E389" s="32"/>
      <c r="F389" s="32"/>
      <c r="G389" s="32"/>
    </row>
    <row r="390">
      <c r="E390" s="32"/>
      <c r="F390" s="32"/>
      <c r="G390" s="32"/>
    </row>
    <row r="391">
      <c r="E391" s="32"/>
      <c r="F391" s="32"/>
      <c r="G391" s="32"/>
    </row>
    <row r="392">
      <c r="E392" s="32"/>
      <c r="F392" s="32"/>
      <c r="G392" s="32"/>
    </row>
    <row r="393">
      <c r="E393" s="32"/>
      <c r="F393" s="32"/>
      <c r="G393" s="32"/>
    </row>
    <row r="394">
      <c r="E394" s="32"/>
      <c r="F394" s="32"/>
      <c r="G394" s="32"/>
    </row>
    <row r="395">
      <c r="E395" s="32"/>
      <c r="F395" s="32"/>
      <c r="G395" s="32"/>
    </row>
    <row r="396">
      <c r="E396" s="32"/>
      <c r="F396" s="32"/>
      <c r="G396" s="32"/>
    </row>
    <row r="397">
      <c r="E397" s="32"/>
      <c r="F397" s="32"/>
      <c r="G397" s="32"/>
    </row>
    <row r="398">
      <c r="E398" s="32"/>
      <c r="F398" s="32"/>
      <c r="G398" s="32"/>
    </row>
    <row r="399">
      <c r="E399" s="32"/>
      <c r="F399" s="32"/>
      <c r="G399" s="32"/>
    </row>
    <row r="400">
      <c r="E400" s="32"/>
      <c r="F400" s="32"/>
      <c r="G400" s="32"/>
    </row>
    <row r="401">
      <c r="E401" s="32"/>
      <c r="F401" s="32"/>
      <c r="G401" s="32"/>
    </row>
    <row r="402">
      <c r="E402" s="32"/>
      <c r="F402" s="32"/>
      <c r="G402" s="32"/>
    </row>
    <row r="403">
      <c r="E403" s="32"/>
      <c r="F403" s="32"/>
      <c r="G403" s="32"/>
    </row>
    <row r="404">
      <c r="E404" s="32"/>
      <c r="F404" s="32"/>
      <c r="G404" s="32"/>
    </row>
    <row r="405">
      <c r="E405" s="32"/>
      <c r="F405" s="32"/>
      <c r="G405" s="32"/>
    </row>
    <row r="406">
      <c r="E406" s="32"/>
      <c r="F406" s="32"/>
      <c r="G406" s="32"/>
    </row>
    <row r="407">
      <c r="E407" s="32"/>
      <c r="F407" s="32"/>
      <c r="G407" s="32"/>
    </row>
    <row r="408">
      <c r="E408" s="32"/>
      <c r="F408" s="32"/>
      <c r="G408" s="32"/>
    </row>
    <row r="409">
      <c r="E409" s="32"/>
      <c r="F409" s="32"/>
      <c r="G409" s="32"/>
    </row>
    <row r="410">
      <c r="E410" s="32"/>
      <c r="F410" s="32"/>
      <c r="G410" s="32"/>
    </row>
    <row r="411">
      <c r="E411" s="32"/>
      <c r="F411" s="32"/>
      <c r="G411" s="32"/>
    </row>
    <row r="412">
      <c r="E412" s="32"/>
      <c r="F412" s="32"/>
      <c r="G412" s="32"/>
    </row>
    <row r="413">
      <c r="E413" s="32"/>
      <c r="F413" s="32"/>
      <c r="G413" s="32"/>
    </row>
    <row r="414">
      <c r="E414" s="32"/>
      <c r="F414" s="32"/>
      <c r="G414" s="32"/>
    </row>
    <row r="415">
      <c r="E415" s="32"/>
      <c r="F415" s="32"/>
      <c r="G415" s="32"/>
    </row>
    <row r="416">
      <c r="E416" s="32"/>
      <c r="F416" s="32"/>
      <c r="G416" s="32"/>
    </row>
    <row r="417">
      <c r="E417" s="32"/>
      <c r="F417" s="32"/>
      <c r="G417" s="32"/>
    </row>
    <row r="418">
      <c r="E418" s="32"/>
      <c r="F418" s="32"/>
      <c r="G418" s="32"/>
    </row>
    <row r="419">
      <c r="E419" s="32"/>
      <c r="F419" s="32"/>
      <c r="G419" s="32"/>
    </row>
    <row r="420">
      <c r="E420" s="32"/>
      <c r="F420" s="32"/>
      <c r="G420" s="32"/>
    </row>
    <row r="421">
      <c r="E421" s="32"/>
      <c r="F421" s="32"/>
      <c r="G421" s="32"/>
    </row>
    <row r="422">
      <c r="E422" s="32"/>
      <c r="F422" s="32"/>
      <c r="G422" s="32"/>
    </row>
    <row r="423">
      <c r="E423" s="32"/>
      <c r="F423" s="32"/>
      <c r="G423" s="32"/>
    </row>
    <row r="424">
      <c r="E424" s="32"/>
      <c r="F424" s="32"/>
      <c r="G424" s="32"/>
    </row>
    <row r="425">
      <c r="E425" s="32"/>
      <c r="F425" s="32"/>
      <c r="G425" s="32"/>
    </row>
    <row r="426">
      <c r="E426" s="32"/>
      <c r="F426" s="32"/>
      <c r="G426" s="32"/>
    </row>
    <row r="427">
      <c r="E427" s="32"/>
      <c r="F427" s="32"/>
      <c r="G427" s="32"/>
    </row>
    <row r="428">
      <c r="E428" s="32"/>
      <c r="F428" s="32"/>
      <c r="G428" s="32"/>
    </row>
    <row r="429">
      <c r="E429" s="32"/>
      <c r="F429" s="32"/>
      <c r="G429" s="32"/>
    </row>
    <row r="430">
      <c r="E430" s="32"/>
      <c r="F430" s="32"/>
      <c r="G430" s="32"/>
    </row>
    <row r="431">
      <c r="E431" s="32"/>
      <c r="F431" s="32"/>
      <c r="G431" s="32"/>
    </row>
    <row r="432">
      <c r="E432" s="32"/>
      <c r="F432" s="32"/>
      <c r="G432" s="32"/>
    </row>
    <row r="433">
      <c r="E433" s="32"/>
      <c r="F433" s="32"/>
      <c r="G433" s="32"/>
    </row>
    <row r="434">
      <c r="E434" s="32"/>
      <c r="F434" s="32"/>
      <c r="G434" s="32"/>
    </row>
    <row r="435">
      <c r="E435" s="32"/>
      <c r="F435" s="32"/>
      <c r="G435" s="32"/>
    </row>
    <row r="436">
      <c r="E436" s="32"/>
      <c r="F436" s="32"/>
      <c r="G436" s="32"/>
    </row>
    <row r="437">
      <c r="E437" s="32"/>
      <c r="F437" s="32"/>
      <c r="G437" s="32"/>
    </row>
    <row r="438">
      <c r="E438" s="32"/>
      <c r="F438" s="32"/>
      <c r="G438" s="32"/>
    </row>
    <row r="439">
      <c r="E439" s="32"/>
      <c r="F439" s="32"/>
      <c r="G439" s="32"/>
    </row>
    <row r="440">
      <c r="E440" s="32"/>
      <c r="F440" s="32"/>
      <c r="G440" s="32"/>
    </row>
    <row r="441">
      <c r="E441" s="32"/>
      <c r="F441" s="32"/>
      <c r="G441" s="32"/>
    </row>
    <row r="442">
      <c r="E442" s="32"/>
      <c r="F442" s="32"/>
      <c r="G442" s="32"/>
    </row>
    <row r="443">
      <c r="E443" s="32"/>
      <c r="F443" s="32"/>
      <c r="G443" s="32"/>
    </row>
    <row r="444">
      <c r="E444" s="32"/>
      <c r="F444" s="32"/>
      <c r="G444" s="32"/>
    </row>
    <row r="445">
      <c r="E445" s="32"/>
      <c r="F445" s="32"/>
      <c r="G445" s="32"/>
    </row>
    <row r="446">
      <c r="E446" s="32"/>
      <c r="F446" s="32"/>
      <c r="G446" s="32"/>
    </row>
    <row r="447">
      <c r="E447" s="32"/>
      <c r="F447" s="32"/>
      <c r="G447" s="32"/>
    </row>
    <row r="448">
      <c r="E448" s="32"/>
      <c r="F448" s="32"/>
      <c r="G448" s="32"/>
    </row>
    <row r="449">
      <c r="E449" s="32"/>
      <c r="F449" s="32"/>
      <c r="G449" s="32"/>
    </row>
    <row r="450">
      <c r="E450" s="32"/>
      <c r="F450" s="32"/>
      <c r="G450" s="32"/>
    </row>
    <row r="451">
      <c r="E451" s="32"/>
      <c r="F451" s="32"/>
      <c r="G451" s="32"/>
    </row>
    <row r="452">
      <c r="E452" s="32"/>
      <c r="F452" s="32"/>
      <c r="G452" s="32"/>
    </row>
    <row r="453">
      <c r="E453" s="32"/>
      <c r="F453" s="32"/>
      <c r="G453" s="32"/>
    </row>
    <row r="454">
      <c r="E454" s="32"/>
      <c r="F454" s="32"/>
      <c r="G454" s="32"/>
    </row>
    <row r="455">
      <c r="E455" s="32"/>
      <c r="F455" s="32"/>
      <c r="G455" s="32"/>
    </row>
    <row r="456">
      <c r="E456" s="32"/>
      <c r="F456" s="32"/>
      <c r="G456" s="32"/>
    </row>
    <row r="457">
      <c r="E457" s="32"/>
      <c r="F457" s="32"/>
      <c r="G457" s="32"/>
    </row>
    <row r="458">
      <c r="E458" s="32"/>
      <c r="F458" s="32"/>
      <c r="G458" s="32"/>
    </row>
    <row r="459">
      <c r="E459" s="32"/>
      <c r="F459" s="32"/>
      <c r="G459" s="32"/>
    </row>
    <row r="460">
      <c r="E460" s="32"/>
      <c r="F460" s="32"/>
      <c r="G460" s="32"/>
    </row>
    <row r="461">
      <c r="E461" s="32"/>
      <c r="F461" s="32"/>
      <c r="G461" s="32"/>
    </row>
    <row r="462">
      <c r="E462" s="32"/>
      <c r="F462" s="32"/>
      <c r="G462" s="32"/>
    </row>
    <row r="463">
      <c r="E463" s="32"/>
      <c r="F463" s="32"/>
      <c r="G463" s="32"/>
    </row>
    <row r="464">
      <c r="E464" s="32"/>
      <c r="F464" s="32"/>
      <c r="G464" s="32"/>
    </row>
    <row r="465">
      <c r="E465" s="32"/>
      <c r="F465" s="32"/>
      <c r="G465" s="32"/>
    </row>
    <row r="466">
      <c r="E466" s="32"/>
      <c r="F466" s="32"/>
      <c r="G466" s="32"/>
    </row>
    <row r="467">
      <c r="E467" s="32"/>
      <c r="F467" s="32"/>
      <c r="G467" s="32"/>
    </row>
    <row r="468">
      <c r="E468" s="32"/>
      <c r="F468" s="32"/>
      <c r="G468" s="32"/>
    </row>
    <row r="469">
      <c r="E469" s="32"/>
      <c r="F469" s="32"/>
      <c r="G469" s="32"/>
    </row>
    <row r="470">
      <c r="E470" s="32"/>
      <c r="F470" s="32"/>
      <c r="G470" s="32"/>
    </row>
    <row r="471">
      <c r="E471" s="32"/>
      <c r="F471" s="32"/>
      <c r="G471" s="32"/>
    </row>
    <row r="472">
      <c r="E472" s="32"/>
      <c r="F472" s="32"/>
      <c r="G472" s="32"/>
    </row>
    <row r="473">
      <c r="E473" s="32"/>
      <c r="F473" s="32"/>
      <c r="G473" s="32"/>
    </row>
    <row r="474">
      <c r="E474" s="32"/>
      <c r="F474" s="32"/>
      <c r="G474" s="32"/>
    </row>
    <row r="475">
      <c r="E475" s="32"/>
      <c r="F475" s="32"/>
      <c r="G475" s="32"/>
    </row>
    <row r="476">
      <c r="E476" s="32"/>
      <c r="F476" s="32"/>
      <c r="G476" s="32"/>
    </row>
    <row r="477">
      <c r="E477" s="32"/>
      <c r="F477" s="32"/>
      <c r="G477" s="32"/>
    </row>
    <row r="478">
      <c r="E478" s="32"/>
      <c r="F478" s="32"/>
      <c r="G478" s="32"/>
    </row>
    <row r="479">
      <c r="E479" s="32"/>
      <c r="F479" s="32"/>
      <c r="G479" s="32"/>
    </row>
    <row r="480">
      <c r="E480" s="32"/>
      <c r="F480" s="32"/>
      <c r="G480" s="32"/>
    </row>
    <row r="481">
      <c r="E481" s="32"/>
      <c r="F481" s="32"/>
      <c r="G481" s="32"/>
    </row>
    <row r="482">
      <c r="E482" s="32"/>
      <c r="F482" s="32"/>
      <c r="G482" s="32"/>
    </row>
    <row r="483">
      <c r="E483" s="32"/>
      <c r="F483" s="32"/>
      <c r="G483" s="32"/>
    </row>
    <row r="484">
      <c r="E484" s="32"/>
      <c r="F484" s="32"/>
      <c r="G484" s="32"/>
    </row>
    <row r="485">
      <c r="E485" s="32"/>
      <c r="F485" s="32"/>
      <c r="G485" s="32"/>
    </row>
    <row r="486">
      <c r="E486" s="32"/>
      <c r="F486" s="32"/>
      <c r="G486" s="32"/>
    </row>
    <row r="487">
      <c r="E487" s="32"/>
      <c r="F487" s="32"/>
      <c r="G487" s="32"/>
    </row>
    <row r="488">
      <c r="E488" s="32"/>
      <c r="F488" s="32"/>
      <c r="G488" s="32"/>
    </row>
    <row r="489">
      <c r="E489" s="32"/>
      <c r="F489" s="32"/>
      <c r="G489" s="32"/>
    </row>
    <row r="490">
      <c r="E490" s="32"/>
      <c r="F490" s="32"/>
      <c r="G490" s="32"/>
    </row>
    <row r="491">
      <c r="E491" s="32"/>
      <c r="F491" s="32"/>
      <c r="G491" s="32"/>
    </row>
    <row r="492">
      <c r="E492" s="32"/>
      <c r="F492" s="32"/>
      <c r="G492" s="32"/>
    </row>
    <row r="493">
      <c r="E493" s="32"/>
      <c r="F493" s="32"/>
      <c r="G493" s="32"/>
    </row>
    <row r="494">
      <c r="E494" s="32"/>
      <c r="F494" s="32"/>
      <c r="G494" s="32"/>
    </row>
    <row r="495">
      <c r="E495" s="32"/>
      <c r="F495" s="32"/>
      <c r="G495" s="32"/>
    </row>
    <row r="496">
      <c r="E496" s="32"/>
      <c r="F496" s="32"/>
      <c r="G496" s="32"/>
    </row>
    <row r="497">
      <c r="E497" s="32"/>
      <c r="F497" s="32"/>
      <c r="G497" s="32"/>
    </row>
    <row r="498">
      <c r="E498" s="32"/>
      <c r="F498" s="32"/>
      <c r="G498" s="32"/>
    </row>
    <row r="499">
      <c r="E499" s="32"/>
      <c r="F499" s="32"/>
      <c r="G499" s="32"/>
    </row>
    <row r="500">
      <c r="E500" s="32"/>
      <c r="F500" s="32"/>
      <c r="G500" s="32"/>
    </row>
    <row r="501">
      <c r="E501" s="32"/>
      <c r="F501" s="32"/>
      <c r="G501" s="32"/>
    </row>
    <row r="502">
      <c r="E502" s="32"/>
      <c r="F502" s="32"/>
      <c r="G502" s="32"/>
    </row>
    <row r="503">
      <c r="E503" s="32"/>
      <c r="F503" s="32"/>
      <c r="G503" s="32"/>
    </row>
    <row r="504">
      <c r="E504" s="32"/>
      <c r="F504" s="32"/>
      <c r="G504" s="32"/>
    </row>
    <row r="505">
      <c r="E505" s="32"/>
      <c r="F505" s="32"/>
      <c r="G505" s="32"/>
    </row>
    <row r="506">
      <c r="E506" s="32"/>
      <c r="F506" s="32"/>
      <c r="G506" s="32"/>
    </row>
    <row r="507">
      <c r="E507" s="32"/>
      <c r="F507" s="32"/>
      <c r="G507" s="32"/>
    </row>
    <row r="508">
      <c r="E508" s="32"/>
      <c r="F508" s="32"/>
      <c r="G508" s="32"/>
    </row>
    <row r="509">
      <c r="E509" s="32"/>
      <c r="F509" s="32"/>
      <c r="G509" s="32"/>
    </row>
    <row r="510">
      <c r="E510" s="32"/>
      <c r="F510" s="32"/>
      <c r="G510" s="32"/>
    </row>
    <row r="511">
      <c r="E511" s="32"/>
      <c r="F511" s="32"/>
      <c r="G511" s="32"/>
    </row>
    <row r="512">
      <c r="E512" s="32"/>
      <c r="F512" s="32"/>
      <c r="G512" s="32"/>
    </row>
    <row r="513">
      <c r="E513" s="32"/>
      <c r="F513" s="32"/>
      <c r="G513" s="32"/>
    </row>
    <row r="514">
      <c r="E514" s="32"/>
      <c r="F514" s="32"/>
      <c r="G514" s="32"/>
    </row>
    <row r="515">
      <c r="E515" s="32"/>
      <c r="F515" s="32"/>
      <c r="G515" s="32"/>
    </row>
    <row r="516">
      <c r="E516" s="32"/>
      <c r="F516" s="32"/>
      <c r="G516" s="32"/>
    </row>
    <row r="517">
      <c r="E517" s="32"/>
      <c r="F517" s="32"/>
      <c r="G517" s="32"/>
    </row>
    <row r="518">
      <c r="E518" s="32"/>
      <c r="F518" s="32"/>
      <c r="G518" s="32"/>
    </row>
    <row r="519">
      <c r="E519" s="32"/>
      <c r="F519" s="32"/>
      <c r="G519" s="32"/>
    </row>
    <row r="520">
      <c r="E520" s="32"/>
      <c r="F520" s="32"/>
      <c r="G520" s="32"/>
    </row>
    <row r="521">
      <c r="E521" s="32"/>
      <c r="F521" s="32"/>
      <c r="G521" s="32"/>
    </row>
    <row r="522">
      <c r="E522" s="32"/>
      <c r="F522" s="32"/>
      <c r="G522" s="32"/>
    </row>
    <row r="523">
      <c r="E523" s="32"/>
      <c r="F523" s="32"/>
      <c r="G523" s="32"/>
    </row>
    <row r="524">
      <c r="E524" s="32"/>
      <c r="F524" s="32"/>
      <c r="G524" s="32"/>
    </row>
    <row r="525">
      <c r="E525" s="32"/>
      <c r="F525" s="32"/>
      <c r="G525" s="32"/>
    </row>
    <row r="526">
      <c r="E526" s="32"/>
      <c r="F526" s="32"/>
      <c r="G526" s="32"/>
    </row>
    <row r="527">
      <c r="E527" s="32"/>
      <c r="F527" s="32"/>
      <c r="G527" s="32"/>
    </row>
    <row r="528">
      <c r="E528" s="32"/>
      <c r="F528" s="32"/>
      <c r="G528" s="32"/>
    </row>
    <row r="529">
      <c r="E529" s="32"/>
      <c r="F529" s="32"/>
      <c r="G529" s="32"/>
    </row>
    <row r="530">
      <c r="E530" s="32"/>
      <c r="F530" s="32"/>
      <c r="G530" s="32"/>
    </row>
    <row r="531">
      <c r="E531" s="32"/>
      <c r="F531" s="32"/>
      <c r="G531" s="32"/>
    </row>
    <row r="532">
      <c r="E532" s="32"/>
      <c r="F532" s="32"/>
      <c r="G532" s="32"/>
    </row>
    <row r="533">
      <c r="E533" s="32"/>
      <c r="F533" s="32"/>
      <c r="G533" s="32"/>
    </row>
    <row r="534">
      <c r="E534" s="32"/>
      <c r="F534" s="32"/>
      <c r="G534" s="32"/>
    </row>
    <row r="535">
      <c r="E535" s="32"/>
      <c r="F535" s="32"/>
      <c r="G535" s="32"/>
    </row>
    <row r="536">
      <c r="E536" s="32"/>
      <c r="F536" s="32"/>
      <c r="G536" s="32"/>
    </row>
    <row r="537">
      <c r="E537" s="32"/>
      <c r="F537" s="32"/>
      <c r="G537" s="32"/>
    </row>
    <row r="538">
      <c r="E538" s="32"/>
      <c r="F538" s="32"/>
      <c r="G538" s="32"/>
    </row>
    <row r="539">
      <c r="E539" s="32"/>
      <c r="F539" s="32"/>
      <c r="G539" s="32"/>
    </row>
    <row r="540">
      <c r="E540" s="32"/>
      <c r="F540" s="32"/>
      <c r="G540" s="32"/>
    </row>
    <row r="541">
      <c r="E541" s="32"/>
      <c r="F541" s="32"/>
      <c r="G541" s="32"/>
    </row>
    <row r="542">
      <c r="E542" s="32"/>
      <c r="F542" s="32"/>
      <c r="G542" s="32"/>
    </row>
    <row r="543">
      <c r="E543" s="32"/>
      <c r="F543" s="32"/>
      <c r="G543" s="32"/>
    </row>
    <row r="544">
      <c r="E544" s="32"/>
      <c r="F544" s="32"/>
      <c r="G544" s="32"/>
    </row>
    <row r="545">
      <c r="E545" s="32"/>
      <c r="F545" s="32"/>
      <c r="G545" s="32"/>
    </row>
    <row r="546">
      <c r="E546" s="32"/>
      <c r="F546" s="32"/>
      <c r="G546" s="32"/>
    </row>
    <row r="547">
      <c r="E547" s="32"/>
      <c r="F547" s="32"/>
      <c r="G547" s="32"/>
    </row>
    <row r="548">
      <c r="E548" s="32"/>
      <c r="F548" s="32"/>
      <c r="G548" s="32"/>
    </row>
    <row r="549">
      <c r="E549" s="32"/>
      <c r="F549" s="32"/>
      <c r="G549" s="32"/>
    </row>
    <row r="550">
      <c r="E550" s="32"/>
      <c r="F550" s="32"/>
      <c r="G550" s="32"/>
    </row>
    <row r="551">
      <c r="E551" s="32"/>
      <c r="F551" s="32"/>
      <c r="G551" s="32"/>
    </row>
    <row r="552">
      <c r="E552" s="32"/>
      <c r="F552" s="32"/>
      <c r="G552" s="32"/>
    </row>
    <row r="553">
      <c r="E553" s="32"/>
      <c r="F553" s="32"/>
      <c r="G553" s="32"/>
    </row>
    <row r="554">
      <c r="E554" s="32"/>
      <c r="F554" s="32"/>
      <c r="G554" s="32"/>
    </row>
    <row r="555">
      <c r="E555" s="32"/>
      <c r="F555" s="32"/>
      <c r="G555" s="32"/>
    </row>
    <row r="556">
      <c r="E556" s="32"/>
      <c r="F556" s="32"/>
      <c r="G556" s="32"/>
    </row>
    <row r="557">
      <c r="E557" s="32"/>
      <c r="F557" s="32"/>
      <c r="G557" s="32"/>
    </row>
    <row r="558">
      <c r="E558" s="32"/>
      <c r="F558" s="32"/>
      <c r="G558" s="32"/>
    </row>
    <row r="559">
      <c r="E559" s="32"/>
      <c r="F559" s="32"/>
      <c r="G559" s="32"/>
    </row>
    <row r="560">
      <c r="E560" s="32"/>
      <c r="F560" s="32"/>
      <c r="G560" s="32"/>
    </row>
    <row r="561">
      <c r="E561" s="32"/>
      <c r="F561" s="32"/>
      <c r="G561" s="32"/>
    </row>
    <row r="562">
      <c r="E562" s="32"/>
      <c r="F562" s="32"/>
      <c r="G562" s="32"/>
    </row>
    <row r="563">
      <c r="E563" s="32"/>
      <c r="F563" s="32"/>
      <c r="G563" s="32"/>
    </row>
    <row r="564">
      <c r="E564" s="32"/>
      <c r="F564" s="32"/>
      <c r="G564" s="32"/>
    </row>
    <row r="565">
      <c r="E565" s="32"/>
      <c r="F565" s="32"/>
      <c r="G565" s="32"/>
    </row>
    <row r="566">
      <c r="E566" s="32"/>
      <c r="F566" s="32"/>
      <c r="G566" s="32"/>
    </row>
    <row r="567">
      <c r="E567" s="32"/>
      <c r="F567" s="32"/>
      <c r="G567" s="32"/>
    </row>
    <row r="568">
      <c r="E568" s="32"/>
      <c r="F568" s="32"/>
      <c r="G568" s="32"/>
    </row>
    <row r="569">
      <c r="E569" s="32"/>
      <c r="F569" s="32"/>
      <c r="G569" s="32"/>
    </row>
    <row r="570">
      <c r="E570" s="32"/>
      <c r="F570" s="32"/>
      <c r="G570" s="32"/>
    </row>
    <row r="571">
      <c r="E571" s="32"/>
      <c r="F571" s="32"/>
      <c r="G571" s="32"/>
    </row>
    <row r="572">
      <c r="E572" s="32"/>
      <c r="F572" s="32"/>
      <c r="G572" s="32"/>
    </row>
    <row r="573">
      <c r="E573" s="32"/>
      <c r="F573" s="32"/>
      <c r="G573" s="32"/>
    </row>
    <row r="574">
      <c r="E574" s="32"/>
      <c r="F574" s="32"/>
      <c r="G574" s="32"/>
    </row>
    <row r="575">
      <c r="E575" s="32"/>
      <c r="F575" s="32"/>
      <c r="G575" s="32"/>
    </row>
    <row r="576">
      <c r="E576" s="32"/>
      <c r="F576" s="32"/>
      <c r="G576" s="32"/>
    </row>
    <row r="577">
      <c r="E577" s="32"/>
      <c r="F577" s="32"/>
      <c r="G577" s="32"/>
    </row>
    <row r="578">
      <c r="E578" s="32"/>
      <c r="F578" s="32"/>
      <c r="G578" s="32"/>
    </row>
    <row r="579">
      <c r="E579" s="32"/>
      <c r="F579" s="32"/>
      <c r="G579" s="32"/>
    </row>
    <row r="580">
      <c r="E580" s="32"/>
      <c r="F580" s="32"/>
      <c r="G580" s="32"/>
    </row>
    <row r="581">
      <c r="E581" s="32"/>
      <c r="F581" s="32"/>
      <c r="G581" s="32"/>
    </row>
    <row r="582">
      <c r="E582" s="32"/>
      <c r="F582" s="32"/>
      <c r="G582" s="32"/>
    </row>
    <row r="583">
      <c r="E583" s="32"/>
      <c r="F583" s="32"/>
      <c r="G583" s="32"/>
    </row>
    <row r="584">
      <c r="E584" s="32"/>
      <c r="F584" s="32"/>
      <c r="G584" s="32"/>
    </row>
    <row r="585">
      <c r="E585" s="32"/>
      <c r="F585" s="32"/>
      <c r="G585" s="32"/>
    </row>
    <row r="586">
      <c r="E586" s="32"/>
      <c r="F586" s="32"/>
      <c r="G586" s="32"/>
    </row>
    <row r="587">
      <c r="E587" s="32"/>
      <c r="F587" s="32"/>
      <c r="G587" s="32"/>
    </row>
    <row r="588">
      <c r="E588" s="32"/>
      <c r="F588" s="32"/>
      <c r="G588" s="32"/>
    </row>
    <row r="589">
      <c r="E589" s="32"/>
      <c r="F589" s="32"/>
      <c r="G589" s="32"/>
    </row>
    <row r="590">
      <c r="E590" s="32"/>
      <c r="F590" s="32"/>
      <c r="G590" s="32"/>
    </row>
    <row r="591">
      <c r="E591" s="32"/>
      <c r="F591" s="32"/>
      <c r="G591" s="32"/>
    </row>
    <row r="592">
      <c r="E592" s="32"/>
      <c r="F592" s="32"/>
      <c r="G592" s="32"/>
    </row>
    <row r="593">
      <c r="E593" s="32"/>
      <c r="F593" s="32"/>
      <c r="G593" s="32"/>
    </row>
    <row r="594">
      <c r="E594" s="32"/>
      <c r="F594" s="32"/>
      <c r="G594" s="32"/>
    </row>
    <row r="595">
      <c r="E595" s="32"/>
      <c r="F595" s="32"/>
      <c r="G595" s="32"/>
    </row>
    <row r="596">
      <c r="E596" s="32"/>
      <c r="F596" s="32"/>
      <c r="G596" s="32"/>
    </row>
    <row r="597">
      <c r="E597" s="32"/>
      <c r="F597" s="32"/>
      <c r="G597" s="32"/>
    </row>
    <row r="598">
      <c r="E598" s="32"/>
      <c r="F598" s="32"/>
      <c r="G598" s="32"/>
    </row>
    <row r="599">
      <c r="E599" s="32"/>
      <c r="F599" s="32"/>
      <c r="G599" s="32"/>
    </row>
    <row r="600">
      <c r="E600" s="32"/>
      <c r="F600" s="32"/>
      <c r="G600" s="32"/>
    </row>
    <row r="601">
      <c r="E601" s="32"/>
      <c r="F601" s="32"/>
      <c r="G601" s="32"/>
    </row>
    <row r="602">
      <c r="E602" s="32"/>
      <c r="F602" s="32"/>
      <c r="G602" s="32"/>
    </row>
    <row r="603">
      <c r="E603" s="32"/>
      <c r="F603" s="32"/>
      <c r="G603" s="32"/>
    </row>
    <row r="604">
      <c r="E604" s="32"/>
      <c r="F604" s="32"/>
      <c r="G604" s="32"/>
    </row>
    <row r="605">
      <c r="E605" s="32"/>
      <c r="F605" s="32"/>
      <c r="G605" s="32"/>
    </row>
    <row r="606">
      <c r="E606" s="32"/>
      <c r="F606" s="32"/>
      <c r="G606" s="32"/>
    </row>
    <row r="607">
      <c r="E607" s="32"/>
      <c r="F607" s="32"/>
      <c r="G607" s="32"/>
    </row>
    <row r="608">
      <c r="E608" s="32"/>
      <c r="F608" s="32"/>
      <c r="G608" s="32"/>
    </row>
    <row r="609">
      <c r="E609" s="32"/>
      <c r="F609" s="32"/>
      <c r="G609" s="32"/>
    </row>
    <row r="610">
      <c r="E610" s="32"/>
      <c r="F610" s="32"/>
      <c r="G610" s="32"/>
    </row>
    <row r="611">
      <c r="E611" s="32"/>
      <c r="F611" s="32"/>
      <c r="G611" s="32"/>
    </row>
    <row r="612">
      <c r="E612" s="32"/>
      <c r="F612" s="32"/>
      <c r="G612" s="32"/>
    </row>
    <row r="613">
      <c r="E613" s="32"/>
      <c r="F613" s="32"/>
      <c r="G613" s="32"/>
    </row>
    <row r="614">
      <c r="E614" s="32"/>
      <c r="F614" s="32"/>
      <c r="G614" s="32"/>
    </row>
    <row r="615">
      <c r="E615" s="32"/>
      <c r="F615" s="32"/>
      <c r="G615" s="32"/>
    </row>
    <row r="616">
      <c r="E616" s="32"/>
      <c r="F616" s="32"/>
      <c r="G616" s="32"/>
    </row>
    <row r="617">
      <c r="E617" s="32"/>
      <c r="F617" s="32"/>
      <c r="G617" s="32"/>
    </row>
    <row r="618">
      <c r="E618" s="32"/>
      <c r="F618" s="32"/>
      <c r="G618" s="32"/>
    </row>
    <row r="619">
      <c r="E619" s="32"/>
      <c r="F619" s="32"/>
      <c r="G619" s="32"/>
    </row>
    <row r="620">
      <c r="E620" s="32"/>
      <c r="F620" s="32"/>
      <c r="G620" s="32"/>
    </row>
    <row r="621">
      <c r="E621" s="32"/>
      <c r="F621" s="32"/>
      <c r="G621" s="32"/>
    </row>
    <row r="622">
      <c r="E622" s="32"/>
      <c r="F622" s="32"/>
      <c r="G622" s="32"/>
    </row>
    <row r="623">
      <c r="E623" s="32"/>
      <c r="F623" s="32"/>
      <c r="G623" s="32"/>
    </row>
    <row r="624">
      <c r="E624" s="32"/>
      <c r="F624" s="32"/>
      <c r="G624" s="32"/>
    </row>
    <row r="625">
      <c r="E625" s="32"/>
      <c r="F625" s="32"/>
      <c r="G625" s="32"/>
    </row>
    <row r="626">
      <c r="E626" s="32"/>
      <c r="F626" s="32"/>
      <c r="G626" s="32"/>
    </row>
    <row r="627">
      <c r="E627" s="32"/>
      <c r="F627" s="32"/>
      <c r="G627" s="32"/>
    </row>
    <row r="628">
      <c r="E628" s="32"/>
      <c r="F628" s="32"/>
      <c r="G628" s="32"/>
    </row>
    <row r="629">
      <c r="E629" s="32"/>
      <c r="F629" s="32"/>
      <c r="G629" s="32"/>
    </row>
    <row r="630">
      <c r="E630" s="32"/>
      <c r="F630" s="32"/>
      <c r="G630" s="32"/>
    </row>
    <row r="631">
      <c r="E631" s="32"/>
      <c r="F631" s="32"/>
      <c r="G631" s="32"/>
    </row>
    <row r="632">
      <c r="E632" s="32"/>
      <c r="F632" s="32"/>
      <c r="G632" s="32"/>
    </row>
    <row r="633">
      <c r="E633" s="32"/>
      <c r="F633" s="32"/>
      <c r="G633" s="32"/>
    </row>
    <row r="634">
      <c r="E634" s="32"/>
      <c r="F634" s="32"/>
      <c r="G634" s="32"/>
    </row>
    <row r="635">
      <c r="E635" s="32"/>
      <c r="F635" s="32"/>
      <c r="G635" s="32"/>
    </row>
    <row r="636">
      <c r="E636" s="32"/>
      <c r="F636" s="32"/>
      <c r="G636" s="32"/>
    </row>
    <row r="637">
      <c r="E637" s="32"/>
      <c r="F637" s="32"/>
      <c r="G637" s="32"/>
    </row>
    <row r="638">
      <c r="E638" s="32"/>
      <c r="F638" s="32"/>
      <c r="G638" s="32"/>
    </row>
    <row r="639">
      <c r="E639" s="32"/>
      <c r="F639" s="32"/>
      <c r="G639" s="32"/>
    </row>
    <row r="640">
      <c r="E640" s="32"/>
      <c r="F640" s="32"/>
      <c r="G640" s="32"/>
    </row>
    <row r="641">
      <c r="E641" s="32"/>
      <c r="F641" s="32"/>
      <c r="G641" s="32"/>
    </row>
    <row r="642">
      <c r="E642" s="32"/>
      <c r="F642" s="32"/>
      <c r="G642" s="32"/>
    </row>
    <row r="643">
      <c r="E643" s="32"/>
      <c r="F643" s="32"/>
      <c r="G643" s="32"/>
    </row>
    <row r="644">
      <c r="E644" s="32"/>
      <c r="F644" s="32"/>
      <c r="G644" s="32"/>
    </row>
    <row r="645">
      <c r="E645" s="32"/>
      <c r="F645" s="32"/>
      <c r="G645" s="32"/>
    </row>
    <row r="646">
      <c r="E646" s="32"/>
      <c r="F646" s="32"/>
      <c r="G646" s="32"/>
    </row>
    <row r="647">
      <c r="E647" s="32"/>
      <c r="F647" s="32"/>
      <c r="G647" s="32"/>
    </row>
    <row r="648">
      <c r="E648" s="32"/>
      <c r="F648" s="32"/>
      <c r="G648" s="32"/>
    </row>
    <row r="649">
      <c r="E649" s="32"/>
      <c r="F649" s="32"/>
      <c r="G649" s="32"/>
    </row>
    <row r="650">
      <c r="E650" s="32"/>
      <c r="F650" s="32"/>
      <c r="G650" s="32"/>
    </row>
    <row r="651">
      <c r="E651" s="32"/>
      <c r="F651" s="32"/>
      <c r="G651" s="32"/>
    </row>
    <row r="652">
      <c r="E652" s="32"/>
      <c r="F652" s="32"/>
      <c r="G652" s="32"/>
    </row>
    <row r="653">
      <c r="E653" s="32"/>
      <c r="F653" s="32"/>
      <c r="G653" s="32"/>
    </row>
    <row r="654">
      <c r="E654" s="32"/>
      <c r="F654" s="32"/>
      <c r="G654" s="32"/>
    </row>
    <row r="655">
      <c r="E655" s="32"/>
      <c r="F655" s="32"/>
      <c r="G655" s="32"/>
    </row>
    <row r="656">
      <c r="E656" s="32"/>
      <c r="F656" s="32"/>
      <c r="G656" s="32"/>
    </row>
    <row r="657">
      <c r="E657" s="32"/>
      <c r="F657" s="32"/>
      <c r="G657" s="32"/>
    </row>
    <row r="658">
      <c r="E658" s="32"/>
      <c r="F658" s="32"/>
      <c r="G658" s="32"/>
    </row>
    <row r="659">
      <c r="E659" s="32"/>
      <c r="F659" s="32"/>
      <c r="G659" s="32"/>
    </row>
    <row r="660">
      <c r="E660" s="32"/>
      <c r="F660" s="32"/>
      <c r="G660" s="32"/>
    </row>
    <row r="661">
      <c r="E661" s="32"/>
      <c r="F661" s="32"/>
      <c r="G661" s="32"/>
    </row>
    <row r="662">
      <c r="E662" s="32"/>
      <c r="F662" s="32"/>
      <c r="G662" s="32"/>
    </row>
    <row r="663">
      <c r="E663" s="32"/>
      <c r="F663" s="32"/>
      <c r="G663" s="32"/>
    </row>
    <row r="664">
      <c r="E664" s="32"/>
      <c r="F664" s="32"/>
      <c r="G664" s="32"/>
    </row>
    <row r="665">
      <c r="E665" s="32"/>
      <c r="F665" s="32"/>
      <c r="G665" s="32"/>
    </row>
    <row r="666">
      <c r="E666" s="32"/>
      <c r="F666" s="32"/>
      <c r="G666" s="32"/>
    </row>
    <row r="667">
      <c r="E667" s="32"/>
      <c r="F667" s="32"/>
      <c r="G667" s="32"/>
    </row>
    <row r="668">
      <c r="E668" s="32"/>
      <c r="F668" s="32"/>
      <c r="G668" s="32"/>
    </row>
    <row r="669">
      <c r="E669" s="32"/>
      <c r="F669" s="32"/>
      <c r="G669" s="32"/>
    </row>
    <row r="670">
      <c r="E670" s="32"/>
      <c r="F670" s="32"/>
      <c r="G670" s="32"/>
    </row>
    <row r="671">
      <c r="E671" s="32"/>
      <c r="F671" s="32"/>
      <c r="G671" s="32"/>
    </row>
    <row r="672">
      <c r="E672" s="32"/>
      <c r="F672" s="32"/>
      <c r="G672" s="32"/>
    </row>
    <row r="673">
      <c r="E673" s="32"/>
      <c r="F673" s="32"/>
      <c r="G673" s="32"/>
    </row>
    <row r="674">
      <c r="E674" s="32"/>
      <c r="F674" s="32"/>
      <c r="G674" s="32"/>
    </row>
    <row r="675">
      <c r="E675" s="32"/>
      <c r="F675" s="32"/>
      <c r="G675" s="32"/>
    </row>
    <row r="676">
      <c r="E676" s="32"/>
      <c r="F676" s="32"/>
      <c r="G676" s="32"/>
    </row>
    <row r="677">
      <c r="E677" s="32"/>
      <c r="F677" s="32"/>
      <c r="G677" s="32"/>
    </row>
    <row r="678">
      <c r="E678" s="32"/>
      <c r="F678" s="32"/>
      <c r="G678" s="32"/>
    </row>
    <row r="679">
      <c r="E679" s="32"/>
      <c r="F679" s="32"/>
      <c r="G679" s="32"/>
    </row>
    <row r="680">
      <c r="E680" s="32"/>
      <c r="F680" s="32"/>
      <c r="G680" s="32"/>
    </row>
    <row r="681">
      <c r="E681" s="32"/>
      <c r="F681" s="32"/>
      <c r="G681" s="32"/>
    </row>
    <row r="682">
      <c r="E682" s="32"/>
      <c r="F682" s="32"/>
      <c r="G682" s="32"/>
    </row>
    <row r="683">
      <c r="E683" s="32"/>
      <c r="F683" s="32"/>
      <c r="G683" s="32"/>
    </row>
    <row r="684">
      <c r="E684" s="32"/>
      <c r="F684" s="32"/>
      <c r="G684" s="32"/>
    </row>
    <row r="685">
      <c r="E685" s="32"/>
      <c r="F685" s="32"/>
      <c r="G685" s="32"/>
    </row>
    <row r="686">
      <c r="E686" s="32"/>
      <c r="F686" s="32"/>
      <c r="G686" s="32"/>
    </row>
    <row r="687">
      <c r="E687" s="32"/>
      <c r="F687" s="32"/>
      <c r="G687" s="32"/>
    </row>
    <row r="688">
      <c r="E688" s="32"/>
      <c r="F688" s="32"/>
      <c r="G688" s="32"/>
    </row>
    <row r="689">
      <c r="E689" s="32"/>
      <c r="F689" s="32"/>
      <c r="G689" s="32"/>
    </row>
    <row r="690">
      <c r="E690" s="32"/>
      <c r="F690" s="32"/>
      <c r="G690" s="32"/>
    </row>
    <row r="691">
      <c r="E691" s="32"/>
      <c r="F691" s="32"/>
      <c r="G691" s="32"/>
    </row>
    <row r="692">
      <c r="E692" s="32"/>
      <c r="F692" s="32"/>
      <c r="G692" s="32"/>
    </row>
    <row r="693">
      <c r="E693" s="32"/>
      <c r="F693" s="32"/>
      <c r="G693" s="32"/>
    </row>
    <row r="694">
      <c r="E694" s="32"/>
      <c r="F694" s="32"/>
      <c r="G694" s="32"/>
    </row>
    <row r="695">
      <c r="E695" s="32"/>
      <c r="F695" s="32"/>
      <c r="G695" s="32"/>
    </row>
    <row r="696">
      <c r="E696" s="32"/>
      <c r="F696" s="32"/>
      <c r="G696" s="32"/>
    </row>
    <row r="697">
      <c r="E697" s="32"/>
      <c r="F697" s="32"/>
      <c r="G697" s="32"/>
    </row>
    <row r="698">
      <c r="E698" s="32"/>
      <c r="F698" s="32"/>
      <c r="G698" s="32"/>
    </row>
    <row r="699">
      <c r="E699" s="32"/>
      <c r="F699" s="32"/>
      <c r="G699" s="32"/>
    </row>
    <row r="700">
      <c r="E700" s="32"/>
      <c r="F700" s="32"/>
      <c r="G700" s="32"/>
    </row>
    <row r="701">
      <c r="E701" s="32"/>
      <c r="F701" s="32"/>
      <c r="G701" s="32"/>
    </row>
    <row r="702">
      <c r="E702" s="32"/>
      <c r="F702" s="32"/>
      <c r="G702" s="32"/>
    </row>
    <row r="703">
      <c r="E703" s="32"/>
      <c r="F703" s="32"/>
      <c r="G703" s="32"/>
    </row>
    <row r="704">
      <c r="E704" s="32"/>
      <c r="F704" s="32"/>
      <c r="G704" s="32"/>
    </row>
    <row r="705">
      <c r="E705" s="32"/>
      <c r="F705" s="32"/>
      <c r="G705" s="32"/>
    </row>
    <row r="706">
      <c r="E706" s="32"/>
      <c r="F706" s="32"/>
      <c r="G706" s="32"/>
    </row>
    <row r="707">
      <c r="E707" s="32"/>
      <c r="F707" s="32"/>
      <c r="G707" s="32"/>
    </row>
    <row r="708">
      <c r="E708" s="32"/>
      <c r="F708" s="32"/>
      <c r="G708" s="32"/>
    </row>
    <row r="709">
      <c r="E709" s="32"/>
      <c r="F709" s="32"/>
      <c r="G709" s="32"/>
    </row>
    <row r="710">
      <c r="E710" s="32"/>
      <c r="F710" s="32"/>
      <c r="G710" s="32"/>
    </row>
    <row r="711">
      <c r="E711" s="32"/>
      <c r="F711" s="32"/>
      <c r="G711" s="32"/>
    </row>
    <row r="712">
      <c r="E712" s="32"/>
      <c r="F712" s="32"/>
      <c r="G712" s="32"/>
    </row>
    <row r="713">
      <c r="E713" s="32"/>
      <c r="F713" s="32"/>
      <c r="G713" s="32"/>
    </row>
    <row r="714">
      <c r="E714" s="32"/>
      <c r="F714" s="32"/>
      <c r="G714" s="32"/>
    </row>
    <row r="715">
      <c r="E715" s="32"/>
      <c r="F715" s="32"/>
      <c r="G715" s="32"/>
    </row>
    <row r="716">
      <c r="E716" s="32"/>
      <c r="F716" s="32"/>
      <c r="G716" s="32"/>
    </row>
    <row r="717">
      <c r="E717" s="32"/>
      <c r="F717" s="32"/>
      <c r="G717" s="32"/>
    </row>
    <row r="718">
      <c r="E718" s="32"/>
      <c r="F718" s="32"/>
      <c r="G718" s="32"/>
    </row>
    <row r="719">
      <c r="E719" s="32"/>
      <c r="F719" s="32"/>
      <c r="G719" s="32"/>
    </row>
    <row r="720">
      <c r="E720" s="32"/>
      <c r="F720" s="32"/>
      <c r="G720" s="32"/>
    </row>
    <row r="721">
      <c r="E721" s="32"/>
      <c r="F721" s="32"/>
      <c r="G721" s="32"/>
    </row>
    <row r="722">
      <c r="E722" s="32"/>
      <c r="F722" s="32"/>
      <c r="G722" s="32"/>
    </row>
    <row r="723">
      <c r="E723" s="32"/>
      <c r="F723" s="32"/>
      <c r="G723" s="32"/>
    </row>
    <row r="724">
      <c r="E724" s="32"/>
      <c r="F724" s="32"/>
      <c r="G724" s="32"/>
    </row>
    <row r="725">
      <c r="E725" s="32"/>
      <c r="F725" s="32"/>
      <c r="G725" s="32"/>
    </row>
    <row r="726">
      <c r="E726" s="32"/>
      <c r="F726" s="32"/>
      <c r="G726" s="32"/>
    </row>
    <row r="727">
      <c r="E727" s="32"/>
      <c r="F727" s="32"/>
      <c r="G727" s="32"/>
    </row>
    <row r="728">
      <c r="E728" s="32"/>
      <c r="F728" s="32"/>
      <c r="G728" s="32"/>
    </row>
    <row r="729">
      <c r="E729" s="32"/>
      <c r="F729" s="32"/>
      <c r="G729" s="32"/>
    </row>
    <row r="730">
      <c r="E730" s="32"/>
      <c r="F730" s="32"/>
      <c r="G730" s="32"/>
    </row>
    <row r="731">
      <c r="E731" s="32"/>
      <c r="F731" s="32"/>
      <c r="G731" s="32"/>
    </row>
    <row r="732">
      <c r="E732" s="32"/>
      <c r="F732" s="32"/>
      <c r="G732" s="32"/>
    </row>
    <row r="733">
      <c r="E733" s="32"/>
      <c r="F733" s="32"/>
      <c r="G733" s="32"/>
    </row>
    <row r="734">
      <c r="E734" s="32"/>
      <c r="F734" s="32"/>
      <c r="G734" s="32"/>
    </row>
    <row r="735">
      <c r="E735" s="32"/>
      <c r="F735" s="32"/>
      <c r="G735" s="32"/>
    </row>
    <row r="736">
      <c r="E736" s="32"/>
      <c r="F736" s="32"/>
      <c r="G736" s="32"/>
    </row>
    <row r="737">
      <c r="E737" s="32"/>
      <c r="F737" s="32"/>
      <c r="G737" s="32"/>
    </row>
    <row r="738">
      <c r="E738" s="32"/>
      <c r="F738" s="32"/>
      <c r="G738" s="32"/>
    </row>
    <row r="739">
      <c r="E739" s="32"/>
      <c r="F739" s="32"/>
      <c r="G739" s="32"/>
    </row>
    <row r="740">
      <c r="E740" s="32"/>
      <c r="F740" s="32"/>
      <c r="G740" s="32"/>
    </row>
    <row r="741">
      <c r="E741" s="32"/>
      <c r="F741" s="32"/>
      <c r="G741" s="32"/>
    </row>
    <row r="742">
      <c r="E742" s="32"/>
      <c r="F742" s="32"/>
      <c r="G742" s="32"/>
    </row>
    <row r="743">
      <c r="E743" s="32"/>
      <c r="F743" s="32"/>
      <c r="G743" s="32"/>
    </row>
    <row r="744">
      <c r="E744" s="32"/>
      <c r="F744" s="32"/>
      <c r="G744" s="32"/>
    </row>
    <row r="745">
      <c r="E745" s="32"/>
      <c r="F745" s="32"/>
      <c r="G745" s="32"/>
    </row>
    <row r="746">
      <c r="E746" s="32"/>
      <c r="F746" s="32"/>
      <c r="G746" s="32"/>
    </row>
    <row r="747">
      <c r="E747" s="32"/>
      <c r="F747" s="32"/>
      <c r="G747" s="32"/>
    </row>
    <row r="748">
      <c r="E748" s="32"/>
      <c r="F748" s="32"/>
      <c r="G748" s="32"/>
    </row>
    <row r="749">
      <c r="E749" s="32"/>
      <c r="F749" s="32"/>
      <c r="G749" s="32"/>
    </row>
    <row r="750">
      <c r="E750" s="32"/>
      <c r="F750" s="32"/>
      <c r="G750" s="32"/>
    </row>
    <row r="751">
      <c r="E751" s="32"/>
      <c r="F751" s="32"/>
      <c r="G751" s="32"/>
    </row>
    <row r="752">
      <c r="E752" s="32"/>
      <c r="F752" s="32"/>
      <c r="G752" s="32"/>
    </row>
    <row r="753">
      <c r="E753" s="32"/>
      <c r="F753" s="32"/>
      <c r="G753" s="32"/>
    </row>
    <row r="754">
      <c r="E754" s="32"/>
      <c r="F754" s="32"/>
      <c r="G754" s="32"/>
    </row>
    <row r="755">
      <c r="E755" s="32"/>
      <c r="F755" s="32"/>
      <c r="G755" s="32"/>
    </row>
    <row r="756">
      <c r="E756" s="32"/>
      <c r="F756" s="32"/>
      <c r="G756" s="32"/>
    </row>
    <row r="757">
      <c r="E757" s="32"/>
      <c r="F757" s="32"/>
      <c r="G757" s="32"/>
    </row>
    <row r="758">
      <c r="E758" s="32"/>
      <c r="F758" s="32"/>
      <c r="G758" s="32"/>
    </row>
    <row r="759">
      <c r="E759" s="32"/>
      <c r="F759" s="32"/>
      <c r="G759" s="32"/>
    </row>
    <row r="760">
      <c r="E760" s="32"/>
      <c r="F760" s="32"/>
      <c r="G760" s="32"/>
    </row>
    <row r="761">
      <c r="E761" s="32"/>
      <c r="F761" s="32"/>
      <c r="G761" s="32"/>
    </row>
    <row r="762">
      <c r="E762" s="32"/>
      <c r="F762" s="32"/>
      <c r="G762" s="32"/>
    </row>
    <row r="763">
      <c r="E763" s="32"/>
      <c r="F763" s="32"/>
      <c r="G763" s="32"/>
    </row>
    <row r="764">
      <c r="E764" s="32"/>
      <c r="F764" s="32"/>
      <c r="G764" s="32"/>
    </row>
    <row r="765">
      <c r="E765" s="32"/>
      <c r="F765" s="32"/>
      <c r="G765" s="32"/>
    </row>
    <row r="766">
      <c r="E766" s="32"/>
      <c r="F766" s="32"/>
      <c r="G766" s="32"/>
    </row>
    <row r="767">
      <c r="E767" s="32"/>
      <c r="F767" s="32"/>
      <c r="G767" s="32"/>
    </row>
    <row r="768">
      <c r="E768" s="32"/>
      <c r="F768" s="32"/>
      <c r="G768" s="32"/>
    </row>
    <row r="769">
      <c r="E769" s="32"/>
      <c r="F769" s="32"/>
      <c r="G769" s="32"/>
    </row>
    <row r="770">
      <c r="E770" s="32"/>
      <c r="F770" s="32"/>
      <c r="G770" s="32"/>
    </row>
    <row r="771">
      <c r="E771" s="32"/>
      <c r="F771" s="32"/>
      <c r="G771" s="32"/>
    </row>
    <row r="772">
      <c r="E772" s="32"/>
      <c r="F772" s="32"/>
      <c r="G772" s="32"/>
    </row>
    <row r="773">
      <c r="E773" s="32"/>
      <c r="F773" s="32"/>
      <c r="G773" s="32"/>
    </row>
    <row r="774">
      <c r="E774" s="32"/>
      <c r="F774" s="32"/>
      <c r="G774" s="32"/>
    </row>
    <row r="775">
      <c r="E775" s="32"/>
      <c r="F775" s="32"/>
      <c r="G775" s="32"/>
    </row>
    <row r="776">
      <c r="E776" s="32"/>
      <c r="F776" s="32"/>
      <c r="G776" s="32"/>
    </row>
    <row r="777">
      <c r="E777" s="32"/>
      <c r="F777" s="32"/>
      <c r="G777" s="32"/>
    </row>
    <row r="778">
      <c r="E778" s="32"/>
      <c r="F778" s="32"/>
      <c r="G778" s="32"/>
    </row>
    <row r="779">
      <c r="E779" s="32"/>
      <c r="F779" s="32"/>
      <c r="G779" s="32"/>
    </row>
    <row r="780">
      <c r="E780" s="32"/>
      <c r="F780" s="32"/>
      <c r="G780" s="32"/>
    </row>
    <row r="781">
      <c r="E781" s="32"/>
      <c r="F781" s="32"/>
      <c r="G781" s="32"/>
    </row>
    <row r="782">
      <c r="E782" s="32"/>
      <c r="F782" s="32"/>
      <c r="G782" s="32"/>
    </row>
    <row r="783">
      <c r="E783" s="32"/>
      <c r="F783" s="32"/>
      <c r="G783" s="32"/>
    </row>
    <row r="784">
      <c r="E784" s="32"/>
      <c r="F784" s="32"/>
      <c r="G784" s="32"/>
    </row>
    <row r="785">
      <c r="E785" s="32"/>
      <c r="F785" s="32"/>
      <c r="G785" s="32"/>
    </row>
    <row r="786">
      <c r="E786" s="32"/>
      <c r="F786" s="32"/>
      <c r="G786" s="32"/>
    </row>
    <row r="787">
      <c r="E787" s="32"/>
      <c r="F787" s="32"/>
      <c r="G787" s="32"/>
    </row>
    <row r="788">
      <c r="E788" s="32"/>
      <c r="F788" s="32"/>
      <c r="G788" s="32"/>
    </row>
    <row r="789">
      <c r="E789" s="32"/>
      <c r="F789" s="32"/>
      <c r="G789" s="32"/>
    </row>
    <row r="790">
      <c r="E790" s="32"/>
      <c r="F790" s="32"/>
      <c r="G790" s="32"/>
    </row>
    <row r="791">
      <c r="E791" s="32"/>
      <c r="F791" s="32"/>
      <c r="G791" s="32"/>
    </row>
    <row r="792">
      <c r="E792" s="32"/>
      <c r="F792" s="32"/>
      <c r="G792" s="32"/>
    </row>
    <row r="793">
      <c r="E793" s="32"/>
      <c r="F793" s="32"/>
      <c r="G793" s="32"/>
    </row>
    <row r="794">
      <c r="E794" s="32"/>
      <c r="F794" s="32"/>
      <c r="G794" s="32"/>
    </row>
    <row r="795">
      <c r="E795" s="32"/>
      <c r="F795" s="32"/>
      <c r="G795" s="32"/>
    </row>
    <row r="796">
      <c r="E796" s="32"/>
      <c r="F796" s="32"/>
      <c r="G796" s="32"/>
    </row>
    <row r="797">
      <c r="E797" s="32"/>
      <c r="F797" s="32"/>
      <c r="G797" s="32"/>
    </row>
    <row r="798">
      <c r="E798" s="32"/>
      <c r="F798" s="32"/>
      <c r="G798" s="32"/>
    </row>
    <row r="799">
      <c r="E799" s="32"/>
      <c r="F799" s="32"/>
      <c r="G799" s="32"/>
    </row>
    <row r="800">
      <c r="E800" s="32"/>
      <c r="F800" s="32"/>
      <c r="G800" s="32"/>
    </row>
    <row r="801">
      <c r="E801" s="32"/>
      <c r="F801" s="32"/>
      <c r="G801" s="32"/>
    </row>
    <row r="802">
      <c r="E802" s="32"/>
      <c r="F802" s="32"/>
      <c r="G802" s="32"/>
    </row>
    <row r="803">
      <c r="E803" s="32"/>
      <c r="F803" s="32"/>
      <c r="G803" s="32"/>
    </row>
    <row r="804">
      <c r="E804" s="32"/>
      <c r="F804" s="32"/>
      <c r="G804" s="32"/>
    </row>
    <row r="805">
      <c r="E805" s="32"/>
      <c r="F805" s="32"/>
      <c r="G805" s="32"/>
    </row>
    <row r="806">
      <c r="E806" s="32"/>
      <c r="F806" s="32"/>
      <c r="G806" s="32"/>
    </row>
    <row r="807">
      <c r="E807" s="32"/>
      <c r="F807" s="32"/>
      <c r="G807" s="32"/>
    </row>
    <row r="808">
      <c r="E808" s="32"/>
      <c r="F808" s="32"/>
      <c r="G808" s="32"/>
    </row>
    <row r="809">
      <c r="E809" s="32"/>
      <c r="F809" s="32"/>
      <c r="G809" s="32"/>
    </row>
    <row r="810">
      <c r="E810" s="32"/>
      <c r="F810" s="32"/>
      <c r="G810" s="32"/>
    </row>
    <row r="811">
      <c r="E811" s="32"/>
      <c r="F811" s="32"/>
      <c r="G811" s="32"/>
    </row>
    <row r="812">
      <c r="E812" s="32"/>
      <c r="F812" s="32"/>
      <c r="G812" s="32"/>
    </row>
    <row r="813">
      <c r="E813" s="32"/>
      <c r="F813" s="32"/>
      <c r="G813" s="32"/>
    </row>
    <row r="814">
      <c r="E814" s="32"/>
      <c r="F814" s="32"/>
      <c r="G814" s="32"/>
    </row>
    <row r="815">
      <c r="E815" s="32"/>
      <c r="F815" s="32"/>
      <c r="G815" s="32"/>
    </row>
    <row r="816">
      <c r="E816" s="32"/>
      <c r="F816" s="32"/>
      <c r="G816" s="32"/>
    </row>
    <row r="817">
      <c r="E817" s="32"/>
      <c r="F817" s="32"/>
      <c r="G817" s="32"/>
    </row>
    <row r="818">
      <c r="E818" s="32"/>
      <c r="F818" s="32"/>
      <c r="G818" s="32"/>
    </row>
    <row r="819">
      <c r="E819" s="32"/>
      <c r="F819" s="32"/>
      <c r="G819" s="32"/>
    </row>
    <row r="820">
      <c r="E820" s="32"/>
      <c r="F820" s="32"/>
      <c r="G820" s="32"/>
    </row>
    <row r="821">
      <c r="E821" s="32"/>
      <c r="F821" s="32"/>
      <c r="G821" s="32"/>
    </row>
    <row r="822">
      <c r="E822" s="32"/>
      <c r="F822" s="32"/>
      <c r="G822" s="32"/>
    </row>
    <row r="823">
      <c r="E823" s="32"/>
      <c r="F823" s="32"/>
      <c r="G823" s="32"/>
    </row>
    <row r="824">
      <c r="E824" s="32"/>
      <c r="F824" s="32"/>
      <c r="G824" s="32"/>
    </row>
    <row r="825">
      <c r="E825" s="32"/>
      <c r="F825" s="32"/>
      <c r="G825" s="32"/>
    </row>
    <row r="826">
      <c r="E826" s="32"/>
      <c r="F826" s="32"/>
      <c r="G826" s="32"/>
    </row>
    <row r="827">
      <c r="E827" s="32"/>
      <c r="F827" s="32"/>
      <c r="G827" s="32"/>
    </row>
    <row r="828">
      <c r="E828" s="32"/>
      <c r="F828" s="32"/>
      <c r="G828" s="32"/>
    </row>
    <row r="829">
      <c r="E829" s="32"/>
      <c r="F829" s="32"/>
      <c r="G829" s="32"/>
    </row>
    <row r="830">
      <c r="E830" s="32"/>
      <c r="F830" s="32"/>
      <c r="G830" s="32"/>
    </row>
    <row r="831">
      <c r="E831" s="32"/>
      <c r="F831" s="32"/>
      <c r="G831" s="32"/>
    </row>
    <row r="832">
      <c r="E832" s="32"/>
      <c r="F832" s="32"/>
      <c r="G832" s="32"/>
    </row>
    <row r="833">
      <c r="E833" s="32"/>
      <c r="F833" s="32"/>
      <c r="G833" s="32"/>
    </row>
    <row r="834">
      <c r="E834" s="32"/>
      <c r="F834" s="32"/>
      <c r="G834" s="32"/>
    </row>
    <row r="835">
      <c r="E835" s="32"/>
      <c r="F835" s="32"/>
      <c r="G835" s="32"/>
    </row>
    <row r="836">
      <c r="E836" s="32"/>
      <c r="F836" s="32"/>
      <c r="G836" s="32"/>
    </row>
    <row r="837">
      <c r="E837" s="32"/>
      <c r="F837" s="32"/>
      <c r="G837" s="32"/>
    </row>
    <row r="838">
      <c r="E838" s="32"/>
      <c r="F838" s="32"/>
      <c r="G838" s="32"/>
    </row>
    <row r="839">
      <c r="E839" s="32"/>
      <c r="F839" s="32"/>
      <c r="G839" s="32"/>
    </row>
    <row r="840">
      <c r="E840" s="32"/>
      <c r="F840" s="32"/>
      <c r="G840" s="32"/>
    </row>
    <row r="841">
      <c r="E841" s="32"/>
      <c r="F841" s="32"/>
      <c r="G841" s="32"/>
    </row>
    <row r="842">
      <c r="E842" s="32"/>
      <c r="F842" s="32"/>
      <c r="G842" s="32"/>
    </row>
    <row r="843">
      <c r="E843" s="32"/>
      <c r="F843" s="32"/>
      <c r="G843" s="32"/>
    </row>
    <row r="844">
      <c r="E844" s="32"/>
      <c r="F844" s="32"/>
      <c r="G844" s="32"/>
    </row>
    <row r="845">
      <c r="E845" s="32"/>
      <c r="F845" s="32"/>
      <c r="G845" s="32"/>
    </row>
    <row r="846">
      <c r="E846" s="32"/>
      <c r="F846" s="32"/>
      <c r="G846" s="32"/>
    </row>
    <row r="847">
      <c r="E847" s="32"/>
      <c r="F847" s="32"/>
      <c r="G847" s="32"/>
    </row>
    <row r="848">
      <c r="E848" s="32"/>
      <c r="F848" s="32"/>
      <c r="G848" s="32"/>
    </row>
    <row r="849">
      <c r="E849" s="32"/>
      <c r="F849" s="32"/>
      <c r="G849" s="32"/>
    </row>
    <row r="850">
      <c r="E850" s="32"/>
      <c r="F850" s="32"/>
      <c r="G850" s="32"/>
    </row>
    <row r="851">
      <c r="E851" s="32"/>
      <c r="F851" s="32"/>
      <c r="G851" s="32"/>
    </row>
    <row r="852">
      <c r="E852" s="32"/>
      <c r="F852" s="32"/>
      <c r="G852" s="32"/>
    </row>
    <row r="853">
      <c r="E853" s="32"/>
      <c r="F853" s="32"/>
      <c r="G853" s="32"/>
    </row>
    <row r="854">
      <c r="E854" s="32"/>
      <c r="F854" s="32"/>
      <c r="G854" s="32"/>
    </row>
    <row r="855">
      <c r="E855" s="32"/>
      <c r="F855" s="32"/>
      <c r="G855" s="32"/>
    </row>
    <row r="856">
      <c r="E856" s="32"/>
      <c r="F856" s="32"/>
      <c r="G856" s="32"/>
    </row>
    <row r="857">
      <c r="E857" s="32"/>
      <c r="F857" s="32"/>
      <c r="G857" s="32"/>
    </row>
    <row r="858">
      <c r="E858" s="32"/>
      <c r="F858" s="32"/>
      <c r="G858" s="32"/>
    </row>
    <row r="859">
      <c r="E859" s="32"/>
      <c r="F859" s="32"/>
      <c r="G859" s="32"/>
    </row>
    <row r="860">
      <c r="E860" s="32"/>
      <c r="F860" s="32"/>
      <c r="G860" s="32"/>
    </row>
    <row r="861">
      <c r="E861" s="32"/>
      <c r="F861" s="32"/>
      <c r="G861" s="32"/>
    </row>
    <row r="862">
      <c r="E862" s="32"/>
      <c r="F862" s="32"/>
      <c r="G862" s="32"/>
    </row>
    <row r="863">
      <c r="E863" s="32"/>
      <c r="F863" s="32"/>
      <c r="G863" s="32"/>
    </row>
    <row r="864">
      <c r="E864" s="32"/>
      <c r="F864" s="32"/>
      <c r="G864" s="32"/>
    </row>
    <row r="865">
      <c r="E865" s="32"/>
      <c r="F865" s="32"/>
      <c r="G865" s="32"/>
    </row>
    <row r="866">
      <c r="E866" s="32"/>
      <c r="F866" s="32"/>
      <c r="G866" s="32"/>
    </row>
    <row r="867">
      <c r="E867" s="32"/>
      <c r="F867" s="32"/>
      <c r="G867" s="32"/>
    </row>
    <row r="868">
      <c r="E868" s="32"/>
      <c r="F868" s="32"/>
      <c r="G868" s="32"/>
    </row>
    <row r="869">
      <c r="E869" s="32"/>
      <c r="F869" s="32"/>
      <c r="G869" s="32"/>
    </row>
    <row r="870">
      <c r="E870" s="32"/>
      <c r="F870" s="32"/>
      <c r="G870" s="32"/>
    </row>
    <row r="871">
      <c r="E871" s="32"/>
      <c r="F871" s="32"/>
      <c r="G871" s="32"/>
    </row>
    <row r="872">
      <c r="E872" s="32"/>
      <c r="F872" s="32"/>
      <c r="G872" s="32"/>
    </row>
    <row r="873">
      <c r="E873" s="32"/>
      <c r="F873" s="32"/>
      <c r="G873" s="32"/>
    </row>
    <row r="874">
      <c r="E874" s="32"/>
      <c r="F874" s="32"/>
      <c r="G874" s="32"/>
    </row>
    <row r="875">
      <c r="E875" s="32"/>
      <c r="F875" s="32"/>
      <c r="G875" s="32"/>
    </row>
    <row r="876">
      <c r="E876" s="32"/>
      <c r="F876" s="32"/>
      <c r="G876" s="32"/>
    </row>
    <row r="877">
      <c r="E877" s="32"/>
      <c r="F877" s="32"/>
      <c r="G877" s="32"/>
    </row>
    <row r="878">
      <c r="E878" s="32"/>
      <c r="F878" s="32"/>
      <c r="G878" s="32"/>
    </row>
    <row r="879">
      <c r="E879" s="32"/>
      <c r="F879" s="32"/>
      <c r="G879" s="32"/>
    </row>
    <row r="880">
      <c r="E880" s="32"/>
      <c r="F880" s="32"/>
      <c r="G880" s="32"/>
    </row>
    <row r="881">
      <c r="E881" s="32"/>
      <c r="F881" s="32"/>
      <c r="G881" s="32"/>
    </row>
    <row r="882">
      <c r="E882" s="32"/>
      <c r="F882" s="32"/>
      <c r="G882" s="32"/>
    </row>
    <row r="883">
      <c r="E883" s="32"/>
      <c r="F883" s="32"/>
      <c r="G883" s="32"/>
    </row>
    <row r="884">
      <c r="E884" s="32"/>
      <c r="F884" s="32"/>
      <c r="G884" s="32"/>
    </row>
    <row r="885">
      <c r="E885" s="32"/>
      <c r="F885" s="32"/>
      <c r="G885" s="32"/>
    </row>
    <row r="886">
      <c r="E886" s="32"/>
      <c r="F886" s="32"/>
      <c r="G886" s="32"/>
    </row>
    <row r="887">
      <c r="E887" s="32"/>
      <c r="F887" s="32"/>
      <c r="G887" s="32"/>
    </row>
    <row r="888">
      <c r="E888" s="32"/>
      <c r="F888" s="32"/>
      <c r="G888" s="32"/>
    </row>
    <row r="889">
      <c r="E889" s="32"/>
      <c r="F889" s="32"/>
      <c r="G889" s="32"/>
    </row>
    <row r="890">
      <c r="E890" s="32"/>
      <c r="F890" s="32"/>
      <c r="G890" s="32"/>
    </row>
    <row r="891">
      <c r="E891" s="32"/>
      <c r="F891" s="32"/>
      <c r="G891" s="32"/>
    </row>
    <row r="892">
      <c r="E892" s="32"/>
      <c r="F892" s="32"/>
      <c r="G892" s="32"/>
    </row>
    <row r="893">
      <c r="E893" s="32"/>
      <c r="F893" s="32"/>
      <c r="G893" s="32"/>
    </row>
    <row r="894">
      <c r="E894" s="32"/>
      <c r="F894" s="32"/>
      <c r="G894" s="32"/>
    </row>
    <row r="895">
      <c r="E895" s="32"/>
      <c r="F895" s="32"/>
      <c r="G895" s="32"/>
    </row>
    <row r="896">
      <c r="E896" s="32"/>
      <c r="F896" s="32"/>
      <c r="G896" s="32"/>
    </row>
    <row r="897">
      <c r="E897" s="32"/>
      <c r="F897" s="32"/>
      <c r="G897" s="32"/>
    </row>
    <row r="898">
      <c r="E898" s="32"/>
      <c r="F898" s="32"/>
      <c r="G898" s="32"/>
    </row>
    <row r="899">
      <c r="E899" s="32"/>
      <c r="F899" s="32"/>
      <c r="G899" s="32"/>
    </row>
    <row r="900">
      <c r="E900" s="32"/>
      <c r="F900" s="32"/>
      <c r="G900" s="32"/>
    </row>
    <row r="901">
      <c r="E901" s="32"/>
      <c r="F901" s="32"/>
      <c r="G901" s="32"/>
    </row>
    <row r="902">
      <c r="E902" s="32"/>
      <c r="F902" s="32"/>
      <c r="G902" s="32"/>
    </row>
    <row r="903">
      <c r="E903" s="32"/>
      <c r="F903" s="32"/>
      <c r="G903" s="32"/>
    </row>
    <row r="904">
      <c r="E904" s="32"/>
      <c r="F904" s="32"/>
      <c r="G904" s="32"/>
    </row>
    <row r="905">
      <c r="E905" s="32"/>
      <c r="F905" s="32"/>
      <c r="G905" s="32"/>
    </row>
    <row r="906">
      <c r="E906" s="32"/>
      <c r="F906" s="32"/>
      <c r="G906" s="32"/>
    </row>
    <row r="907">
      <c r="E907" s="32"/>
      <c r="F907" s="32"/>
      <c r="G907" s="32"/>
    </row>
    <row r="908">
      <c r="E908" s="32"/>
      <c r="F908" s="32"/>
      <c r="G908" s="32"/>
    </row>
    <row r="909">
      <c r="E909" s="32"/>
      <c r="F909" s="32"/>
      <c r="G909" s="32"/>
    </row>
    <row r="910">
      <c r="E910" s="32"/>
      <c r="F910" s="32"/>
      <c r="G910" s="32"/>
    </row>
    <row r="911">
      <c r="E911" s="32"/>
      <c r="F911" s="32"/>
      <c r="G911" s="32"/>
    </row>
    <row r="912">
      <c r="E912" s="32"/>
      <c r="F912" s="32"/>
      <c r="G912" s="32"/>
    </row>
    <row r="913">
      <c r="E913" s="32"/>
      <c r="F913" s="32"/>
      <c r="G913" s="32"/>
    </row>
    <row r="914">
      <c r="E914" s="32"/>
      <c r="F914" s="32"/>
      <c r="G914" s="32"/>
    </row>
    <row r="915">
      <c r="E915" s="32"/>
      <c r="F915" s="32"/>
      <c r="G915" s="32"/>
    </row>
    <row r="916">
      <c r="E916" s="32"/>
      <c r="F916" s="32"/>
      <c r="G916" s="32"/>
    </row>
    <row r="917">
      <c r="E917" s="32"/>
      <c r="F917" s="32"/>
      <c r="G917" s="32"/>
    </row>
    <row r="918">
      <c r="E918" s="32"/>
      <c r="F918" s="32"/>
      <c r="G918" s="32"/>
    </row>
    <row r="919">
      <c r="E919" s="32"/>
      <c r="F919" s="32"/>
      <c r="G919" s="32"/>
    </row>
    <row r="920">
      <c r="E920" s="32"/>
      <c r="F920" s="32"/>
      <c r="G920" s="32"/>
    </row>
    <row r="921">
      <c r="E921" s="32"/>
      <c r="F921" s="32"/>
      <c r="G921" s="32"/>
    </row>
    <row r="922">
      <c r="E922" s="32"/>
      <c r="F922" s="32"/>
      <c r="G922" s="32"/>
    </row>
    <row r="923">
      <c r="E923" s="32"/>
      <c r="F923" s="32"/>
      <c r="G923" s="32"/>
    </row>
    <row r="924">
      <c r="E924" s="32"/>
      <c r="F924" s="32"/>
      <c r="G924" s="32"/>
    </row>
    <row r="925">
      <c r="E925" s="32"/>
      <c r="F925" s="32"/>
      <c r="G925" s="32"/>
    </row>
    <row r="926">
      <c r="E926" s="32"/>
      <c r="F926" s="32"/>
      <c r="G926" s="32"/>
    </row>
    <row r="927">
      <c r="E927" s="32"/>
      <c r="F927" s="32"/>
      <c r="G927" s="32"/>
    </row>
    <row r="928">
      <c r="E928" s="32"/>
      <c r="F928" s="32"/>
      <c r="G928" s="32"/>
    </row>
    <row r="929">
      <c r="E929" s="32"/>
      <c r="F929" s="32"/>
      <c r="G929" s="32"/>
    </row>
    <row r="930">
      <c r="E930" s="32"/>
      <c r="F930" s="32"/>
      <c r="G930" s="32"/>
    </row>
    <row r="931">
      <c r="E931" s="32"/>
      <c r="F931" s="32"/>
      <c r="G931" s="32"/>
    </row>
    <row r="932">
      <c r="E932" s="32"/>
      <c r="F932" s="32"/>
      <c r="G932" s="32"/>
    </row>
    <row r="933">
      <c r="E933" s="32"/>
      <c r="F933" s="32"/>
      <c r="G933" s="32"/>
    </row>
    <row r="934">
      <c r="E934" s="32"/>
      <c r="F934" s="32"/>
      <c r="G934" s="32"/>
    </row>
    <row r="935">
      <c r="E935" s="32"/>
      <c r="F935" s="32"/>
      <c r="G935" s="32"/>
    </row>
    <row r="936">
      <c r="E936" s="32"/>
      <c r="F936" s="32"/>
      <c r="G936" s="32"/>
    </row>
    <row r="937">
      <c r="E937" s="32"/>
      <c r="F937" s="32"/>
      <c r="G937" s="32"/>
    </row>
    <row r="938">
      <c r="E938" s="32"/>
      <c r="F938" s="32"/>
      <c r="G938" s="32"/>
    </row>
    <row r="939">
      <c r="E939" s="32"/>
      <c r="F939" s="32"/>
      <c r="G939" s="32"/>
    </row>
    <row r="940">
      <c r="E940" s="32"/>
      <c r="F940" s="32"/>
      <c r="G940" s="32"/>
    </row>
    <row r="941">
      <c r="E941" s="32"/>
      <c r="F941" s="32"/>
      <c r="G941" s="32"/>
    </row>
    <row r="942">
      <c r="E942" s="32"/>
      <c r="F942" s="32"/>
      <c r="G942" s="32"/>
    </row>
    <row r="943">
      <c r="E943" s="32"/>
      <c r="F943" s="32"/>
      <c r="G943" s="32"/>
    </row>
    <row r="944">
      <c r="E944" s="32"/>
      <c r="F944" s="32"/>
      <c r="G944" s="32"/>
    </row>
    <row r="945">
      <c r="E945" s="32"/>
      <c r="F945" s="32"/>
      <c r="G945" s="32"/>
    </row>
    <row r="946">
      <c r="E946" s="32"/>
      <c r="F946" s="32"/>
      <c r="G946" s="32"/>
    </row>
    <row r="947">
      <c r="E947" s="32"/>
      <c r="F947" s="32"/>
      <c r="G947" s="32"/>
    </row>
    <row r="948">
      <c r="E948" s="32"/>
      <c r="F948" s="32"/>
      <c r="G948" s="32"/>
    </row>
    <row r="949">
      <c r="E949" s="32"/>
      <c r="F949" s="32"/>
      <c r="G949" s="32"/>
    </row>
    <row r="950">
      <c r="E950" s="32"/>
      <c r="F950" s="32"/>
      <c r="G950" s="32"/>
    </row>
    <row r="951">
      <c r="E951" s="32"/>
      <c r="F951" s="32"/>
      <c r="G951" s="32"/>
    </row>
    <row r="952">
      <c r="E952" s="32"/>
      <c r="F952" s="32"/>
      <c r="G952" s="32"/>
    </row>
    <row r="953">
      <c r="E953" s="32"/>
      <c r="F953" s="32"/>
      <c r="G953" s="32"/>
    </row>
    <row r="954">
      <c r="E954" s="32"/>
      <c r="F954" s="32"/>
      <c r="G954" s="32"/>
    </row>
    <row r="955">
      <c r="E955" s="32"/>
      <c r="F955" s="32"/>
      <c r="G955" s="32"/>
    </row>
    <row r="956">
      <c r="E956" s="32"/>
      <c r="F956" s="32"/>
      <c r="G956" s="32"/>
    </row>
    <row r="957">
      <c r="E957" s="32"/>
      <c r="F957" s="32"/>
      <c r="G957" s="32"/>
    </row>
    <row r="958">
      <c r="E958" s="32"/>
      <c r="F958" s="32"/>
      <c r="G958" s="32"/>
    </row>
    <row r="959">
      <c r="E959" s="32"/>
      <c r="F959" s="32"/>
      <c r="G959" s="32"/>
    </row>
    <row r="960">
      <c r="E960" s="32"/>
      <c r="F960" s="32"/>
      <c r="G960" s="32"/>
    </row>
    <row r="961">
      <c r="E961" s="32"/>
      <c r="F961" s="32"/>
      <c r="G961" s="32"/>
    </row>
    <row r="962">
      <c r="E962" s="32"/>
      <c r="F962" s="32"/>
      <c r="G962" s="32"/>
    </row>
    <row r="963">
      <c r="E963" s="32"/>
      <c r="F963" s="32"/>
      <c r="G963" s="32"/>
    </row>
    <row r="964">
      <c r="E964" s="32"/>
      <c r="F964" s="32"/>
      <c r="G964" s="32"/>
    </row>
    <row r="965">
      <c r="E965" s="32"/>
      <c r="F965" s="32"/>
      <c r="G965" s="32"/>
    </row>
    <row r="966">
      <c r="E966" s="32"/>
      <c r="F966" s="32"/>
      <c r="G966" s="32"/>
    </row>
    <row r="967">
      <c r="E967" s="32"/>
      <c r="F967" s="32"/>
      <c r="G967" s="32"/>
    </row>
    <row r="968">
      <c r="E968" s="32"/>
      <c r="F968" s="32"/>
      <c r="G968" s="32"/>
    </row>
    <row r="969">
      <c r="E969" s="32"/>
      <c r="F969" s="32"/>
      <c r="G969" s="32"/>
    </row>
    <row r="970">
      <c r="E970" s="32"/>
      <c r="F970" s="32"/>
      <c r="G970" s="32"/>
    </row>
    <row r="971">
      <c r="E971" s="32"/>
      <c r="F971" s="32"/>
      <c r="G971" s="32"/>
    </row>
    <row r="972">
      <c r="E972" s="32"/>
      <c r="F972" s="32"/>
      <c r="G972" s="32"/>
    </row>
    <row r="973">
      <c r="E973" s="32"/>
      <c r="F973" s="32"/>
      <c r="G973" s="32"/>
    </row>
    <row r="974">
      <c r="E974" s="32"/>
      <c r="F974" s="32"/>
      <c r="G974" s="32"/>
    </row>
    <row r="975">
      <c r="E975" s="32"/>
      <c r="F975" s="32"/>
      <c r="G975" s="32"/>
    </row>
    <row r="976">
      <c r="E976" s="32"/>
      <c r="F976" s="32"/>
      <c r="G976" s="32"/>
    </row>
    <row r="977">
      <c r="E977" s="32"/>
      <c r="F977" s="32"/>
      <c r="G977" s="32"/>
    </row>
    <row r="978">
      <c r="E978" s="32"/>
      <c r="F978" s="32"/>
      <c r="G978" s="32"/>
    </row>
    <row r="979">
      <c r="E979" s="32"/>
      <c r="F979" s="32"/>
      <c r="G979" s="32"/>
    </row>
    <row r="980">
      <c r="E980" s="32"/>
      <c r="F980" s="32"/>
      <c r="G980" s="32"/>
    </row>
    <row r="981">
      <c r="E981" s="32"/>
      <c r="F981" s="32"/>
      <c r="G981" s="32"/>
    </row>
    <row r="982">
      <c r="E982" s="32"/>
      <c r="F982" s="32"/>
      <c r="G982" s="32"/>
    </row>
    <row r="983">
      <c r="E983" s="32"/>
      <c r="F983" s="32"/>
      <c r="G983" s="32"/>
    </row>
    <row r="984">
      <c r="E984" s="32"/>
      <c r="F984" s="32"/>
      <c r="G984" s="32"/>
    </row>
    <row r="985">
      <c r="E985" s="32"/>
      <c r="F985" s="32"/>
      <c r="G985" s="32"/>
    </row>
    <row r="986">
      <c r="E986" s="32"/>
      <c r="F986" s="32"/>
      <c r="G986" s="32"/>
    </row>
    <row r="987">
      <c r="E987" s="32"/>
      <c r="F987" s="32"/>
      <c r="G987" s="32"/>
    </row>
    <row r="988">
      <c r="E988" s="32"/>
      <c r="F988" s="32"/>
      <c r="G988" s="32"/>
    </row>
    <row r="989">
      <c r="E989" s="32"/>
      <c r="F989" s="32"/>
      <c r="G989" s="32"/>
    </row>
    <row r="990">
      <c r="E990" s="32"/>
      <c r="F990" s="32"/>
      <c r="G990" s="32"/>
    </row>
    <row r="991">
      <c r="E991" s="32"/>
      <c r="F991" s="32"/>
      <c r="G991" s="32"/>
    </row>
    <row r="992">
      <c r="E992" s="32"/>
      <c r="F992" s="32"/>
      <c r="G992" s="32"/>
    </row>
    <row r="993">
      <c r="E993" s="32"/>
      <c r="F993" s="32"/>
      <c r="G993" s="32"/>
    </row>
    <row r="994">
      <c r="E994" s="32"/>
      <c r="F994" s="32"/>
      <c r="G994" s="32"/>
    </row>
    <row r="995">
      <c r="E995" s="32"/>
      <c r="F995" s="32"/>
      <c r="G995" s="32"/>
    </row>
    <row r="996">
      <c r="E996" s="32"/>
      <c r="F996" s="32"/>
      <c r="G996" s="32"/>
    </row>
    <row r="997">
      <c r="E997" s="32"/>
      <c r="F997" s="32"/>
      <c r="G997" s="32"/>
    </row>
    <row r="998">
      <c r="E998" s="32"/>
      <c r="F998" s="32"/>
      <c r="G998" s="32"/>
    </row>
    <row r="999">
      <c r="E999" s="32"/>
      <c r="F999" s="32"/>
      <c r="G999" s="32"/>
    </row>
    <row r="1000">
      <c r="E1000" s="32"/>
      <c r="F1000" s="32"/>
      <c r="G1000" s="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5" max="5" width="27.13"/>
    <col customWidth="1" min="6" max="6" width="37.63"/>
  </cols>
  <sheetData>
    <row r="1">
      <c r="A1" s="42" t="s">
        <v>0</v>
      </c>
      <c r="B1" s="42" t="s">
        <v>1</v>
      </c>
      <c r="C1" s="42" t="s">
        <v>2</v>
      </c>
      <c r="D1" s="42" t="s">
        <v>1903</v>
      </c>
      <c r="E1" s="42" t="s">
        <v>1904</v>
      </c>
      <c r="F1" s="55" t="s">
        <v>1905</v>
      </c>
      <c r="G1" s="56" t="s">
        <v>1906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9">
        <v>1216.0</v>
      </c>
      <c r="B2" s="9" t="s">
        <v>50</v>
      </c>
      <c r="C2" s="9" t="str">
        <f t="shared" ref="C2:C14" si="1">CONCATENATE(D2,"_",E2)</f>
        <v>1_Hooter Strobe for HCD in Field</v>
      </c>
      <c r="D2" s="11">
        <v>1.0</v>
      </c>
      <c r="E2" s="66" t="s">
        <v>1907</v>
      </c>
      <c r="F2" s="48" t="s">
        <v>1908</v>
      </c>
      <c r="G2" s="47">
        <v>0.0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9">
        <v>1216.0</v>
      </c>
      <c r="B3" s="9" t="s">
        <v>50</v>
      </c>
      <c r="C3" s="9" t="str">
        <f t="shared" si="1"/>
        <v>2_Hooter strobe for TFMS in Field</v>
      </c>
      <c r="D3" s="11">
        <v>2.0</v>
      </c>
      <c r="E3" s="66" t="s">
        <v>1909</v>
      </c>
      <c r="F3" s="48" t="s">
        <v>1910</v>
      </c>
      <c r="G3" s="47">
        <v>0.0</v>
      </c>
    </row>
    <row r="4">
      <c r="A4" s="9">
        <v>1216.0</v>
      </c>
      <c r="B4" s="9" t="s">
        <v>50</v>
      </c>
      <c r="C4" s="9" t="str">
        <f t="shared" si="1"/>
        <v>3_Hooter strobe for TTL P/H in Field</v>
      </c>
      <c r="D4" s="11">
        <v>3.0</v>
      </c>
      <c r="E4" s="66" t="s">
        <v>1911</v>
      </c>
      <c r="F4" s="48" t="s">
        <v>1912</v>
      </c>
      <c r="G4" s="47">
        <v>0.0</v>
      </c>
    </row>
    <row r="5">
      <c r="A5" s="9">
        <v>1216.0</v>
      </c>
      <c r="B5" s="9" t="s">
        <v>50</v>
      </c>
      <c r="C5" s="9" t="str">
        <f t="shared" si="1"/>
        <v>4_Hooter strobe for TWL P/H in Field</v>
      </c>
      <c r="D5" s="11">
        <v>4.0</v>
      </c>
      <c r="E5" s="66" t="s">
        <v>1913</v>
      </c>
      <c r="F5" s="48" t="s">
        <v>1914</v>
      </c>
      <c r="G5" s="47">
        <v>0.0</v>
      </c>
    </row>
    <row r="6">
      <c r="A6" s="9">
        <v>1216.0</v>
      </c>
      <c r="B6" s="9" t="s">
        <v>50</v>
      </c>
      <c r="C6" s="9" t="str">
        <f t="shared" si="1"/>
        <v>5_Hooter strobe for TFMS in Field</v>
      </c>
      <c r="D6" s="11">
        <v>5.0</v>
      </c>
      <c r="E6" s="66" t="s">
        <v>1909</v>
      </c>
      <c r="F6" s="48" t="s">
        <v>1915</v>
      </c>
      <c r="G6" s="47">
        <v>0.0</v>
      </c>
    </row>
    <row r="7">
      <c r="A7" s="9">
        <v>1216.0</v>
      </c>
      <c r="B7" s="9" t="s">
        <v>50</v>
      </c>
      <c r="C7" s="9" t="str">
        <f t="shared" si="1"/>
        <v>6_HOOTER_FOR_ESD_CR</v>
      </c>
      <c r="D7" s="11">
        <v>6.0</v>
      </c>
      <c r="E7" s="67" t="s">
        <v>1916</v>
      </c>
      <c r="F7" s="48" t="s">
        <v>1917</v>
      </c>
      <c r="G7" s="47">
        <v>0.0</v>
      </c>
    </row>
    <row r="8">
      <c r="A8" s="9">
        <v>1216.0</v>
      </c>
      <c r="B8" s="9" t="s">
        <v>50</v>
      </c>
      <c r="C8" s="9" t="str">
        <f t="shared" si="1"/>
        <v>7_HOOTER_FOR_HC_CR</v>
      </c>
      <c r="D8" s="11">
        <v>7.0</v>
      </c>
      <c r="E8" s="67" t="s">
        <v>1918</v>
      </c>
      <c r="F8" s="48" t="s">
        <v>1680</v>
      </c>
      <c r="G8" s="47">
        <v>0.0</v>
      </c>
    </row>
    <row r="9">
      <c r="A9" s="9">
        <v>1216.0</v>
      </c>
      <c r="B9" s="9" t="s">
        <v>50</v>
      </c>
      <c r="C9" s="9" t="str">
        <f t="shared" si="1"/>
        <v>8_HOOTER_FOR_RIMSEAL_CR</v>
      </c>
      <c r="D9" s="11">
        <v>8.0</v>
      </c>
      <c r="E9" s="67" t="s">
        <v>1919</v>
      </c>
      <c r="F9" s="48" t="s">
        <v>1851</v>
      </c>
      <c r="G9" s="47">
        <v>0.0</v>
      </c>
    </row>
    <row r="10">
      <c r="A10" s="9">
        <v>1216.0</v>
      </c>
      <c r="B10" s="9" t="s">
        <v>50</v>
      </c>
      <c r="C10" s="9" t="str">
        <f t="shared" si="1"/>
        <v>9_HOOTER_ACK_STATUS</v>
      </c>
      <c r="D10" s="11">
        <v>9.0</v>
      </c>
      <c r="E10" s="67" t="s">
        <v>1920</v>
      </c>
      <c r="F10" s="48" t="s">
        <v>1921</v>
      </c>
      <c r="G10" s="47">
        <v>0.0</v>
      </c>
    </row>
    <row r="11">
      <c r="A11" s="9">
        <v>1216.0</v>
      </c>
      <c r="B11" s="9" t="s">
        <v>50</v>
      </c>
      <c r="C11" s="9" t="str">
        <f t="shared" si="1"/>
        <v>10_HOOTER_RESET_STATUS</v>
      </c>
      <c r="D11" s="11">
        <v>10.0</v>
      </c>
      <c r="E11" s="21" t="s">
        <v>1922</v>
      </c>
      <c r="F11" s="48" t="s">
        <v>1923</v>
      </c>
      <c r="G11" s="47">
        <v>0.0</v>
      </c>
    </row>
    <row r="12">
      <c r="A12" s="9">
        <v>1216.0</v>
      </c>
      <c r="B12" s="9" t="s">
        <v>50</v>
      </c>
      <c r="C12" s="9" t="str">
        <f t="shared" si="1"/>
        <v>11_HOOTER_ACK</v>
      </c>
      <c r="D12" s="11">
        <v>11.0</v>
      </c>
      <c r="E12" s="21" t="s">
        <v>1924</v>
      </c>
      <c r="F12" s="48" t="s">
        <v>1925</v>
      </c>
      <c r="G12" s="47">
        <v>0.0</v>
      </c>
    </row>
    <row r="13">
      <c r="A13" s="9">
        <v>1216.0</v>
      </c>
      <c r="B13" s="9" t="s">
        <v>50</v>
      </c>
      <c r="C13" s="9" t="str">
        <f t="shared" si="1"/>
        <v>12_HOOTER_RESET</v>
      </c>
      <c r="D13" s="11">
        <v>12.0</v>
      </c>
      <c r="E13" s="21" t="s">
        <v>1926</v>
      </c>
      <c r="F13" s="48" t="s">
        <v>1927</v>
      </c>
      <c r="G13" s="47">
        <v>0.0</v>
      </c>
    </row>
    <row r="14">
      <c r="A14" s="9">
        <v>1216.0</v>
      </c>
      <c r="B14" s="9" t="s">
        <v>50</v>
      </c>
      <c r="C14" s="9" t="str">
        <f t="shared" si="1"/>
        <v>13_Hooter strobe for TFMS in Field</v>
      </c>
      <c r="D14" s="11">
        <v>13.0</v>
      </c>
      <c r="E14" s="66" t="s">
        <v>1909</v>
      </c>
      <c r="F14" s="48" t="s">
        <v>1928</v>
      </c>
      <c r="G14" s="47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75"/>
    <col customWidth="1" min="5" max="5" width="12.38"/>
    <col customWidth="1" min="6" max="6" width="29.38"/>
    <col customWidth="1" min="7" max="7" width="27.38"/>
    <col customWidth="1" min="9" max="9" width="30.63"/>
    <col customWidth="1" min="10" max="10" width="12.25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>
      <c r="A1" s="42" t="s">
        <v>0</v>
      </c>
      <c r="B1" s="42" t="s">
        <v>1</v>
      </c>
      <c r="C1" s="42" t="s">
        <v>2</v>
      </c>
      <c r="D1" s="42" t="s">
        <v>1929</v>
      </c>
      <c r="E1" s="33" t="s">
        <v>1930</v>
      </c>
      <c r="F1" s="33" t="s">
        <v>1</v>
      </c>
      <c r="G1" s="55" t="s">
        <v>1931</v>
      </c>
      <c r="H1" s="68" t="s">
        <v>14</v>
      </c>
      <c r="I1" s="55" t="s">
        <v>1932</v>
      </c>
      <c r="J1" s="68" t="s">
        <v>1933</v>
      </c>
      <c r="K1" s="69" t="s">
        <v>1934</v>
      </c>
      <c r="L1" s="69" t="s">
        <v>1935</v>
      </c>
      <c r="M1" s="69" t="s">
        <v>1936</v>
      </c>
      <c r="N1" s="69" t="s">
        <v>1937</v>
      </c>
      <c r="O1" s="69" t="s">
        <v>1938</v>
      </c>
      <c r="P1" s="69" t="s">
        <v>1939</v>
      </c>
      <c r="Q1" s="69" t="s">
        <v>1940</v>
      </c>
      <c r="R1" s="69" t="s">
        <v>1941</v>
      </c>
      <c r="S1" s="69" t="s">
        <v>1942</v>
      </c>
      <c r="T1" s="69" t="s">
        <v>1943</v>
      </c>
      <c r="U1" s="69" t="s">
        <v>1944</v>
      </c>
      <c r="V1" s="69" t="s">
        <v>1945</v>
      </c>
      <c r="W1" s="69" t="s">
        <v>1946</v>
      </c>
      <c r="X1" s="69" t="s">
        <v>1947</v>
      </c>
      <c r="Y1" s="69" t="s">
        <v>1948</v>
      </c>
      <c r="Z1" s="69" t="s">
        <v>1949</v>
      </c>
      <c r="AA1" s="69" t="s">
        <v>1950</v>
      </c>
      <c r="AB1" s="69" t="s">
        <v>1951</v>
      </c>
      <c r="AC1" s="69" t="s">
        <v>1952</v>
      </c>
      <c r="AD1" s="69" t="s">
        <v>1953</v>
      </c>
      <c r="AE1" s="69" t="s">
        <v>1954</v>
      </c>
      <c r="AF1" s="69" t="s">
        <v>1955</v>
      </c>
    </row>
    <row r="2">
      <c r="A2" s="9">
        <v>1216.0</v>
      </c>
      <c r="B2" s="9" t="s">
        <v>50</v>
      </c>
      <c r="C2" s="9" t="str">
        <f t="shared" ref="C2:C22" si="1">CONCATENATE(D2,"_",F2)</f>
        <v>ESD-01_Res Cor HPCL</v>
      </c>
      <c r="D2" s="70" t="s">
        <v>1956</v>
      </c>
      <c r="E2" s="37" t="s">
        <v>1956</v>
      </c>
      <c r="F2" s="22" t="s">
        <v>1957</v>
      </c>
      <c r="G2" s="53" t="s">
        <v>1958</v>
      </c>
      <c r="H2" s="54">
        <v>0.0</v>
      </c>
      <c r="I2" s="53" t="s">
        <v>1959</v>
      </c>
      <c r="J2" s="54">
        <v>0.0</v>
      </c>
      <c r="K2" s="9" t="s">
        <v>1960</v>
      </c>
      <c r="L2" s="9">
        <v>0.0</v>
      </c>
      <c r="M2" s="9" t="s">
        <v>1961</v>
      </c>
      <c r="N2" s="9">
        <v>0.0</v>
      </c>
      <c r="O2" s="9" t="s">
        <v>1962</v>
      </c>
      <c r="P2" s="9">
        <v>0.0</v>
      </c>
      <c r="Q2" s="9" t="s">
        <v>1963</v>
      </c>
      <c r="R2" s="9">
        <v>0.0</v>
      </c>
      <c r="S2" s="9" t="s">
        <v>1964</v>
      </c>
      <c r="T2" s="9">
        <v>0.0</v>
      </c>
      <c r="U2" s="71" t="s">
        <v>1965</v>
      </c>
      <c r="V2" s="9">
        <v>0.0</v>
      </c>
      <c r="W2" s="9" t="s">
        <v>1966</v>
      </c>
      <c r="X2" s="9">
        <v>0.0</v>
      </c>
      <c r="Y2" s="9" t="s">
        <v>1967</v>
      </c>
      <c r="Z2" s="9">
        <v>0.0</v>
      </c>
      <c r="AA2" s="9" t="s">
        <v>1917</v>
      </c>
      <c r="AB2" s="9">
        <v>0.0</v>
      </c>
      <c r="AC2" s="9" t="s">
        <v>1968</v>
      </c>
      <c r="AD2" s="9">
        <v>0.0</v>
      </c>
      <c r="AE2" s="9" t="s">
        <v>1969</v>
      </c>
      <c r="AF2" s="63">
        <v>0.0</v>
      </c>
    </row>
    <row r="3">
      <c r="A3" s="9">
        <v>1216.0</v>
      </c>
      <c r="B3" s="9" t="s">
        <v>50</v>
      </c>
      <c r="C3" s="9" t="str">
        <f t="shared" si="1"/>
        <v>ESD-02_CONTROL ROOM</v>
      </c>
      <c r="D3" s="70" t="s">
        <v>1970</v>
      </c>
      <c r="E3" s="37" t="s">
        <v>1970</v>
      </c>
      <c r="F3" s="22" t="s">
        <v>1971</v>
      </c>
      <c r="G3" s="53" t="s">
        <v>1972</v>
      </c>
      <c r="H3" s="54">
        <v>0.0</v>
      </c>
      <c r="I3" s="53" t="s">
        <v>1973</v>
      </c>
      <c r="J3" s="54">
        <v>0.0</v>
      </c>
      <c r="K3" s="9" t="s">
        <v>1960</v>
      </c>
      <c r="L3" s="9">
        <v>0.0</v>
      </c>
      <c r="M3" s="9" t="s">
        <v>1961</v>
      </c>
      <c r="N3" s="9">
        <v>0.0</v>
      </c>
      <c r="O3" s="9" t="s">
        <v>1962</v>
      </c>
      <c r="P3" s="9">
        <v>0.0</v>
      </c>
      <c r="Q3" s="9" t="s">
        <v>1963</v>
      </c>
      <c r="R3" s="9">
        <v>0.0</v>
      </c>
      <c r="S3" s="9" t="s">
        <v>1964</v>
      </c>
      <c r="T3" s="9">
        <v>0.0</v>
      </c>
      <c r="U3" s="71" t="s">
        <v>1965</v>
      </c>
      <c r="V3" s="9">
        <v>0.0</v>
      </c>
      <c r="W3" s="9" t="s">
        <v>1966</v>
      </c>
      <c r="X3" s="9">
        <v>0.0</v>
      </c>
      <c r="Y3" s="9" t="s">
        <v>1967</v>
      </c>
      <c r="Z3" s="9">
        <v>0.0</v>
      </c>
      <c r="AA3" s="9" t="s">
        <v>1917</v>
      </c>
      <c r="AB3" s="9">
        <v>0.0</v>
      </c>
      <c r="AC3" s="9" t="s">
        <v>1968</v>
      </c>
      <c r="AD3" s="9">
        <v>0.0</v>
      </c>
      <c r="AE3" s="9" t="s">
        <v>1969</v>
      </c>
      <c r="AF3" s="63">
        <v>0.0</v>
      </c>
    </row>
    <row r="4">
      <c r="A4" s="9">
        <v>1216.0</v>
      </c>
      <c r="B4" s="9" t="s">
        <v>50</v>
      </c>
      <c r="C4" s="9" t="str">
        <f t="shared" si="1"/>
        <v>ESD-03_TLF GANTRY - 01</v>
      </c>
      <c r="D4" s="70" t="s">
        <v>1974</v>
      </c>
      <c r="E4" s="37" t="s">
        <v>1974</v>
      </c>
      <c r="F4" s="22" t="s">
        <v>1975</v>
      </c>
      <c r="G4" s="53" t="s">
        <v>1976</v>
      </c>
      <c r="H4" s="54">
        <v>0.0</v>
      </c>
      <c r="I4" s="53" t="s">
        <v>1977</v>
      </c>
      <c r="J4" s="54">
        <v>0.0</v>
      </c>
      <c r="K4" s="9" t="s">
        <v>1960</v>
      </c>
      <c r="L4" s="9">
        <v>0.0</v>
      </c>
      <c r="M4" s="9" t="s">
        <v>1961</v>
      </c>
      <c r="N4" s="9">
        <v>0.0</v>
      </c>
      <c r="O4" s="9" t="s">
        <v>1962</v>
      </c>
      <c r="P4" s="9">
        <v>0.0</v>
      </c>
      <c r="Q4" s="9" t="s">
        <v>1963</v>
      </c>
      <c r="R4" s="9">
        <v>0.0</v>
      </c>
      <c r="S4" s="9" t="s">
        <v>1964</v>
      </c>
      <c r="T4" s="9">
        <v>0.0</v>
      </c>
      <c r="U4" s="71" t="s">
        <v>1965</v>
      </c>
      <c r="V4" s="9">
        <v>0.0</v>
      </c>
      <c r="W4" s="9" t="s">
        <v>1966</v>
      </c>
      <c r="X4" s="9">
        <v>0.0</v>
      </c>
      <c r="Y4" s="9" t="s">
        <v>1967</v>
      </c>
      <c r="Z4" s="9">
        <v>0.0</v>
      </c>
      <c r="AA4" s="9" t="s">
        <v>1917</v>
      </c>
      <c r="AB4" s="9">
        <v>0.0</v>
      </c>
      <c r="AC4" s="9" t="s">
        <v>1968</v>
      </c>
      <c r="AD4" s="9">
        <v>0.0</v>
      </c>
      <c r="AE4" s="9" t="s">
        <v>1969</v>
      </c>
      <c r="AF4" s="63">
        <v>0.0</v>
      </c>
    </row>
    <row r="5">
      <c r="A5" s="9">
        <v>1216.0</v>
      </c>
      <c r="B5" s="9" t="s">
        <v>50</v>
      </c>
      <c r="C5" s="9" t="str">
        <f t="shared" si="1"/>
        <v>ESD-04_TLF GANTRY - 02</v>
      </c>
      <c r="D5" s="70" t="s">
        <v>1978</v>
      </c>
      <c r="E5" s="37" t="s">
        <v>1978</v>
      </c>
      <c r="F5" s="22" t="s">
        <v>1979</v>
      </c>
      <c r="G5" s="53" t="s">
        <v>1980</v>
      </c>
      <c r="H5" s="54">
        <v>0.0</v>
      </c>
      <c r="I5" s="53" t="s">
        <v>1981</v>
      </c>
      <c r="J5" s="54">
        <v>0.0</v>
      </c>
      <c r="K5" s="9" t="s">
        <v>1960</v>
      </c>
      <c r="L5" s="9">
        <v>0.0</v>
      </c>
      <c r="M5" s="9" t="s">
        <v>1961</v>
      </c>
      <c r="N5" s="9">
        <v>0.0</v>
      </c>
      <c r="O5" s="9" t="s">
        <v>1962</v>
      </c>
      <c r="P5" s="9">
        <v>0.0</v>
      </c>
      <c r="Q5" s="9" t="s">
        <v>1963</v>
      </c>
      <c r="R5" s="9">
        <v>0.0</v>
      </c>
      <c r="S5" s="9" t="s">
        <v>1964</v>
      </c>
      <c r="T5" s="9">
        <v>0.0</v>
      </c>
      <c r="U5" s="71" t="s">
        <v>1965</v>
      </c>
      <c r="V5" s="9">
        <v>0.0</v>
      </c>
      <c r="W5" s="9" t="s">
        <v>1966</v>
      </c>
      <c r="X5" s="9">
        <v>0.0</v>
      </c>
      <c r="Y5" s="9" t="s">
        <v>1967</v>
      </c>
      <c r="Z5" s="9">
        <v>0.0</v>
      </c>
      <c r="AA5" s="9" t="s">
        <v>1917</v>
      </c>
      <c r="AB5" s="9">
        <v>0.0</v>
      </c>
      <c r="AC5" s="9" t="s">
        <v>1968</v>
      </c>
      <c r="AD5" s="9">
        <v>0.0</v>
      </c>
      <c r="AE5" s="9" t="s">
        <v>1969</v>
      </c>
      <c r="AF5" s="63">
        <v>0.0</v>
      </c>
    </row>
    <row r="6">
      <c r="A6" s="9">
        <v>1216.0</v>
      </c>
      <c r="B6" s="9" t="s">
        <v>50</v>
      </c>
      <c r="C6" s="9" t="str">
        <f t="shared" si="1"/>
        <v>ESD-05_TWG PUMP HOUSE</v>
      </c>
      <c r="D6" s="70" t="s">
        <v>1982</v>
      </c>
      <c r="E6" s="37" t="s">
        <v>1982</v>
      </c>
      <c r="F6" s="22" t="s">
        <v>1800</v>
      </c>
      <c r="G6" s="53" t="s">
        <v>1983</v>
      </c>
      <c r="H6" s="54">
        <v>0.0</v>
      </c>
      <c r="I6" s="53" t="s">
        <v>1984</v>
      </c>
      <c r="J6" s="54">
        <v>0.0</v>
      </c>
      <c r="K6" s="9" t="s">
        <v>1960</v>
      </c>
      <c r="L6" s="9">
        <v>0.0</v>
      </c>
      <c r="M6" s="9" t="s">
        <v>1961</v>
      </c>
      <c r="N6" s="9">
        <v>0.0</v>
      </c>
      <c r="O6" s="9" t="s">
        <v>1962</v>
      </c>
      <c r="P6" s="9">
        <v>0.0</v>
      </c>
      <c r="Q6" s="9" t="s">
        <v>1963</v>
      </c>
      <c r="R6" s="9">
        <v>0.0</v>
      </c>
      <c r="S6" s="9" t="s">
        <v>1964</v>
      </c>
      <c r="T6" s="9">
        <v>0.0</v>
      </c>
      <c r="U6" s="71" t="s">
        <v>1965</v>
      </c>
      <c r="V6" s="9">
        <v>0.0</v>
      </c>
      <c r="W6" s="9" t="s">
        <v>1966</v>
      </c>
      <c r="X6" s="9">
        <v>0.0</v>
      </c>
      <c r="Y6" s="9" t="s">
        <v>1967</v>
      </c>
      <c r="Z6" s="9">
        <v>0.0</v>
      </c>
      <c r="AA6" s="9" t="s">
        <v>1917</v>
      </c>
      <c r="AB6" s="9">
        <v>0.0</v>
      </c>
      <c r="AC6" s="9" t="s">
        <v>1968</v>
      </c>
      <c r="AD6" s="9">
        <v>0.0</v>
      </c>
      <c r="AE6" s="9" t="s">
        <v>1969</v>
      </c>
      <c r="AF6" s="63">
        <v>0.0</v>
      </c>
    </row>
    <row r="7">
      <c r="A7" s="9">
        <v>1216.0</v>
      </c>
      <c r="B7" s="9" t="s">
        <v>50</v>
      </c>
      <c r="C7" s="9" t="str">
        <f t="shared" si="1"/>
        <v>ESD-06_ADMIN BUILDING</v>
      </c>
      <c r="D7" s="70" t="s">
        <v>1985</v>
      </c>
      <c r="E7" s="37" t="s">
        <v>1985</v>
      </c>
      <c r="F7" s="22" t="s">
        <v>1986</v>
      </c>
      <c r="G7" s="53" t="s">
        <v>1987</v>
      </c>
      <c r="H7" s="54">
        <v>0.0</v>
      </c>
      <c r="I7" s="53" t="s">
        <v>1988</v>
      </c>
      <c r="J7" s="54">
        <v>0.0</v>
      </c>
      <c r="K7" s="9" t="s">
        <v>1960</v>
      </c>
      <c r="L7" s="9">
        <v>0.0</v>
      </c>
      <c r="M7" s="9" t="s">
        <v>1961</v>
      </c>
      <c r="N7" s="9">
        <v>0.0</v>
      </c>
      <c r="O7" s="9" t="s">
        <v>1962</v>
      </c>
      <c r="P7" s="9">
        <v>0.0</v>
      </c>
      <c r="Q7" s="9" t="s">
        <v>1963</v>
      </c>
      <c r="R7" s="9">
        <v>0.0</v>
      </c>
      <c r="S7" s="9" t="s">
        <v>1964</v>
      </c>
      <c r="T7" s="9">
        <v>0.0</v>
      </c>
      <c r="U7" s="71" t="s">
        <v>1965</v>
      </c>
      <c r="V7" s="9">
        <v>0.0</v>
      </c>
      <c r="W7" s="9" t="s">
        <v>1966</v>
      </c>
      <c r="X7" s="9">
        <v>0.0</v>
      </c>
      <c r="Y7" s="9" t="s">
        <v>1967</v>
      </c>
      <c r="Z7" s="9">
        <v>0.0</v>
      </c>
      <c r="AA7" s="9" t="s">
        <v>1917</v>
      </c>
      <c r="AB7" s="9">
        <v>0.0</v>
      </c>
      <c r="AC7" s="9" t="s">
        <v>1968</v>
      </c>
      <c r="AD7" s="9">
        <v>0.0</v>
      </c>
      <c r="AE7" s="9" t="s">
        <v>1969</v>
      </c>
      <c r="AF7" s="63">
        <v>0.0</v>
      </c>
    </row>
    <row r="8">
      <c r="A8" s="9">
        <v>1216.0</v>
      </c>
      <c r="B8" s="9" t="s">
        <v>50</v>
      </c>
      <c r="C8" s="9" t="str">
        <f t="shared" si="1"/>
        <v>ESD-07_TTL PUMP HOUSE</v>
      </c>
      <c r="D8" s="70" t="s">
        <v>1989</v>
      </c>
      <c r="E8" s="37" t="s">
        <v>1989</v>
      </c>
      <c r="F8" s="22" t="s">
        <v>1691</v>
      </c>
      <c r="G8" s="53" t="s">
        <v>1990</v>
      </c>
      <c r="H8" s="54">
        <v>0.0</v>
      </c>
      <c r="I8" s="53" t="s">
        <v>1991</v>
      </c>
      <c r="J8" s="54">
        <v>0.0</v>
      </c>
      <c r="K8" s="9" t="s">
        <v>1960</v>
      </c>
      <c r="L8" s="9">
        <v>0.0</v>
      </c>
      <c r="M8" s="9" t="s">
        <v>1961</v>
      </c>
      <c r="N8" s="9">
        <v>0.0</v>
      </c>
      <c r="O8" s="9" t="s">
        <v>1962</v>
      </c>
      <c r="P8" s="9">
        <v>0.0</v>
      </c>
      <c r="Q8" s="9" t="s">
        <v>1963</v>
      </c>
      <c r="R8" s="9">
        <v>0.0</v>
      </c>
      <c r="S8" s="9" t="s">
        <v>1964</v>
      </c>
      <c r="T8" s="9">
        <v>0.0</v>
      </c>
      <c r="U8" s="71" t="s">
        <v>1965</v>
      </c>
      <c r="V8" s="9">
        <v>0.0</v>
      </c>
      <c r="W8" s="9" t="s">
        <v>1966</v>
      </c>
      <c r="X8" s="9">
        <v>0.0</v>
      </c>
      <c r="Y8" s="9" t="s">
        <v>1967</v>
      </c>
      <c r="Z8" s="9">
        <v>0.0</v>
      </c>
      <c r="AA8" s="9" t="s">
        <v>1917</v>
      </c>
      <c r="AB8" s="9">
        <v>0.0</v>
      </c>
      <c r="AC8" s="9" t="s">
        <v>1968</v>
      </c>
      <c r="AD8" s="9">
        <v>0.0</v>
      </c>
      <c r="AE8" s="9" t="s">
        <v>1969</v>
      </c>
      <c r="AF8" s="63">
        <v>0.0</v>
      </c>
    </row>
    <row r="9">
      <c r="A9" s="9">
        <v>1216.0</v>
      </c>
      <c r="B9" s="9" t="s">
        <v>50</v>
      </c>
      <c r="C9" s="9" t="str">
        <f t="shared" si="1"/>
        <v>ESD-08_SECURITY GATE</v>
      </c>
      <c r="D9" s="70" t="s">
        <v>1992</v>
      </c>
      <c r="E9" s="37" t="s">
        <v>1992</v>
      </c>
      <c r="F9" s="22" t="s">
        <v>1993</v>
      </c>
      <c r="G9" s="53" t="s">
        <v>1994</v>
      </c>
      <c r="H9" s="54">
        <v>0.0</v>
      </c>
      <c r="I9" s="53" t="s">
        <v>1995</v>
      </c>
      <c r="J9" s="54">
        <v>0.0</v>
      </c>
      <c r="K9" s="9" t="s">
        <v>1960</v>
      </c>
      <c r="L9" s="9">
        <v>0.0</v>
      </c>
      <c r="M9" s="9" t="s">
        <v>1961</v>
      </c>
      <c r="N9" s="9">
        <v>0.0</v>
      </c>
      <c r="O9" s="9" t="s">
        <v>1962</v>
      </c>
      <c r="P9" s="9">
        <v>0.0</v>
      </c>
      <c r="Q9" s="9" t="s">
        <v>1963</v>
      </c>
      <c r="R9" s="9">
        <v>0.0</v>
      </c>
      <c r="S9" s="9" t="s">
        <v>1964</v>
      </c>
      <c r="T9" s="9">
        <v>0.0</v>
      </c>
      <c r="U9" s="71" t="s">
        <v>1965</v>
      </c>
      <c r="V9" s="9">
        <v>0.0</v>
      </c>
      <c r="W9" s="9" t="s">
        <v>1966</v>
      </c>
      <c r="X9" s="9">
        <v>0.0</v>
      </c>
      <c r="Y9" s="9" t="s">
        <v>1967</v>
      </c>
      <c r="Z9" s="9">
        <v>0.0</v>
      </c>
      <c r="AA9" s="9" t="s">
        <v>1917</v>
      </c>
      <c r="AB9" s="9">
        <v>0.0</v>
      </c>
      <c r="AC9" s="9" t="s">
        <v>1968</v>
      </c>
      <c r="AD9" s="9">
        <v>0.0</v>
      </c>
      <c r="AE9" s="9" t="s">
        <v>1969</v>
      </c>
      <c r="AF9" s="63">
        <v>0.0</v>
      </c>
    </row>
    <row r="10">
      <c r="A10" s="9">
        <v>1216.0</v>
      </c>
      <c r="B10" s="9" t="s">
        <v>50</v>
      </c>
      <c r="C10" s="9" t="str">
        <f t="shared" si="1"/>
        <v>ESD-09_TLF GANTRY - 02 NEAR BAY - 09</v>
      </c>
      <c r="D10" s="70" t="s">
        <v>1996</v>
      </c>
      <c r="E10" s="37" t="s">
        <v>1996</v>
      </c>
      <c r="F10" s="22" t="s">
        <v>1997</v>
      </c>
      <c r="G10" s="53" t="s">
        <v>1998</v>
      </c>
      <c r="H10" s="54">
        <v>0.0</v>
      </c>
      <c r="I10" s="53" t="s">
        <v>1999</v>
      </c>
      <c r="J10" s="54">
        <v>0.0</v>
      </c>
      <c r="K10" s="9" t="s">
        <v>1960</v>
      </c>
      <c r="L10" s="9">
        <v>0.0</v>
      </c>
      <c r="M10" s="9" t="s">
        <v>1961</v>
      </c>
      <c r="N10" s="9">
        <v>0.0</v>
      </c>
      <c r="O10" s="9" t="s">
        <v>1962</v>
      </c>
      <c r="P10" s="9">
        <v>0.0</v>
      </c>
      <c r="Q10" s="9" t="s">
        <v>1963</v>
      </c>
      <c r="R10" s="9">
        <v>0.0</v>
      </c>
      <c r="S10" s="9" t="s">
        <v>1964</v>
      </c>
      <c r="T10" s="9">
        <v>0.0</v>
      </c>
      <c r="U10" s="71" t="s">
        <v>1965</v>
      </c>
      <c r="V10" s="9">
        <v>0.0</v>
      </c>
      <c r="W10" s="9" t="s">
        <v>1966</v>
      </c>
      <c r="X10" s="9">
        <v>0.0</v>
      </c>
      <c r="Y10" s="9" t="s">
        <v>1967</v>
      </c>
      <c r="Z10" s="9">
        <v>0.0</v>
      </c>
      <c r="AA10" s="9" t="s">
        <v>1917</v>
      </c>
      <c r="AB10" s="9">
        <v>0.0</v>
      </c>
      <c r="AC10" s="9" t="s">
        <v>1968</v>
      </c>
      <c r="AD10" s="9">
        <v>0.0</v>
      </c>
      <c r="AE10" s="9" t="s">
        <v>1969</v>
      </c>
      <c r="AF10" s="63">
        <v>0.0</v>
      </c>
    </row>
    <row r="11">
      <c r="A11" s="9">
        <v>1216.0</v>
      </c>
      <c r="B11" s="9" t="s">
        <v>50</v>
      </c>
      <c r="C11" s="9" t="str">
        <f t="shared" si="1"/>
        <v>ESD-10_NEAR TANK 26</v>
      </c>
      <c r="D11" s="70" t="s">
        <v>2000</v>
      </c>
      <c r="E11" s="37" t="s">
        <v>2000</v>
      </c>
      <c r="F11" s="22" t="s">
        <v>2001</v>
      </c>
      <c r="G11" s="53" t="s">
        <v>2002</v>
      </c>
      <c r="H11" s="54">
        <v>0.0</v>
      </c>
      <c r="I11" s="53" t="s">
        <v>2003</v>
      </c>
      <c r="J11" s="54">
        <v>0.0</v>
      </c>
      <c r="K11" s="9" t="s">
        <v>1960</v>
      </c>
      <c r="L11" s="9">
        <v>0.0</v>
      </c>
      <c r="M11" s="9" t="s">
        <v>1961</v>
      </c>
      <c r="N11" s="9">
        <v>0.0</v>
      </c>
      <c r="O11" s="9" t="s">
        <v>1962</v>
      </c>
      <c r="P11" s="9">
        <v>0.0</v>
      </c>
      <c r="Q11" s="9" t="s">
        <v>1963</v>
      </c>
      <c r="R11" s="9">
        <v>0.0</v>
      </c>
      <c r="S11" s="9" t="s">
        <v>1964</v>
      </c>
      <c r="T11" s="9">
        <v>0.0</v>
      </c>
      <c r="U11" s="71" t="s">
        <v>1965</v>
      </c>
      <c r="V11" s="9">
        <v>0.0</v>
      </c>
      <c r="W11" s="9" t="s">
        <v>1966</v>
      </c>
      <c r="X11" s="9">
        <v>0.0</v>
      </c>
      <c r="Y11" s="9" t="s">
        <v>1967</v>
      </c>
      <c r="Z11" s="9">
        <v>0.0</v>
      </c>
      <c r="AA11" s="9" t="s">
        <v>1917</v>
      </c>
      <c r="AB11" s="9">
        <v>0.0</v>
      </c>
      <c r="AC11" s="9" t="s">
        <v>1968</v>
      </c>
      <c r="AD11" s="9">
        <v>0.0</v>
      </c>
      <c r="AE11" s="9" t="s">
        <v>1969</v>
      </c>
      <c r="AF11" s="63">
        <v>0.0</v>
      </c>
    </row>
    <row r="12">
      <c r="A12" s="9">
        <v>1216.0</v>
      </c>
      <c r="B12" s="9" t="s">
        <v>50</v>
      </c>
      <c r="C12" s="9" t="str">
        <f t="shared" si="1"/>
        <v>ESD-12_TWG GANTRY</v>
      </c>
      <c r="D12" s="70" t="s">
        <v>2004</v>
      </c>
      <c r="E12" s="37" t="s">
        <v>2005</v>
      </c>
      <c r="F12" s="22" t="s">
        <v>2006</v>
      </c>
      <c r="G12" s="53" t="s">
        <v>2007</v>
      </c>
      <c r="H12" s="54">
        <v>0.0</v>
      </c>
      <c r="I12" s="53" t="s">
        <v>2008</v>
      </c>
      <c r="J12" s="54">
        <v>0.0</v>
      </c>
      <c r="K12" s="9" t="s">
        <v>1960</v>
      </c>
      <c r="L12" s="9">
        <v>0.0</v>
      </c>
      <c r="M12" s="9" t="s">
        <v>1961</v>
      </c>
      <c r="N12" s="9">
        <v>0.0</v>
      </c>
      <c r="O12" s="9" t="s">
        <v>1962</v>
      </c>
      <c r="P12" s="9">
        <v>0.0</v>
      </c>
      <c r="Q12" s="9" t="s">
        <v>1963</v>
      </c>
      <c r="R12" s="9">
        <v>0.0</v>
      </c>
      <c r="S12" s="9" t="s">
        <v>1964</v>
      </c>
      <c r="T12" s="9">
        <v>0.0</v>
      </c>
      <c r="U12" s="71" t="s">
        <v>1965</v>
      </c>
      <c r="V12" s="9">
        <v>0.0</v>
      </c>
      <c r="W12" s="9" t="s">
        <v>1966</v>
      </c>
      <c r="X12" s="9">
        <v>0.0</v>
      </c>
      <c r="Y12" s="9" t="s">
        <v>1967</v>
      </c>
      <c r="Z12" s="9">
        <v>0.0</v>
      </c>
      <c r="AA12" s="9" t="s">
        <v>1917</v>
      </c>
      <c r="AB12" s="9">
        <v>0.0</v>
      </c>
      <c r="AC12" s="9" t="s">
        <v>1968</v>
      </c>
      <c r="AD12" s="9">
        <v>0.0</v>
      </c>
      <c r="AE12" s="9" t="s">
        <v>1969</v>
      </c>
      <c r="AF12" s="63">
        <v>0.0</v>
      </c>
    </row>
    <row r="13">
      <c r="A13" s="9">
        <v>1216.0</v>
      </c>
      <c r="B13" s="9" t="s">
        <v>50</v>
      </c>
      <c r="C13" s="9" t="str">
        <f t="shared" si="1"/>
        <v>ESD-13_CENTRAL ESD</v>
      </c>
      <c r="D13" s="70" t="s">
        <v>2009</v>
      </c>
      <c r="E13" s="37" t="s">
        <v>2010</v>
      </c>
      <c r="F13" s="22" t="s">
        <v>2011</v>
      </c>
      <c r="G13" s="53" t="s">
        <v>2012</v>
      </c>
      <c r="H13" s="54">
        <v>0.0</v>
      </c>
      <c r="I13" s="72"/>
      <c r="J13" s="72"/>
      <c r="K13" s="9" t="s">
        <v>1960</v>
      </c>
      <c r="L13" s="9">
        <v>0.0</v>
      </c>
      <c r="M13" s="9" t="s">
        <v>1961</v>
      </c>
      <c r="N13" s="9">
        <v>0.0</v>
      </c>
      <c r="O13" s="9" t="s">
        <v>1962</v>
      </c>
      <c r="P13" s="9">
        <v>0.0</v>
      </c>
      <c r="Q13" s="9" t="s">
        <v>1963</v>
      </c>
      <c r="R13" s="9">
        <v>0.0</v>
      </c>
      <c r="S13" s="9" t="s">
        <v>1964</v>
      </c>
      <c r="T13" s="9">
        <v>0.0</v>
      </c>
      <c r="U13" s="71" t="s">
        <v>1965</v>
      </c>
      <c r="V13" s="9">
        <v>0.0</v>
      </c>
      <c r="W13" s="9" t="s">
        <v>1966</v>
      </c>
      <c r="X13" s="9">
        <v>0.0</v>
      </c>
      <c r="Y13" s="9" t="s">
        <v>1967</v>
      </c>
      <c r="Z13" s="9">
        <v>0.0</v>
      </c>
      <c r="AA13" s="9" t="s">
        <v>1917</v>
      </c>
      <c r="AB13" s="9">
        <v>0.0</v>
      </c>
      <c r="AC13" s="9" t="s">
        <v>1968</v>
      </c>
      <c r="AD13" s="9">
        <v>0.0</v>
      </c>
      <c r="AE13" s="9" t="s">
        <v>1969</v>
      </c>
      <c r="AF13" s="63">
        <v>0.0</v>
      </c>
    </row>
    <row r="14">
      <c r="A14" s="9">
        <v>1216.0</v>
      </c>
      <c r="B14" s="9" t="s">
        <v>50</v>
      </c>
      <c r="C14" s="9" t="str">
        <f t="shared" si="1"/>
        <v>ESD-16_PIPELINE ESD</v>
      </c>
      <c r="D14" s="70" t="s">
        <v>2013</v>
      </c>
      <c r="E14" s="37" t="s">
        <v>2014</v>
      </c>
      <c r="F14" s="22" t="s">
        <v>2015</v>
      </c>
      <c r="G14" s="53" t="s">
        <v>2016</v>
      </c>
      <c r="H14" s="54">
        <v>0.0</v>
      </c>
      <c r="I14" s="53" t="s">
        <v>2017</v>
      </c>
      <c r="J14" s="54">
        <v>0.0</v>
      </c>
      <c r="K14" s="9" t="s">
        <v>1960</v>
      </c>
      <c r="L14" s="9">
        <v>0.0</v>
      </c>
      <c r="M14" s="9" t="s">
        <v>1961</v>
      </c>
      <c r="N14" s="9">
        <v>0.0</v>
      </c>
      <c r="O14" s="9" t="s">
        <v>1962</v>
      </c>
      <c r="P14" s="9">
        <v>0.0</v>
      </c>
      <c r="Q14" s="9" t="s">
        <v>1963</v>
      </c>
      <c r="R14" s="9">
        <v>0.0</v>
      </c>
      <c r="S14" s="9" t="s">
        <v>1964</v>
      </c>
      <c r="T14" s="9">
        <v>0.0</v>
      </c>
      <c r="U14" s="71" t="s">
        <v>1965</v>
      </c>
      <c r="V14" s="9">
        <v>0.0</v>
      </c>
      <c r="W14" s="9" t="s">
        <v>1966</v>
      </c>
      <c r="X14" s="9">
        <v>0.0</v>
      </c>
      <c r="Y14" s="9" t="s">
        <v>1967</v>
      </c>
      <c r="Z14" s="9">
        <v>0.0</v>
      </c>
      <c r="AA14" s="9" t="s">
        <v>1917</v>
      </c>
      <c r="AB14" s="9">
        <v>0.0</v>
      </c>
      <c r="AC14" s="9" t="s">
        <v>1968</v>
      </c>
      <c r="AD14" s="9">
        <v>0.0</v>
      </c>
      <c r="AE14" s="9" t="s">
        <v>1969</v>
      </c>
      <c r="AF14" s="63">
        <v>0.0</v>
      </c>
    </row>
    <row r="15">
      <c r="A15" s="9">
        <v>1216.0</v>
      </c>
      <c r="B15" s="9" t="s">
        <v>50</v>
      </c>
      <c r="C15" s="9" t="str">
        <f t="shared" si="1"/>
        <v>ESD-17_ATF GANTRY CATWALK UPSIDE</v>
      </c>
      <c r="D15" s="70" t="s">
        <v>2018</v>
      </c>
      <c r="E15" s="37" t="s">
        <v>2004</v>
      </c>
      <c r="F15" s="22" t="s">
        <v>2019</v>
      </c>
      <c r="G15" s="53" t="s">
        <v>2020</v>
      </c>
      <c r="H15" s="54">
        <v>0.0</v>
      </c>
      <c r="I15" s="53" t="s">
        <v>2021</v>
      </c>
      <c r="J15" s="54">
        <v>0.0</v>
      </c>
      <c r="K15" s="9" t="s">
        <v>1960</v>
      </c>
      <c r="L15" s="9">
        <v>0.0</v>
      </c>
      <c r="M15" s="9" t="s">
        <v>1961</v>
      </c>
      <c r="N15" s="9">
        <v>0.0</v>
      </c>
      <c r="O15" s="9" t="s">
        <v>1962</v>
      </c>
      <c r="P15" s="9">
        <v>0.0</v>
      </c>
      <c r="Q15" s="9" t="s">
        <v>1963</v>
      </c>
      <c r="R15" s="9">
        <v>0.0</v>
      </c>
      <c r="S15" s="9" t="s">
        <v>1964</v>
      </c>
      <c r="T15" s="9">
        <v>0.0</v>
      </c>
      <c r="U15" s="71" t="s">
        <v>1965</v>
      </c>
      <c r="V15" s="9">
        <v>0.0</v>
      </c>
      <c r="W15" s="9" t="s">
        <v>1966</v>
      </c>
      <c r="X15" s="9">
        <v>0.0</v>
      </c>
      <c r="Y15" s="9" t="s">
        <v>1967</v>
      </c>
      <c r="Z15" s="9">
        <v>0.0</v>
      </c>
      <c r="AA15" s="9" t="s">
        <v>1917</v>
      </c>
      <c r="AB15" s="9">
        <v>0.0</v>
      </c>
      <c r="AC15" s="9" t="s">
        <v>1968</v>
      </c>
      <c r="AD15" s="9">
        <v>0.0</v>
      </c>
      <c r="AE15" s="9" t="s">
        <v>1969</v>
      </c>
      <c r="AF15" s="63">
        <v>0.0</v>
      </c>
    </row>
    <row r="16">
      <c r="A16" s="9">
        <v>1216.0</v>
      </c>
      <c r="B16" s="9" t="s">
        <v>50</v>
      </c>
      <c r="C16" s="9" t="str">
        <f t="shared" si="1"/>
        <v>ESD-18_ATF GANTRY CATWALK DOWNSIDE</v>
      </c>
      <c r="D16" s="70" t="s">
        <v>2022</v>
      </c>
      <c r="E16" s="37" t="s">
        <v>2022</v>
      </c>
      <c r="F16" s="22" t="s">
        <v>2023</v>
      </c>
      <c r="G16" s="53" t="s">
        <v>2024</v>
      </c>
      <c r="H16" s="54">
        <v>0.0</v>
      </c>
      <c r="I16" s="53" t="s">
        <v>2025</v>
      </c>
      <c r="J16" s="54">
        <v>0.0</v>
      </c>
      <c r="K16" s="9" t="s">
        <v>1960</v>
      </c>
      <c r="L16" s="9">
        <v>0.0</v>
      </c>
      <c r="M16" s="9" t="s">
        <v>1961</v>
      </c>
      <c r="N16" s="9">
        <v>0.0</v>
      </c>
      <c r="O16" s="9" t="s">
        <v>1962</v>
      </c>
      <c r="P16" s="9">
        <v>0.0</v>
      </c>
      <c r="Q16" s="9" t="s">
        <v>1963</v>
      </c>
      <c r="R16" s="9">
        <v>0.0</v>
      </c>
      <c r="S16" s="9" t="s">
        <v>1964</v>
      </c>
      <c r="T16" s="9">
        <v>0.0</v>
      </c>
      <c r="U16" s="71" t="s">
        <v>1965</v>
      </c>
      <c r="V16" s="9">
        <v>0.0</v>
      </c>
      <c r="W16" s="9" t="s">
        <v>1966</v>
      </c>
      <c r="X16" s="9">
        <v>0.0</v>
      </c>
      <c r="Y16" s="9" t="s">
        <v>1967</v>
      </c>
      <c r="Z16" s="9">
        <v>0.0</v>
      </c>
      <c r="AA16" s="9" t="s">
        <v>1917</v>
      </c>
      <c r="AB16" s="9">
        <v>0.0</v>
      </c>
      <c r="AC16" s="9" t="s">
        <v>1968</v>
      </c>
      <c r="AD16" s="9">
        <v>0.0</v>
      </c>
      <c r="AE16" s="9" t="s">
        <v>1969</v>
      </c>
      <c r="AF16" s="63">
        <v>0.0</v>
      </c>
    </row>
    <row r="17">
      <c r="A17" s="9">
        <v>1216.0</v>
      </c>
      <c r="B17" s="9" t="s">
        <v>50</v>
      </c>
      <c r="C17" s="9" t="str">
        <f t="shared" si="1"/>
        <v>ESD-19_NEAR TANK 01</v>
      </c>
      <c r="D17" s="70" t="s">
        <v>2026</v>
      </c>
      <c r="E17" s="37" t="s">
        <v>2026</v>
      </c>
      <c r="F17" s="22" t="s">
        <v>2027</v>
      </c>
      <c r="G17" s="53" t="s">
        <v>2028</v>
      </c>
      <c r="H17" s="54">
        <v>0.0</v>
      </c>
      <c r="I17" s="53" t="s">
        <v>2029</v>
      </c>
      <c r="J17" s="54">
        <v>0.0</v>
      </c>
      <c r="K17" s="9" t="s">
        <v>1960</v>
      </c>
      <c r="L17" s="9">
        <v>0.0</v>
      </c>
      <c r="M17" s="9" t="s">
        <v>1961</v>
      </c>
      <c r="N17" s="9">
        <v>0.0</v>
      </c>
      <c r="O17" s="9" t="s">
        <v>1962</v>
      </c>
      <c r="P17" s="9">
        <v>0.0</v>
      </c>
      <c r="Q17" s="9" t="s">
        <v>1963</v>
      </c>
      <c r="R17" s="9">
        <v>0.0</v>
      </c>
      <c r="S17" s="9" t="s">
        <v>1964</v>
      </c>
      <c r="T17" s="9">
        <v>0.0</v>
      </c>
      <c r="U17" s="71" t="s">
        <v>1965</v>
      </c>
      <c r="V17" s="9">
        <v>0.0</v>
      </c>
      <c r="W17" s="9" t="s">
        <v>1966</v>
      </c>
      <c r="X17" s="9">
        <v>0.0</v>
      </c>
      <c r="Y17" s="9" t="s">
        <v>1967</v>
      </c>
      <c r="Z17" s="9">
        <v>0.0</v>
      </c>
      <c r="AA17" s="9" t="s">
        <v>1917</v>
      </c>
      <c r="AB17" s="9">
        <v>0.0</v>
      </c>
      <c r="AC17" s="9" t="s">
        <v>1968</v>
      </c>
      <c r="AD17" s="9">
        <v>0.0</v>
      </c>
      <c r="AE17" s="9" t="s">
        <v>1969</v>
      </c>
      <c r="AF17" s="63">
        <v>0.0</v>
      </c>
    </row>
    <row r="18">
      <c r="A18" s="9">
        <v>1216.0</v>
      </c>
      <c r="B18" s="9" t="s">
        <v>50</v>
      </c>
      <c r="C18" s="9" t="str">
        <f t="shared" si="1"/>
        <v>ESD-20_BETWEEN TANK 05 AND TANK 13</v>
      </c>
      <c r="D18" s="70" t="s">
        <v>2030</v>
      </c>
      <c r="E18" s="37" t="s">
        <v>2030</v>
      </c>
      <c r="F18" s="22" t="s">
        <v>2031</v>
      </c>
      <c r="G18" s="53" t="s">
        <v>2032</v>
      </c>
      <c r="H18" s="54">
        <v>0.0</v>
      </c>
      <c r="I18" s="53" t="s">
        <v>2033</v>
      </c>
      <c r="J18" s="54">
        <v>0.0</v>
      </c>
      <c r="K18" s="9" t="s">
        <v>1960</v>
      </c>
      <c r="L18" s="9">
        <v>0.0</v>
      </c>
      <c r="M18" s="9" t="s">
        <v>1961</v>
      </c>
      <c r="N18" s="9">
        <v>0.0</v>
      </c>
      <c r="O18" s="9" t="s">
        <v>1962</v>
      </c>
      <c r="P18" s="9">
        <v>0.0</v>
      </c>
      <c r="Q18" s="9" t="s">
        <v>1963</v>
      </c>
      <c r="R18" s="9">
        <v>0.0</v>
      </c>
      <c r="S18" s="9" t="s">
        <v>1964</v>
      </c>
      <c r="T18" s="9">
        <v>0.0</v>
      </c>
      <c r="U18" s="71" t="s">
        <v>1965</v>
      </c>
      <c r="V18" s="9">
        <v>0.0</v>
      </c>
      <c r="W18" s="9" t="s">
        <v>1966</v>
      </c>
      <c r="X18" s="9">
        <v>0.0</v>
      </c>
      <c r="Y18" s="9" t="s">
        <v>1967</v>
      </c>
      <c r="Z18" s="9">
        <v>0.0</v>
      </c>
      <c r="AA18" s="9" t="s">
        <v>1917</v>
      </c>
      <c r="AB18" s="9">
        <v>0.0</v>
      </c>
      <c r="AC18" s="9" t="s">
        <v>1968</v>
      </c>
      <c r="AD18" s="9">
        <v>0.0</v>
      </c>
      <c r="AE18" s="9" t="s">
        <v>1969</v>
      </c>
      <c r="AF18" s="63">
        <v>0.0</v>
      </c>
    </row>
    <row r="19">
      <c r="A19" s="9">
        <v>1216.0</v>
      </c>
      <c r="B19" s="9" t="s">
        <v>50</v>
      </c>
      <c r="C19" s="9" t="str">
        <f t="shared" si="1"/>
        <v>ESD-21_NEAR TANK 14</v>
      </c>
      <c r="D19" s="70" t="s">
        <v>2034</v>
      </c>
      <c r="E19" s="37" t="s">
        <v>2034</v>
      </c>
      <c r="F19" s="22" t="s">
        <v>2035</v>
      </c>
      <c r="G19" s="53" t="s">
        <v>2036</v>
      </c>
      <c r="H19" s="54">
        <v>0.0</v>
      </c>
      <c r="I19" s="53" t="s">
        <v>2037</v>
      </c>
      <c r="J19" s="72"/>
      <c r="K19" s="9" t="s">
        <v>1960</v>
      </c>
      <c r="L19" s="9">
        <v>0.0</v>
      </c>
      <c r="M19" s="9" t="s">
        <v>1961</v>
      </c>
      <c r="N19" s="9">
        <v>0.0</v>
      </c>
      <c r="O19" s="9" t="s">
        <v>1962</v>
      </c>
      <c r="P19" s="9">
        <v>0.0</v>
      </c>
      <c r="Q19" s="9" t="s">
        <v>1963</v>
      </c>
      <c r="R19" s="9">
        <v>0.0</v>
      </c>
      <c r="S19" s="9" t="s">
        <v>1964</v>
      </c>
      <c r="T19" s="9">
        <v>0.0</v>
      </c>
      <c r="U19" s="71" t="s">
        <v>1965</v>
      </c>
      <c r="V19" s="9">
        <v>0.0</v>
      </c>
      <c r="W19" s="9" t="s">
        <v>1966</v>
      </c>
      <c r="X19" s="9">
        <v>0.0</v>
      </c>
      <c r="Y19" s="9" t="s">
        <v>1967</v>
      </c>
      <c r="Z19" s="9">
        <v>0.0</v>
      </c>
      <c r="AA19" s="9" t="s">
        <v>1917</v>
      </c>
      <c r="AB19" s="9">
        <v>0.0</v>
      </c>
      <c r="AC19" s="9" t="s">
        <v>1968</v>
      </c>
      <c r="AD19" s="9">
        <v>0.0</v>
      </c>
      <c r="AE19" s="9" t="s">
        <v>1969</v>
      </c>
      <c r="AF19" s="63">
        <v>0.0</v>
      </c>
    </row>
    <row r="20">
      <c r="A20" s="9">
        <v>1216.0</v>
      </c>
      <c r="B20" s="9" t="s">
        <v>50</v>
      </c>
      <c r="C20" s="9" t="str">
        <f t="shared" si="1"/>
        <v>ESD-22_NEAR TANK 25</v>
      </c>
      <c r="D20" s="70" t="s">
        <v>2038</v>
      </c>
      <c r="E20" s="37" t="s">
        <v>2038</v>
      </c>
      <c r="F20" s="22" t="s">
        <v>2039</v>
      </c>
      <c r="G20" s="53" t="s">
        <v>2040</v>
      </c>
      <c r="H20" s="54">
        <v>0.0</v>
      </c>
      <c r="I20" s="53" t="s">
        <v>2041</v>
      </c>
      <c r="J20" s="35"/>
      <c r="K20" s="9" t="s">
        <v>1960</v>
      </c>
      <c r="L20" s="9">
        <v>0.0</v>
      </c>
      <c r="M20" s="9" t="s">
        <v>1961</v>
      </c>
      <c r="N20" s="9">
        <v>0.0</v>
      </c>
      <c r="O20" s="9" t="s">
        <v>1962</v>
      </c>
      <c r="P20" s="9">
        <v>0.0</v>
      </c>
      <c r="Q20" s="9" t="s">
        <v>1963</v>
      </c>
      <c r="R20" s="9">
        <v>0.0</v>
      </c>
      <c r="S20" s="9" t="s">
        <v>1964</v>
      </c>
      <c r="T20" s="9">
        <v>0.0</v>
      </c>
      <c r="U20" s="71" t="s">
        <v>1965</v>
      </c>
      <c r="V20" s="9">
        <v>0.0</v>
      </c>
      <c r="W20" s="9" t="s">
        <v>1966</v>
      </c>
      <c r="X20" s="9">
        <v>0.0</v>
      </c>
      <c r="Y20" s="9" t="s">
        <v>1967</v>
      </c>
      <c r="Z20" s="9">
        <v>0.0</v>
      </c>
      <c r="AA20" s="9" t="s">
        <v>1917</v>
      </c>
      <c r="AB20" s="9">
        <v>0.0</v>
      </c>
      <c r="AC20" s="9" t="s">
        <v>1968</v>
      </c>
      <c r="AD20" s="9">
        <v>0.0</v>
      </c>
      <c r="AE20" s="9" t="s">
        <v>1969</v>
      </c>
      <c r="AF20" s="63">
        <v>0.0</v>
      </c>
    </row>
    <row r="21">
      <c r="A21" s="9">
        <v>1216.0</v>
      </c>
      <c r="B21" s="9" t="s">
        <v>50</v>
      </c>
      <c r="C21" s="9" t="str">
        <f t="shared" si="1"/>
        <v>ESD-SOFT_SOFT FROM OIC</v>
      </c>
      <c r="D21" s="70" t="s">
        <v>2042</v>
      </c>
      <c r="E21" s="37" t="s">
        <v>2042</v>
      </c>
      <c r="F21" s="22" t="s">
        <v>2043</v>
      </c>
      <c r="G21" s="53" t="s">
        <v>2044</v>
      </c>
      <c r="H21" s="54">
        <v>0.0</v>
      </c>
      <c r="I21" s="72"/>
      <c r="J21" s="35"/>
      <c r="K21" s="9" t="s">
        <v>1960</v>
      </c>
      <c r="L21" s="9">
        <v>0.0</v>
      </c>
      <c r="M21" s="9" t="s">
        <v>1961</v>
      </c>
      <c r="N21" s="9">
        <v>0.0</v>
      </c>
      <c r="O21" s="9" t="s">
        <v>1962</v>
      </c>
      <c r="P21" s="9">
        <v>0.0</v>
      </c>
      <c r="Q21" s="9" t="s">
        <v>1963</v>
      </c>
      <c r="R21" s="9">
        <v>0.0</v>
      </c>
      <c r="S21" s="9" t="s">
        <v>1964</v>
      </c>
      <c r="T21" s="9">
        <v>0.0</v>
      </c>
      <c r="U21" s="71" t="s">
        <v>1965</v>
      </c>
      <c r="V21" s="9">
        <v>0.0</v>
      </c>
      <c r="W21" s="9" t="s">
        <v>1966</v>
      </c>
      <c r="X21" s="9">
        <v>0.0</v>
      </c>
      <c r="Y21" s="9" t="s">
        <v>1967</v>
      </c>
      <c r="Z21" s="9">
        <v>0.0</v>
      </c>
      <c r="AA21" s="9" t="s">
        <v>1917</v>
      </c>
      <c r="AB21" s="9">
        <v>0.0</v>
      </c>
      <c r="AC21" s="9" t="s">
        <v>1968</v>
      </c>
      <c r="AD21" s="9">
        <v>0.0</v>
      </c>
      <c r="AE21" s="9" t="s">
        <v>1969</v>
      </c>
      <c r="AF21" s="63">
        <v>0.0</v>
      </c>
    </row>
    <row r="22">
      <c r="A22" s="9">
        <v>1216.0</v>
      </c>
      <c r="B22" s="9" t="s">
        <v>50</v>
      </c>
      <c r="C22" s="9" t="str">
        <f t="shared" si="1"/>
        <v>RIM SEAL_ESD DUE TO RIMSEAL</v>
      </c>
      <c r="D22" s="70" t="s">
        <v>270</v>
      </c>
      <c r="E22" s="37" t="s">
        <v>2045</v>
      </c>
      <c r="F22" s="22" t="s">
        <v>2046</v>
      </c>
      <c r="G22" s="53" t="s">
        <v>2047</v>
      </c>
      <c r="H22" s="54">
        <v>0.0</v>
      </c>
      <c r="I22" s="72"/>
      <c r="J22" s="35"/>
      <c r="K22" s="9" t="s">
        <v>1960</v>
      </c>
      <c r="L22" s="9">
        <v>0.0</v>
      </c>
      <c r="M22" s="9" t="s">
        <v>1961</v>
      </c>
      <c r="N22" s="9">
        <v>0.0</v>
      </c>
      <c r="O22" s="9" t="s">
        <v>1962</v>
      </c>
      <c r="P22" s="9">
        <v>0.0</v>
      </c>
      <c r="Q22" s="9" t="s">
        <v>1963</v>
      </c>
      <c r="R22" s="9">
        <v>0.0</v>
      </c>
      <c r="S22" s="9" t="s">
        <v>1964</v>
      </c>
      <c r="T22" s="9">
        <v>0.0</v>
      </c>
      <c r="U22" s="71" t="s">
        <v>1965</v>
      </c>
      <c r="V22" s="9">
        <v>0.0</v>
      </c>
      <c r="W22" s="9" t="s">
        <v>1966</v>
      </c>
      <c r="X22" s="9">
        <v>0.0</v>
      </c>
      <c r="Y22" s="9" t="s">
        <v>1967</v>
      </c>
      <c r="Z22" s="9">
        <v>0.0</v>
      </c>
      <c r="AA22" s="9" t="s">
        <v>1917</v>
      </c>
      <c r="AB22" s="9">
        <v>0.0</v>
      </c>
      <c r="AC22" s="9" t="s">
        <v>1968</v>
      </c>
      <c r="AD22" s="9">
        <v>0.0</v>
      </c>
      <c r="AE22" s="9" t="s">
        <v>1969</v>
      </c>
      <c r="AF22" s="63">
        <v>0.0</v>
      </c>
    </row>
    <row r="23">
      <c r="E23" s="32"/>
      <c r="F23" s="32"/>
    </row>
    <row r="24">
      <c r="E24" s="32"/>
      <c r="F24" s="32"/>
    </row>
    <row r="25">
      <c r="E25" s="32"/>
      <c r="F25" s="32"/>
    </row>
    <row r="26">
      <c r="E26" s="32"/>
      <c r="F26" s="32"/>
    </row>
    <row r="27">
      <c r="E27" s="32"/>
      <c r="F27" s="32"/>
    </row>
    <row r="28">
      <c r="E28" s="32"/>
      <c r="F28" s="32"/>
    </row>
    <row r="29">
      <c r="E29" s="32"/>
      <c r="F29" s="32"/>
    </row>
    <row r="30">
      <c r="E30" s="32"/>
      <c r="F30" s="32"/>
    </row>
    <row r="31">
      <c r="E31" s="32"/>
      <c r="F31" s="32"/>
    </row>
    <row r="32">
      <c r="E32" s="32"/>
      <c r="F32" s="32"/>
    </row>
    <row r="33">
      <c r="E33" s="32"/>
      <c r="F33" s="32"/>
    </row>
    <row r="34">
      <c r="E34" s="32"/>
      <c r="F34" s="32"/>
    </row>
    <row r="35">
      <c r="E35" s="32"/>
      <c r="F35" s="32"/>
    </row>
    <row r="36">
      <c r="E36" s="32"/>
      <c r="F36" s="32"/>
    </row>
    <row r="37">
      <c r="E37" s="32"/>
      <c r="F37" s="32"/>
    </row>
    <row r="38">
      <c r="E38" s="32"/>
      <c r="F38" s="32"/>
    </row>
    <row r="39">
      <c r="E39" s="32"/>
      <c r="F39" s="32"/>
    </row>
    <row r="40">
      <c r="E40" s="32"/>
      <c r="F40" s="32"/>
    </row>
    <row r="41">
      <c r="E41" s="32"/>
      <c r="F41" s="32"/>
    </row>
    <row r="42">
      <c r="E42" s="32"/>
      <c r="F42" s="32"/>
    </row>
    <row r="43">
      <c r="E43" s="32"/>
      <c r="F43" s="32"/>
    </row>
    <row r="44">
      <c r="E44" s="32"/>
      <c r="F44" s="32"/>
    </row>
    <row r="45">
      <c r="E45" s="32"/>
      <c r="F45" s="32"/>
    </row>
    <row r="46">
      <c r="E46" s="32"/>
      <c r="F46" s="32"/>
    </row>
    <row r="47">
      <c r="E47" s="32"/>
      <c r="F47" s="32"/>
    </row>
    <row r="48">
      <c r="E48" s="32"/>
      <c r="F48" s="32"/>
    </row>
    <row r="49">
      <c r="E49" s="32"/>
      <c r="F49" s="32"/>
    </row>
    <row r="50">
      <c r="E50" s="32"/>
      <c r="F50" s="32"/>
    </row>
    <row r="51">
      <c r="E51" s="32"/>
      <c r="F51" s="32"/>
    </row>
    <row r="52">
      <c r="E52" s="32"/>
      <c r="F52" s="32"/>
    </row>
    <row r="53">
      <c r="E53" s="32"/>
      <c r="F53" s="32"/>
    </row>
    <row r="54">
      <c r="E54" s="32"/>
      <c r="F54" s="32"/>
    </row>
    <row r="55">
      <c r="E55" s="32"/>
      <c r="F55" s="32"/>
    </row>
    <row r="56">
      <c r="E56" s="32"/>
      <c r="F56" s="32"/>
    </row>
    <row r="57">
      <c r="E57" s="32"/>
      <c r="F57" s="32"/>
    </row>
    <row r="58">
      <c r="E58" s="32"/>
      <c r="F58" s="32"/>
    </row>
    <row r="59">
      <c r="E59" s="32"/>
      <c r="F59" s="32"/>
    </row>
    <row r="60">
      <c r="E60" s="32"/>
      <c r="F60" s="32"/>
    </row>
    <row r="61">
      <c r="E61" s="32"/>
      <c r="F61" s="32"/>
    </row>
    <row r="62">
      <c r="E62" s="32"/>
      <c r="F62" s="32"/>
    </row>
    <row r="63">
      <c r="E63" s="32"/>
      <c r="F63" s="32"/>
    </row>
    <row r="64">
      <c r="E64" s="32"/>
      <c r="F64" s="32"/>
    </row>
    <row r="65">
      <c r="E65" s="32"/>
      <c r="F65" s="32"/>
    </row>
    <row r="66">
      <c r="E66" s="32"/>
      <c r="F66" s="32"/>
    </row>
    <row r="67">
      <c r="E67" s="32"/>
      <c r="F67" s="32"/>
    </row>
    <row r="68">
      <c r="E68" s="32"/>
      <c r="F68" s="32"/>
    </row>
    <row r="69">
      <c r="E69" s="32"/>
      <c r="F69" s="32"/>
    </row>
    <row r="70">
      <c r="E70" s="32"/>
      <c r="F70" s="32"/>
    </row>
    <row r="71">
      <c r="E71" s="32"/>
      <c r="F71" s="32"/>
    </row>
    <row r="72">
      <c r="E72" s="32"/>
      <c r="F72" s="32"/>
    </row>
    <row r="73">
      <c r="E73" s="32"/>
      <c r="F73" s="32"/>
    </row>
    <row r="74">
      <c r="E74" s="32"/>
      <c r="F74" s="32"/>
    </row>
    <row r="75">
      <c r="E75" s="32"/>
      <c r="F75" s="32"/>
    </row>
    <row r="76">
      <c r="E76" s="32"/>
      <c r="F76" s="32"/>
    </row>
    <row r="77">
      <c r="E77" s="32"/>
      <c r="F77" s="32"/>
    </row>
    <row r="78">
      <c r="E78" s="32"/>
      <c r="F78" s="32"/>
    </row>
    <row r="79">
      <c r="E79" s="32"/>
      <c r="F79" s="32"/>
    </row>
    <row r="80">
      <c r="E80" s="32"/>
      <c r="F80" s="32"/>
    </row>
    <row r="81">
      <c r="E81" s="32"/>
      <c r="F81" s="32"/>
    </row>
    <row r="82">
      <c r="E82" s="32"/>
      <c r="F82" s="32"/>
    </row>
    <row r="83">
      <c r="E83" s="32"/>
      <c r="F83" s="32"/>
    </row>
    <row r="84">
      <c r="E84" s="32"/>
      <c r="F84" s="32"/>
    </row>
    <row r="85">
      <c r="E85" s="32"/>
      <c r="F85" s="32"/>
    </row>
    <row r="86">
      <c r="E86" s="32"/>
      <c r="F86" s="32"/>
    </row>
    <row r="87">
      <c r="E87" s="32"/>
      <c r="F87" s="32"/>
    </row>
    <row r="88">
      <c r="E88" s="32"/>
      <c r="F88" s="32"/>
    </row>
    <row r="89">
      <c r="E89" s="32"/>
      <c r="F89" s="32"/>
    </row>
    <row r="90">
      <c r="E90" s="32"/>
      <c r="F90" s="32"/>
    </row>
    <row r="91">
      <c r="E91" s="32"/>
      <c r="F91" s="32"/>
    </row>
    <row r="92">
      <c r="E92" s="32"/>
      <c r="F92" s="32"/>
    </row>
    <row r="93">
      <c r="E93" s="32"/>
      <c r="F93" s="32"/>
    </row>
    <row r="94">
      <c r="E94" s="32"/>
      <c r="F94" s="32"/>
    </row>
    <row r="95">
      <c r="E95" s="32"/>
      <c r="F95" s="32"/>
    </row>
    <row r="96">
      <c r="E96" s="32"/>
      <c r="F96" s="32"/>
    </row>
    <row r="97">
      <c r="E97" s="32"/>
      <c r="F97" s="32"/>
    </row>
    <row r="98">
      <c r="E98" s="32"/>
      <c r="F98" s="32"/>
    </row>
    <row r="99">
      <c r="E99" s="32"/>
      <c r="F99" s="32"/>
    </row>
    <row r="100">
      <c r="E100" s="32"/>
      <c r="F100" s="32"/>
    </row>
    <row r="101">
      <c r="E101" s="32"/>
      <c r="F101" s="32"/>
    </row>
    <row r="102">
      <c r="E102" s="32"/>
      <c r="F102" s="32"/>
    </row>
    <row r="103">
      <c r="E103" s="32"/>
      <c r="F103" s="32"/>
    </row>
    <row r="104">
      <c r="E104" s="32"/>
      <c r="F104" s="32"/>
    </row>
    <row r="105">
      <c r="E105" s="32"/>
      <c r="F105" s="32"/>
    </row>
    <row r="106">
      <c r="E106" s="32"/>
      <c r="F106" s="32"/>
    </row>
    <row r="107">
      <c r="E107" s="32"/>
      <c r="F107" s="32"/>
    </row>
    <row r="108">
      <c r="E108" s="32"/>
      <c r="F108" s="32"/>
    </row>
    <row r="109">
      <c r="E109" s="32"/>
      <c r="F109" s="32"/>
    </row>
    <row r="110">
      <c r="E110" s="32"/>
      <c r="F110" s="32"/>
    </row>
    <row r="111">
      <c r="E111" s="32"/>
      <c r="F111" s="32"/>
    </row>
    <row r="112">
      <c r="E112" s="32"/>
      <c r="F112" s="32"/>
    </row>
    <row r="113">
      <c r="E113" s="32"/>
      <c r="F113" s="32"/>
    </row>
    <row r="114">
      <c r="E114" s="32"/>
      <c r="F114" s="32"/>
    </row>
    <row r="115">
      <c r="E115" s="32"/>
      <c r="F115" s="32"/>
    </row>
    <row r="116">
      <c r="E116" s="32"/>
      <c r="F116" s="32"/>
    </row>
    <row r="117">
      <c r="E117" s="32"/>
      <c r="F117" s="32"/>
    </row>
    <row r="118">
      <c r="E118" s="32"/>
      <c r="F118" s="32"/>
    </row>
    <row r="119">
      <c r="E119" s="32"/>
      <c r="F119" s="32"/>
    </row>
    <row r="120">
      <c r="E120" s="32"/>
      <c r="F120" s="32"/>
    </row>
    <row r="121">
      <c r="E121" s="32"/>
      <c r="F121" s="32"/>
    </row>
    <row r="122">
      <c r="E122" s="32"/>
      <c r="F122" s="32"/>
    </row>
    <row r="123">
      <c r="E123" s="32"/>
      <c r="F123" s="32"/>
    </row>
    <row r="124">
      <c r="E124" s="32"/>
      <c r="F124" s="32"/>
    </row>
    <row r="125">
      <c r="E125" s="32"/>
      <c r="F125" s="32"/>
    </row>
    <row r="126">
      <c r="E126" s="32"/>
      <c r="F126" s="32"/>
    </row>
    <row r="127">
      <c r="E127" s="32"/>
      <c r="F127" s="32"/>
    </row>
    <row r="128">
      <c r="E128" s="32"/>
      <c r="F128" s="32"/>
    </row>
    <row r="129">
      <c r="E129" s="32"/>
      <c r="F129" s="32"/>
    </row>
    <row r="130">
      <c r="E130" s="32"/>
      <c r="F130" s="32"/>
    </row>
    <row r="131">
      <c r="E131" s="32"/>
      <c r="F131" s="32"/>
    </row>
    <row r="132">
      <c r="E132" s="32"/>
      <c r="F132" s="32"/>
    </row>
    <row r="133">
      <c r="E133" s="32"/>
      <c r="F133" s="32"/>
    </row>
    <row r="134">
      <c r="E134" s="32"/>
      <c r="F134" s="32"/>
    </row>
    <row r="135">
      <c r="E135" s="32"/>
      <c r="F135" s="32"/>
    </row>
    <row r="136">
      <c r="E136" s="32"/>
      <c r="F136" s="32"/>
    </row>
    <row r="137">
      <c r="E137" s="32"/>
      <c r="F137" s="32"/>
    </row>
    <row r="138">
      <c r="E138" s="32"/>
      <c r="F138" s="32"/>
    </row>
    <row r="139">
      <c r="E139" s="32"/>
      <c r="F139" s="32"/>
    </row>
    <row r="140">
      <c r="E140" s="32"/>
      <c r="F140" s="32"/>
    </row>
    <row r="141">
      <c r="E141" s="32"/>
      <c r="F141" s="32"/>
    </row>
    <row r="142">
      <c r="E142" s="32"/>
      <c r="F142" s="32"/>
    </row>
    <row r="143">
      <c r="E143" s="32"/>
      <c r="F143" s="32"/>
    </row>
    <row r="144">
      <c r="E144" s="32"/>
      <c r="F144" s="32"/>
    </row>
    <row r="145">
      <c r="E145" s="32"/>
      <c r="F145" s="32"/>
    </row>
    <row r="146">
      <c r="E146" s="32"/>
      <c r="F146" s="32"/>
    </row>
    <row r="147">
      <c r="E147" s="32"/>
      <c r="F147" s="32"/>
    </row>
    <row r="148">
      <c r="E148" s="32"/>
      <c r="F148" s="32"/>
    </row>
    <row r="149">
      <c r="E149" s="32"/>
      <c r="F149" s="32"/>
    </row>
    <row r="150">
      <c r="E150" s="32"/>
      <c r="F150" s="32"/>
    </row>
    <row r="151">
      <c r="E151" s="32"/>
      <c r="F151" s="32"/>
    </row>
    <row r="152">
      <c r="E152" s="32"/>
      <c r="F152" s="32"/>
    </row>
    <row r="153">
      <c r="E153" s="32"/>
      <c r="F153" s="32"/>
    </row>
    <row r="154">
      <c r="E154" s="32"/>
      <c r="F154" s="32"/>
    </row>
    <row r="155">
      <c r="E155" s="32"/>
      <c r="F155" s="32"/>
    </row>
    <row r="156">
      <c r="E156" s="32"/>
      <c r="F156" s="32"/>
    </row>
    <row r="157">
      <c r="E157" s="32"/>
      <c r="F157" s="32"/>
    </row>
    <row r="158">
      <c r="E158" s="32"/>
      <c r="F158" s="32"/>
    </row>
    <row r="159">
      <c r="E159" s="32"/>
      <c r="F159" s="32"/>
    </row>
    <row r="160">
      <c r="E160" s="32"/>
      <c r="F160" s="32"/>
    </row>
    <row r="161">
      <c r="E161" s="32"/>
      <c r="F161" s="32"/>
    </row>
    <row r="162">
      <c r="E162" s="32"/>
      <c r="F162" s="32"/>
    </row>
    <row r="163">
      <c r="E163" s="32"/>
      <c r="F163" s="32"/>
    </row>
    <row r="164">
      <c r="E164" s="32"/>
      <c r="F164" s="32"/>
    </row>
    <row r="165">
      <c r="E165" s="32"/>
      <c r="F165" s="32"/>
    </row>
    <row r="166">
      <c r="E166" s="32"/>
      <c r="F166" s="32"/>
    </row>
    <row r="167">
      <c r="E167" s="32"/>
      <c r="F167" s="32"/>
    </row>
    <row r="168">
      <c r="E168" s="32"/>
      <c r="F168" s="32"/>
    </row>
    <row r="169">
      <c r="E169" s="32"/>
      <c r="F169" s="32"/>
    </row>
    <row r="170">
      <c r="E170" s="32"/>
      <c r="F170" s="32"/>
    </row>
    <row r="171">
      <c r="E171" s="32"/>
      <c r="F171" s="32"/>
    </row>
    <row r="172">
      <c r="E172" s="32"/>
      <c r="F172" s="32"/>
    </row>
    <row r="173">
      <c r="E173" s="32"/>
      <c r="F173" s="32"/>
    </row>
    <row r="174">
      <c r="E174" s="32"/>
      <c r="F174" s="32"/>
    </row>
    <row r="175">
      <c r="E175" s="32"/>
      <c r="F175" s="32"/>
    </row>
    <row r="176">
      <c r="E176" s="32"/>
      <c r="F176" s="32"/>
    </row>
    <row r="177">
      <c r="E177" s="32"/>
      <c r="F177" s="32"/>
    </row>
    <row r="178">
      <c r="E178" s="32"/>
      <c r="F178" s="32"/>
    </row>
    <row r="179">
      <c r="E179" s="32"/>
      <c r="F179" s="32"/>
    </row>
    <row r="180">
      <c r="E180" s="32"/>
      <c r="F180" s="32"/>
    </row>
    <row r="181">
      <c r="E181" s="32"/>
      <c r="F181" s="32"/>
    </row>
    <row r="182">
      <c r="E182" s="32"/>
      <c r="F182" s="32"/>
    </row>
    <row r="183">
      <c r="E183" s="32"/>
      <c r="F183" s="32"/>
    </row>
    <row r="184">
      <c r="E184" s="32"/>
      <c r="F184" s="32"/>
    </row>
    <row r="185">
      <c r="E185" s="32"/>
      <c r="F185" s="32"/>
    </row>
    <row r="186">
      <c r="E186" s="32"/>
      <c r="F186" s="32"/>
    </row>
    <row r="187">
      <c r="E187" s="32"/>
      <c r="F187" s="32"/>
    </row>
    <row r="188">
      <c r="E188" s="32"/>
      <c r="F188" s="32"/>
    </row>
    <row r="189">
      <c r="E189" s="32"/>
      <c r="F189" s="32"/>
    </row>
    <row r="190">
      <c r="E190" s="32"/>
      <c r="F190" s="32"/>
    </row>
    <row r="191">
      <c r="E191" s="32"/>
      <c r="F191" s="32"/>
    </row>
    <row r="192">
      <c r="E192" s="32"/>
      <c r="F192" s="32"/>
    </row>
    <row r="193">
      <c r="E193" s="32"/>
      <c r="F193" s="32"/>
    </row>
    <row r="194">
      <c r="E194" s="32"/>
      <c r="F194" s="32"/>
    </row>
    <row r="195">
      <c r="E195" s="32"/>
      <c r="F195" s="32"/>
    </row>
    <row r="196">
      <c r="E196" s="32"/>
      <c r="F196" s="32"/>
    </row>
    <row r="197">
      <c r="E197" s="32"/>
      <c r="F197" s="32"/>
    </row>
    <row r="198">
      <c r="E198" s="32"/>
      <c r="F198" s="32"/>
    </row>
    <row r="199">
      <c r="E199" s="32"/>
      <c r="F199" s="32"/>
    </row>
    <row r="200">
      <c r="E200" s="32"/>
      <c r="F200" s="32"/>
    </row>
    <row r="201">
      <c r="E201" s="32"/>
      <c r="F201" s="32"/>
    </row>
    <row r="202">
      <c r="E202" s="32"/>
      <c r="F202" s="32"/>
    </row>
    <row r="203">
      <c r="E203" s="32"/>
      <c r="F203" s="32"/>
    </row>
    <row r="204">
      <c r="E204" s="32"/>
      <c r="F204" s="32"/>
    </row>
    <row r="205">
      <c r="E205" s="32"/>
      <c r="F205" s="32"/>
    </row>
    <row r="206">
      <c r="E206" s="32"/>
      <c r="F206" s="32"/>
    </row>
    <row r="207">
      <c r="E207" s="32"/>
      <c r="F207" s="32"/>
    </row>
    <row r="208">
      <c r="E208" s="32"/>
      <c r="F208" s="32"/>
    </row>
    <row r="209">
      <c r="E209" s="32"/>
      <c r="F209" s="32"/>
    </row>
    <row r="210">
      <c r="E210" s="32"/>
      <c r="F210" s="32"/>
    </row>
    <row r="211">
      <c r="E211" s="32"/>
      <c r="F211" s="32"/>
    </row>
    <row r="212">
      <c r="E212" s="32"/>
      <c r="F212" s="32"/>
    </row>
    <row r="213">
      <c r="E213" s="32"/>
      <c r="F213" s="32"/>
    </row>
    <row r="214">
      <c r="E214" s="32"/>
      <c r="F214" s="32"/>
    </row>
    <row r="215">
      <c r="E215" s="32"/>
      <c r="F215" s="32"/>
    </row>
    <row r="216">
      <c r="E216" s="32"/>
      <c r="F216" s="32"/>
    </row>
    <row r="217">
      <c r="E217" s="32"/>
      <c r="F217" s="32"/>
    </row>
    <row r="218">
      <c r="E218" s="32"/>
      <c r="F218" s="32"/>
    </row>
    <row r="219">
      <c r="E219" s="32"/>
      <c r="F219" s="32"/>
    </row>
    <row r="220">
      <c r="E220" s="32"/>
      <c r="F220" s="32"/>
    </row>
    <row r="221">
      <c r="E221" s="32"/>
      <c r="F221" s="32"/>
    </row>
    <row r="222">
      <c r="E222" s="32"/>
      <c r="F222" s="32"/>
    </row>
    <row r="223">
      <c r="E223" s="32"/>
      <c r="F223" s="32"/>
    </row>
    <row r="224">
      <c r="E224" s="32"/>
      <c r="F224" s="32"/>
    </row>
    <row r="225">
      <c r="E225" s="32"/>
      <c r="F225" s="32"/>
    </row>
    <row r="226">
      <c r="E226" s="32"/>
      <c r="F226" s="32"/>
    </row>
    <row r="227">
      <c r="E227" s="32"/>
      <c r="F227" s="32"/>
    </row>
    <row r="228">
      <c r="E228" s="32"/>
      <c r="F228" s="32"/>
    </row>
    <row r="229">
      <c r="E229" s="32"/>
      <c r="F229" s="32"/>
    </row>
    <row r="230">
      <c r="E230" s="32"/>
      <c r="F230" s="32"/>
    </row>
    <row r="231">
      <c r="E231" s="32"/>
      <c r="F231" s="32"/>
    </row>
    <row r="232">
      <c r="E232" s="32"/>
      <c r="F232" s="32"/>
    </row>
    <row r="233">
      <c r="E233" s="32"/>
      <c r="F233" s="32"/>
    </row>
    <row r="234">
      <c r="E234" s="32"/>
      <c r="F234" s="32"/>
    </row>
    <row r="235">
      <c r="E235" s="32"/>
      <c r="F235" s="32"/>
    </row>
    <row r="236">
      <c r="E236" s="32"/>
      <c r="F236" s="32"/>
    </row>
    <row r="237">
      <c r="E237" s="32"/>
      <c r="F237" s="32"/>
    </row>
    <row r="238">
      <c r="E238" s="32"/>
      <c r="F238" s="32"/>
    </row>
    <row r="239">
      <c r="E239" s="32"/>
      <c r="F239" s="32"/>
    </row>
    <row r="240">
      <c r="E240" s="32"/>
      <c r="F240" s="32"/>
    </row>
    <row r="241">
      <c r="E241" s="32"/>
      <c r="F241" s="32"/>
    </row>
    <row r="242">
      <c r="E242" s="32"/>
      <c r="F242" s="32"/>
    </row>
    <row r="243">
      <c r="E243" s="32"/>
      <c r="F243" s="32"/>
    </row>
    <row r="244">
      <c r="E244" s="32"/>
      <c r="F244" s="32"/>
    </row>
    <row r="245">
      <c r="E245" s="32"/>
      <c r="F245" s="32"/>
    </row>
    <row r="246">
      <c r="E246" s="32"/>
      <c r="F246" s="32"/>
    </row>
    <row r="247">
      <c r="E247" s="32"/>
      <c r="F247" s="32"/>
    </row>
    <row r="248">
      <c r="E248" s="32"/>
      <c r="F248" s="32"/>
    </row>
    <row r="249">
      <c r="E249" s="32"/>
      <c r="F249" s="32"/>
    </row>
    <row r="250">
      <c r="E250" s="32"/>
      <c r="F250" s="32"/>
    </row>
    <row r="251">
      <c r="E251" s="32"/>
      <c r="F251" s="32"/>
    </row>
    <row r="252">
      <c r="E252" s="32"/>
      <c r="F252" s="32"/>
    </row>
    <row r="253">
      <c r="E253" s="32"/>
      <c r="F253" s="32"/>
    </row>
    <row r="254">
      <c r="E254" s="32"/>
      <c r="F254" s="32"/>
    </row>
    <row r="255">
      <c r="E255" s="32"/>
      <c r="F255" s="32"/>
    </row>
    <row r="256">
      <c r="E256" s="32"/>
      <c r="F256" s="32"/>
    </row>
    <row r="257">
      <c r="E257" s="32"/>
      <c r="F257" s="32"/>
    </row>
    <row r="258">
      <c r="E258" s="32"/>
      <c r="F258" s="32"/>
    </row>
    <row r="259">
      <c r="E259" s="32"/>
      <c r="F259" s="32"/>
    </row>
    <row r="260">
      <c r="E260" s="32"/>
      <c r="F260" s="32"/>
    </row>
    <row r="261">
      <c r="E261" s="32"/>
      <c r="F261" s="32"/>
    </row>
    <row r="262">
      <c r="E262" s="32"/>
      <c r="F262" s="32"/>
    </row>
    <row r="263">
      <c r="E263" s="32"/>
      <c r="F263" s="32"/>
    </row>
    <row r="264">
      <c r="E264" s="32"/>
      <c r="F264" s="32"/>
    </row>
    <row r="265">
      <c r="E265" s="32"/>
      <c r="F265" s="32"/>
    </row>
    <row r="266">
      <c r="E266" s="32"/>
      <c r="F266" s="32"/>
    </row>
    <row r="267">
      <c r="E267" s="32"/>
      <c r="F267" s="32"/>
    </row>
    <row r="268">
      <c r="E268" s="32"/>
      <c r="F268" s="32"/>
    </row>
    <row r="269">
      <c r="E269" s="32"/>
      <c r="F269" s="32"/>
    </row>
    <row r="270">
      <c r="E270" s="32"/>
      <c r="F270" s="32"/>
    </row>
    <row r="271">
      <c r="E271" s="32"/>
      <c r="F271" s="32"/>
    </row>
    <row r="272">
      <c r="E272" s="32"/>
      <c r="F272" s="32"/>
    </row>
    <row r="273">
      <c r="E273" s="32"/>
      <c r="F273" s="32"/>
    </row>
    <row r="274">
      <c r="E274" s="32"/>
      <c r="F274" s="32"/>
    </row>
    <row r="275">
      <c r="E275" s="32"/>
      <c r="F275" s="32"/>
    </row>
    <row r="276">
      <c r="E276" s="32"/>
      <c r="F276" s="32"/>
    </row>
    <row r="277">
      <c r="E277" s="32"/>
      <c r="F277" s="32"/>
    </row>
    <row r="278">
      <c r="E278" s="32"/>
      <c r="F278" s="32"/>
    </row>
    <row r="279">
      <c r="E279" s="32"/>
      <c r="F279" s="32"/>
    </row>
    <row r="280">
      <c r="E280" s="32"/>
      <c r="F280" s="32"/>
    </row>
    <row r="281">
      <c r="E281" s="32"/>
      <c r="F281" s="32"/>
    </row>
    <row r="282">
      <c r="E282" s="32"/>
      <c r="F282" s="32"/>
    </row>
    <row r="283">
      <c r="E283" s="32"/>
      <c r="F283" s="32"/>
    </row>
    <row r="284">
      <c r="E284" s="32"/>
      <c r="F284" s="32"/>
    </row>
    <row r="285">
      <c r="E285" s="32"/>
      <c r="F285" s="32"/>
    </row>
    <row r="286">
      <c r="E286" s="32"/>
      <c r="F286" s="32"/>
    </row>
    <row r="287">
      <c r="E287" s="32"/>
      <c r="F287" s="32"/>
    </row>
    <row r="288">
      <c r="E288" s="32"/>
      <c r="F288" s="32"/>
    </row>
    <row r="289">
      <c r="E289" s="32"/>
      <c r="F289" s="32"/>
    </row>
    <row r="290">
      <c r="E290" s="32"/>
      <c r="F290" s="32"/>
    </row>
    <row r="291">
      <c r="E291" s="32"/>
      <c r="F291" s="32"/>
    </row>
    <row r="292">
      <c r="E292" s="32"/>
      <c r="F292" s="32"/>
    </row>
    <row r="293">
      <c r="E293" s="32"/>
      <c r="F293" s="32"/>
    </row>
    <row r="294">
      <c r="E294" s="32"/>
      <c r="F294" s="32"/>
    </row>
    <row r="295">
      <c r="E295" s="32"/>
      <c r="F295" s="32"/>
    </row>
    <row r="296">
      <c r="E296" s="32"/>
      <c r="F296" s="32"/>
    </row>
    <row r="297">
      <c r="E297" s="32"/>
      <c r="F297" s="32"/>
    </row>
    <row r="298">
      <c r="E298" s="32"/>
      <c r="F298" s="32"/>
    </row>
    <row r="299">
      <c r="E299" s="32"/>
      <c r="F299" s="32"/>
    </row>
    <row r="300">
      <c r="E300" s="32"/>
      <c r="F300" s="32"/>
    </row>
    <row r="301">
      <c r="E301" s="32"/>
      <c r="F301" s="32"/>
    </row>
    <row r="302">
      <c r="E302" s="32"/>
      <c r="F302" s="32"/>
    </row>
    <row r="303">
      <c r="E303" s="32"/>
      <c r="F303" s="32"/>
    </row>
    <row r="304">
      <c r="E304" s="32"/>
      <c r="F304" s="32"/>
    </row>
    <row r="305">
      <c r="E305" s="32"/>
      <c r="F305" s="32"/>
    </row>
    <row r="306">
      <c r="E306" s="32"/>
      <c r="F306" s="32"/>
    </row>
    <row r="307">
      <c r="E307" s="32"/>
      <c r="F307" s="32"/>
    </row>
    <row r="308">
      <c r="E308" s="32"/>
      <c r="F308" s="32"/>
    </row>
    <row r="309">
      <c r="E309" s="32"/>
      <c r="F309" s="32"/>
    </row>
    <row r="310">
      <c r="E310" s="32"/>
      <c r="F310" s="32"/>
    </row>
    <row r="311">
      <c r="E311" s="32"/>
      <c r="F311" s="32"/>
    </row>
    <row r="312">
      <c r="E312" s="32"/>
      <c r="F312" s="32"/>
    </row>
    <row r="313">
      <c r="E313" s="32"/>
      <c r="F313" s="32"/>
    </row>
    <row r="314">
      <c r="E314" s="32"/>
      <c r="F314" s="32"/>
    </row>
    <row r="315">
      <c r="E315" s="32"/>
      <c r="F315" s="32"/>
    </row>
    <row r="316">
      <c r="E316" s="32"/>
      <c r="F316" s="32"/>
    </row>
    <row r="317">
      <c r="E317" s="32"/>
      <c r="F317" s="32"/>
    </row>
    <row r="318">
      <c r="E318" s="32"/>
      <c r="F318" s="32"/>
    </row>
    <row r="319">
      <c r="E319" s="32"/>
      <c r="F319" s="32"/>
    </row>
    <row r="320">
      <c r="E320" s="32"/>
      <c r="F320" s="32"/>
    </row>
    <row r="321">
      <c r="E321" s="32"/>
      <c r="F321" s="32"/>
    </row>
    <row r="322">
      <c r="E322" s="32"/>
      <c r="F322" s="32"/>
    </row>
    <row r="323">
      <c r="E323" s="32"/>
      <c r="F323" s="32"/>
    </row>
    <row r="324">
      <c r="E324" s="32"/>
      <c r="F324" s="32"/>
    </row>
    <row r="325">
      <c r="E325" s="32"/>
      <c r="F325" s="32"/>
    </row>
    <row r="326">
      <c r="E326" s="32"/>
      <c r="F326" s="32"/>
    </row>
    <row r="327">
      <c r="E327" s="32"/>
      <c r="F327" s="32"/>
    </row>
    <row r="328">
      <c r="E328" s="32"/>
      <c r="F328" s="32"/>
    </row>
    <row r="329">
      <c r="E329" s="32"/>
      <c r="F329" s="32"/>
    </row>
    <row r="330">
      <c r="E330" s="32"/>
      <c r="F330" s="32"/>
    </row>
    <row r="331">
      <c r="E331" s="32"/>
      <c r="F331" s="32"/>
    </row>
    <row r="332">
      <c r="E332" s="32"/>
      <c r="F332" s="32"/>
    </row>
    <row r="333">
      <c r="E333" s="32"/>
      <c r="F333" s="32"/>
    </row>
    <row r="334">
      <c r="E334" s="32"/>
      <c r="F334" s="32"/>
    </row>
    <row r="335">
      <c r="E335" s="32"/>
      <c r="F335" s="32"/>
    </row>
    <row r="336">
      <c r="E336" s="32"/>
      <c r="F336" s="32"/>
    </row>
    <row r="337">
      <c r="E337" s="32"/>
      <c r="F337" s="32"/>
    </row>
    <row r="338">
      <c r="E338" s="32"/>
      <c r="F338" s="32"/>
    </row>
    <row r="339">
      <c r="E339" s="32"/>
      <c r="F339" s="32"/>
    </row>
    <row r="340">
      <c r="E340" s="32"/>
      <c r="F340" s="32"/>
    </row>
    <row r="341">
      <c r="E341" s="32"/>
      <c r="F341" s="32"/>
    </row>
    <row r="342">
      <c r="E342" s="32"/>
      <c r="F342" s="32"/>
    </row>
    <row r="343">
      <c r="E343" s="32"/>
      <c r="F343" s="32"/>
    </row>
    <row r="344">
      <c r="E344" s="32"/>
      <c r="F344" s="32"/>
    </row>
    <row r="345">
      <c r="E345" s="32"/>
      <c r="F345" s="32"/>
    </row>
    <row r="346">
      <c r="E346" s="32"/>
      <c r="F346" s="32"/>
    </row>
    <row r="347">
      <c r="E347" s="32"/>
      <c r="F347" s="32"/>
    </row>
    <row r="348">
      <c r="E348" s="32"/>
      <c r="F348" s="32"/>
    </row>
    <row r="349">
      <c r="E349" s="32"/>
      <c r="F349" s="32"/>
    </row>
    <row r="350">
      <c r="E350" s="32"/>
      <c r="F350" s="32"/>
    </row>
    <row r="351">
      <c r="E351" s="32"/>
      <c r="F351" s="32"/>
    </row>
    <row r="352">
      <c r="E352" s="32"/>
      <c r="F352" s="32"/>
    </row>
    <row r="353">
      <c r="E353" s="32"/>
      <c r="F353" s="32"/>
    </row>
    <row r="354">
      <c r="E354" s="32"/>
      <c r="F354" s="32"/>
    </row>
    <row r="355">
      <c r="E355" s="32"/>
      <c r="F355" s="32"/>
    </row>
    <row r="356">
      <c r="E356" s="32"/>
      <c r="F356" s="32"/>
    </row>
    <row r="357">
      <c r="E357" s="32"/>
      <c r="F357" s="32"/>
    </row>
    <row r="358">
      <c r="E358" s="32"/>
      <c r="F358" s="32"/>
    </row>
    <row r="359">
      <c r="E359" s="32"/>
      <c r="F359" s="32"/>
    </row>
    <row r="360">
      <c r="E360" s="32"/>
      <c r="F360" s="32"/>
    </row>
    <row r="361">
      <c r="E361" s="32"/>
      <c r="F361" s="32"/>
    </row>
    <row r="362">
      <c r="E362" s="32"/>
      <c r="F362" s="32"/>
    </row>
    <row r="363">
      <c r="E363" s="32"/>
      <c r="F363" s="32"/>
    </row>
    <row r="364">
      <c r="E364" s="32"/>
      <c r="F364" s="32"/>
    </row>
    <row r="365">
      <c r="E365" s="32"/>
      <c r="F365" s="32"/>
    </row>
    <row r="366">
      <c r="E366" s="32"/>
      <c r="F366" s="32"/>
    </row>
    <row r="367">
      <c r="E367" s="32"/>
      <c r="F367" s="32"/>
    </row>
    <row r="368">
      <c r="E368" s="32"/>
      <c r="F368" s="32"/>
    </row>
    <row r="369">
      <c r="E369" s="32"/>
      <c r="F369" s="32"/>
    </row>
    <row r="370">
      <c r="E370" s="32"/>
      <c r="F370" s="32"/>
    </row>
    <row r="371">
      <c r="E371" s="32"/>
      <c r="F371" s="32"/>
    </row>
    <row r="372">
      <c r="E372" s="32"/>
      <c r="F372" s="32"/>
    </row>
    <row r="373">
      <c r="E373" s="32"/>
      <c r="F373" s="32"/>
    </row>
    <row r="374">
      <c r="E374" s="32"/>
      <c r="F374" s="32"/>
    </row>
    <row r="375">
      <c r="E375" s="32"/>
      <c r="F375" s="32"/>
    </row>
    <row r="376">
      <c r="E376" s="32"/>
      <c r="F376" s="32"/>
    </row>
    <row r="377">
      <c r="E377" s="32"/>
      <c r="F377" s="32"/>
    </row>
    <row r="378">
      <c r="E378" s="32"/>
      <c r="F378" s="32"/>
    </row>
    <row r="379">
      <c r="E379" s="32"/>
      <c r="F379" s="32"/>
    </row>
    <row r="380">
      <c r="E380" s="32"/>
      <c r="F380" s="32"/>
    </row>
    <row r="381">
      <c r="E381" s="32"/>
      <c r="F381" s="32"/>
    </row>
    <row r="382">
      <c r="E382" s="32"/>
      <c r="F382" s="32"/>
    </row>
    <row r="383">
      <c r="E383" s="32"/>
      <c r="F383" s="32"/>
    </row>
    <row r="384">
      <c r="E384" s="32"/>
      <c r="F384" s="32"/>
    </row>
    <row r="385">
      <c r="E385" s="32"/>
      <c r="F385" s="32"/>
    </row>
    <row r="386">
      <c r="E386" s="32"/>
      <c r="F386" s="32"/>
    </row>
    <row r="387">
      <c r="E387" s="32"/>
      <c r="F387" s="32"/>
    </row>
    <row r="388">
      <c r="E388" s="32"/>
      <c r="F388" s="32"/>
    </row>
    <row r="389">
      <c r="E389" s="32"/>
      <c r="F389" s="32"/>
    </row>
    <row r="390">
      <c r="E390" s="32"/>
      <c r="F390" s="32"/>
    </row>
    <row r="391">
      <c r="E391" s="32"/>
      <c r="F391" s="32"/>
    </row>
    <row r="392">
      <c r="E392" s="32"/>
      <c r="F392" s="32"/>
    </row>
    <row r="393">
      <c r="E393" s="32"/>
      <c r="F393" s="32"/>
    </row>
    <row r="394">
      <c r="E394" s="32"/>
      <c r="F394" s="32"/>
    </row>
    <row r="395">
      <c r="E395" s="32"/>
      <c r="F395" s="32"/>
    </row>
    <row r="396">
      <c r="E396" s="32"/>
      <c r="F396" s="32"/>
    </row>
    <row r="397">
      <c r="E397" s="32"/>
      <c r="F397" s="32"/>
    </row>
    <row r="398">
      <c r="E398" s="32"/>
      <c r="F398" s="32"/>
    </row>
    <row r="399">
      <c r="E399" s="32"/>
      <c r="F399" s="32"/>
    </row>
    <row r="400">
      <c r="E400" s="32"/>
      <c r="F400" s="32"/>
    </row>
    <row r="401">
      <c r="E401" s="32"/>
      <c r="F401" s="32"/>
    </row>
    <row r="402">
      <c r="E402" s="32"/>
      <c r="F402" s="32"/>
    </row>
    <row r="403">
      <c r="E403" s="32"/>
      <c r="F403" s="32"/>
    </row>
    <row r="404">
      <c r="E404" s="32"/>
      <c r="F404" s="32"/>
    </row>
    <row r="405">
      <c r="E405" s="32"/>
      <c r="F405" s="32"/>
    </row>
    <row r="406">
      <c r="E406" s="32"/>
      <c r="F406" s="32"/>
    </row>
    <row r="407">
      <c r="E407" s="32"/>
      <c r="F407" s="32"/>
    </row>
    <row r="408">
      <c r="E408" s="32"/>
      <c r="F408" s="32"/>
    </row>
    <row r="409">
      <c r="E409" s="32"/>
      <c r="F409" s="32"/>
    </row>
    <row r="410">
      <c r="E410" s="32"/>
      <c r="F410" s="32"/>
    </row>
    <row r="411">
      <c r="E411" s="32"/>
      <c r="F411" s="32"/>
    </row>
    <row r="412">
      <c r="E412" s="32"/>
      <c r="F412" s="32"/>
    </row>
    <row r="413">
      <c r="E413" s="32"/>
      <c r="F413" s="32"/>
    </row>
    <row r="414">
      <c r="E414" s="32"/>
      <c r="F414" s="32"/>
    </row>
    <row r="415">
      <c r="E415" s="32"/>
      <c r="F415" s="32"/>
    </row>
    <row r="416">
      <c r="E416" s="32"/>
      <c r="F416" s="32"/>
    </row>
    <row r="417">
      <c r="E417" s="32"/>
      <c r="F417" s="32"/>
    </row>
    <row r="418">
      <c r="E418" s="32"/>
      <c r="F418" s="32"/>
    </row>
    <row r="419">
      <c r="E419" s="32"/>
      <c r="F419" s="32"/>
    </row>
    <row r="420">
      <c r="E420" s="32"/>
      <c r="F420" s="32"/>
    </row>
    <row r="421">
      <c r="E421" s="32"/>
      <c r="F421" s="32"/>
    </row>
    <row r="422">
      <c r="E422" s="32"/>
      <c r="F422" s="32"/>
    </row>
    <row r="423">
      <c r="E423" s="32"/>
      <c r="F423" s="32"/>
    </row>
    <row r="424">
      <c r="E424" s="32"/>
      <c r="F424" s="32"/>
    </row>
    <row r="425">
      <c r="E425" s="32"/>
      <c r="F425" s="32"/>
    </row>
    <row r="426">
      <c r="E426" s="32"/>
      <c r="F426" s="32"/>
    </row>
    <row r="427">
      <c r="E427" s="32"/>
      <c r="F427" s="32"/>
    </row>
    <row r="428">
      <c r="E428" s="32"/>
      <c r="F428" s="32"/>
    </row>
    <row r="429">
      <c r="E429" s="32"/>
      <c r="F429" s="32"/>
    </row>
    <row r="430">
      <c r="E430" s="32"/>
      <c r="F430" s="32"/>
    </row>
    <row r="431">
      <c r="E431" s="32"/>
      <c r="F431" s="32"/>
    </row>
    <row r="432">
      <c r="E432" s="32"/>
      <c r="F432" s="32"/>
    </row>
    <row r="433">
      <c r="E433" s="32"/>
      <c r="F433" s="32"/>
    </row>
    <row r="434">
      <c r="E434" s="32"/>
      <c r="F434" s="32"/>
    </row>
    <row r="435">
      <c r="E435" s="32"/>
      <c r="F435" s="32"/>
    </row>
    <row r="436">
      <c r="E436" s="32"/>
      <c r="F436" s="32"/>
    </row>
    <row r="437">
      <c r="E437" s="32"/>
      <c r="F437" s="32"/>
    </row>
    <row r="438">
      <c r="E438" s="32"/>
      <c r="F438" s="32"/>
    </row>
    <row r="439">
      <c r="E439" s="32"/>
      <c r="F439" s="32"/>
    </row>
    <row r="440">
      <c r="E440" s="32"/>
      <c r="F440" s="32"/>
    </row>
    <row r="441">
      <c r="E441" s="32"/>
      <c r="F441" s="32"/>
    </row>
    <row r="442">
      <c r="E442" s="32"/>
      <c r="F442" s="32"/>
    </row>
    <row r="443">
      <c r="E443" s="32"/>
      <c r="F443" s="32"/>
    </row>
    <row r="444">
      <c r="E444" s="32"/>
      <c r="F444" s="32"/>
    </row>
    <row r="445">
      <c r="E445" s="32"/>
      <c r="F445" s="32"/>
    </row>
    <row r="446">
      <c r="E446" s="32"/>
      <c r="F446" s="32"/>
    </row>
    <row r="447">
      <c r="E447" s="32"/>
      <c r="F447" s="32"/>
    </row>
    <row r="448">
      <c r="E448" s="32"/>
      <c r="F448" s="32"/>
    </row>
    <row r="449">
      <c r="E449" s="32"/>
      <c r="F449" s="32"/>
    </row>
    <row r="450">
      <c r="E450" s="32"/>
      <c r="F450" s="32"/>
    </row>
    <row r="451">
      <c r="E451" s="32"/>
      <c r="F451" s="32"/>
    </row>
    <row r="452">
      <c r="E452" s="32"/>
      <c r="F452" s="32"/>
    </row>
    <row r="453">
      <c r="E453" s="32"/>
      <c r="F453" s="32"/>
    </row>
    <row r="454">
      <c r="E454" s="32"/>
      <c r="F454" s="32"/>
    </row>
    <row r="455">
      <c r="E455" s="32"/>
      <c r="F455" s="32"/>
    </row>
    <row r="456">
      <c r="E456" s="32"/>
      <c r="F456" s="32"/>
    </row>
    <row r="457">
      <c r="E457" s="32"/>
      <c r="F457" s="32"/>
    </row>
    <row r="458">
      <c r="E458" s="32"/>
      <c r="F458" s="32"/>
    </row>
    <row r="459">
      <c r="E459" s="32"/>
      <c r="F459" s="32"/>
    </row>
    <row r="460">
      <c r="E460" s="32"/>
      <c r="F460" s="32"/>
    </row>
    <row r="461">
      <c r="E461" s="32"/>
      <c r="F461" s="32"/>
    </row>
    <row r="462">
      <c r="E462" s="32"/>
      <c r="F462" s="32"/>
    </row>
    <row r="463">
      <c r="E463" s="32"/>
      <c r="F463" s="32"/>
    </row>
    <row r="464">
      <c r="E464" s="32"/>
      <c r="F464" s="32"/>
    </row>
    <row r="465">
      <c r="E465" s="32"/>
      <c r="F465" s="32"/>
    </row>
    <row r="466">
      <c r="E466" s="32"/>
      <c r="F466" s="32"/>
    </row>
    <row r="467">
      <c r="E467" s="32"/>
      <c r="F467" s="32"/>
    </row>
    <row r="468">
      <c r="E468" s="32"/>
      <c r="F468" s="32"/>
    </row>
    <row r="469">
      <c r="E469" s="32"/>
      <c r="F469" s="32"/>
    </row>
    <row r="470">
      <c r="E470" s="32"/>
      <c r="F470" s="32"/>
    </row>
    <row r="471">
      <c r="E471" s="32"/>
      <c r="F471" s="32"/>
    </row>
    <row r="472">
      <c r="E472" s="32"/>
      <c r="F472" s="32"/>
    </row>
    <row r="473">
      <c r="E473" s="32"/>
      <c r="F473" s="32"/>
    </row>
    <row r="474">
      <c r="E474" s="32"/>
      <c r="F474" s="32"/>
    </row>
    <row r="475">
      <c r="E475" s="32"/>
      <c r="F475" s="32"/>
    </row>
    <row r="476">
      <c r="E476" s="32"/>
      <c r="F476" s="32"/>
    </row>
    <row r="477">
      <c r="E477" s="32"/>
      <c r="F477" s="32"/>
    </row>
    <row r="478">
      <c r="E478" s="32"/>
      <c r="F478" s="32"/>
    </row>
    <row r="479">
      <c r="E479" s="32"/>
      <c r="F479" s="32"/>
    </row>
    <row r="480">
      <c r="E480" s="32"/>
      <c r="F480" s="32"/>
    </row>
    <row r="481">
      <c r="E481" s="32"/>
      <c r="F481" s="32"/>
    </row>
    <row r="482">
      <c r="E482" s="32"/>
      <c r="F482" s="32"/>
    </row>
    <row r="483">
      <c r="E483" s="32"/>
      <c r="F483" s="32"/>
    </row>
    <row r="484">
      <c r="E484" s="32"/>
      <c r="F484" s="32"/>
    </row>
    <row r="485">
      <c r="E485" s="32"/>
      <c r="F485" s="32"/>
    </row>
    <row r="486">
      <c r="E486" s="32"/>
      <c r="F486" s="32"/>
    </row>
    <row r="487">
      <c r="E487" s="32"/>
      <c r="F487" s="32"/>
    </row>
    <row r="488">
      <c r="E488" s="32"/>
      <c r="F488" s="32"/>
    </row>
    <row r="489">
      <c r="E489" s="32"/>
      <c r="F489" s="32"/>
    </row>
    <row r="490">
      <c r="E490" s="32"/>
      <c r="F490" s="32"/>
    </row>
    <row r="491">
      <c r="E491" s="32"/>
      <c r="F491" s="32"/>
    </row>
    <row r="492">
      <c r="E492" s="32"/>
      <c r="F492" s="32"/>
    </row>
    <row r="493">
      <c r="E493" s="32"/>
      <c r="F493" s="32"/>
    </row>
    <row r="494">
      <c r="E494" s="32"/>
      <c r="F494" s="32"/>
    </row>
    <row r="495">
      <c r="E495" s="32"/>
      <c r="F495" s="32"/>
    </row>
    <row r="496">
      <c r="E496" s="32"/>
      <c r="F496" s="32"/>
    </row>
    <row r="497">
      <c r="E497" s="32"/>
      <c r="F497" s="32"/>
    </row>
    <row r="498">
      <c r="E498" s="32"/>
      <c r="F498" s="32"/>
    </row>
    <row r="499">
      <c r="E499" s="32"/>
      <c r="F499" s="32"/>
    </row>
    <row r="500">
      <c r="E500" s="32"/>
      <c r="F500" s="32"/>
    </row>
    <row r="501">
      <c r="E501" s="32"/>
      <c r="F501" s="32"/>
    </row>
    <row r="502">
      <c r="E502" s="32"/>
      <c r="F502" s="32"/>
    </row>
    <row r="503">
      <c r="E503" s="32"/>
      <c r="F503" s="32"/>
    </row>
    <row r="504">
      <c r="E504" s="32"/>
      <c r="F504" s="32"/>
    </row>
    <row r="505">
      <c r="E505" s="32"/>
      <c r="F505" s="32"/>
    </row>
    <row r="506">
      <c r="E506" s="32"/>
      <c r="F506" s="32"/>
    </row>
    <row r="507">
      <c r="E507" s="32"/>
      <c r="F507" s="32"/>
    </row>
    <row r="508">
      <c r="E508" s="32"/>
      <c r="F508" s="32"/>
    </row>
    <row r="509">
      <c r="E509" s="32"/>
      <c r="F509" s="32"/>
    </row>
    <row r="510">
      <c r="E510" s="32"/>
      <c r="F510" s="32"/>
    </row>
    <row r="511">
      <c r="E511" s="32"/>
      <c r="F511" s="32"/>
    </row>
    <row r="512">
      <c r="E512" s="32"/>
      <c r="F512" s="32"/>
    </row>
    <row r="513">
      <c r="E513" s="32"/>
      <c r="F513" s="32"/>
    </row>
    <row r="514">
      <c r="E514" s="32"/>
      <c r="F514" s="32"/>
    </row>
    <row r="515">
      <c r="E515" s="32"/>
      <c r="F515" s="32"/>
    </row>
    <row r="516">
      <c r="E516" s="32"/>
      <c r="F516" s="32"/>
    </row>
    <row r="517">
      <c r="E517" s="32"/>
      <c r="F517" s="32"/>
    </row>
    <row r="518">
      <c r="E518" s="32"/>
      <c r="F518" s="32"/>
    </row>
    <row r="519">
      <c r="E519" s="32"/>
      <c r="F519" s="32"/>
    </row>
    <row r="520">
      <c r="E520" s="32"/>
      <c r="F520" s="32"/>
    </row>
    <row r="521">
      <c r="E521" s="32"/>
      <c r="F521" s="32"/>
    </row>
    <row r="522">
      <c r="E522" s="32"/>
      <c r="F522" s="32"/>
    </row>
    <row r="523">
      <c r="E523" s="32"/>
      <c r="F523" s="32"/>
    </row>
    <row r="524">
      <c r="E524" s="32"/>
      <c r="F524" s="32"/>
    </row>
    <row r="525">
      <c r="E525" s="32"/>
      <c r="F525" s="32"/>
    </row>
    <row r="526">
      <c r="E526" s="32"/>
      <c r="F526" s="32"/>
    </row>
    <row r="527">
      <c r="E527" s="32"/>
      <c r="F527" s="32"/>
    </row>
    <row r="528">
      <c r="E528" s="32"/>
      <c r="F528" s="32"/>
    </row>
    <row r="529">
      <c r="E529" s="32"/>
      <c r="F529" s="32"/>
    </row>
    <row r="530">
      <c r="E530" s="32"/>
      <c r="F530" s="32"/>
    </row>
    <row r="531">
      <c r="E531" s="32"/>
      <c r="F531" s="32"/>
    </row>
    <row r="532">
      <c r="E532" s="32"/>
      <c r="F532" s="32"/>
    </row>
    <row r="533">
      <c r="E533" s="32"/>
      <c r="F533" s="32"/>
    </row>
    <row r="534">
      <c r="E534" s="32"/>
      <c r="F534" s="32"/>
    </row>
    <row r="535">
      <c r="E535" s="32"/>
      <c r="F535" s="32"/>
    </row>
    <row r="536">
      <c r="E536" s="32"/>
      <c r="F536" s="32"/>
    </row>
    <row r="537">
      <c r="E537" s="32"/>
      <c r="F537" s="32"/>
    </row>
    <row r="538">
      <c r="E538" s="32"/>
      <c r="F538" s="32"/>
    </row>
    <row r="539">
      <c r="E539" s="32"/>
      <c r="F539" s="32"/>
    </row>
    <row r="540">
      <c r="E540" s="32"/>
      <c r="F540" s="32"/>
    </row>
    <row r="541">
      <c r="E541" s="32"/>
      <c r="F541" s="32"/>
    </row>
    <row r="542">
      <c r="E542" s="32"/>
      <c r="F542" s="32"/>
    </row>
    <row r="543">
      <c r="E543" s="32"/>
      <c r="F543" s="32"/>
    </row>
    <row r="544">
      <c r="E544" s="32"/>
      <c r="F544" s="32"/>
    </row>
    <row r="545">
      <c r="E545" s="32"/>
      <c r="F545" s="32"/>
    </row>
    <row r="546">
      <c r="E546" s="32"/>
      <c r="F546" s="32"/>
    </row>
    <row r="547">
      <c r="E547" s="32"/>
      <c r="F547" s="32"/>
    </row>
    <row r="548">
      <c r="E548" s="32"/>
      <c r="F548" s="32"/>
    </row>
    <row r="549">
      <c r="E549" s="32"/>
      <c r="F549" s="32"/>
    </row>
    <row r="550">
      <c r="E550" s="32"/>
      <c r="F550" s="32"/>
    </row>
    <row r="551">
      <c r="E551" s="32"/>
      <c r="F551" s="32"/>
    </row>
    <row r="552">
      <c r="E552" s="32"/>
      <c r="F552" s="32"/>
    </row>
    <row r="553">
      <c r="E553" s="32"/>
      <c r="F553" s="32"/>
    </row>
    <row r="554">
      <c r="E554" s="32"/>
      <c r="F554" s="32"/>
    </row>
    <row r="555">
      <c r="E555" s="32"/>
      <c r="F555" s="32"/>
    </row>
    <row r="556">
      <c r="E556" s="32"/>
      <c r="F556" s="32"/>
    </row>
    <row r="557">
      <c r="E557" s="32"/>
      <c r="F557" s="32"/>
    </row>
    <row r="558">
      <c r="E558" s="32"/>
      <c r="F558" s="32"/>
    </row>
    <row r="559">
      <c r="E559" s="32"/>
      <c r="F559" s="32"/>
    </row>
    <row r="560">
      <c r="E560" s="32"/>
      <c r="F560" s="32"/>
    </row>
    <row r="561">
      <c r="E561" s="32"/>
      <c r="F561" s="32"/>
    </row>
    <row r="562">
      <c r="E562" s="32"/>
      <c r="F562" s="32"/>
    </row>
    <row r="563">
      <c r="E563" s="32"/>
      <c r="F563" s="32"/>
    </row>
    <row r="564">
      <c r="E564" s="32"/>
      <c r="F564" s="32"/>
    </row>
    <row r="565">
      <c r="E565" s="32"/>
      <c r="F565" s="32"/>
    </row>
    <row r="566">
      <c r="E566" s="32"/>
      <c r="F566" s="32"/>
    </row>
    <row r="567">
      <c r="E567" s="32"/>
      <c r="F567" s="32"/>
    </row>
    <row r="568">
      <c r="E568" s="32"/>
      <c r="F568" s="32"/>
    </row>
    <row r="569">
      <c r="E569" s="32"/>
      <c r="F569" s="32"/>
    </row>
    <row r="570">
      <c r="E570" s="32"/>
      <c r="F570" s="32"/>
    </row>
    <row r="571">
      <c r="E571" s="32"/>
      <c r="F571" s="32"/>
    </row>
    <row r="572">
      <c r="E572" s="32"/>
      <c r="F572" s="32"/>
    </row>
    <row r="573">
      <c r="E573" s="32"/>
      <c r="F573" s="32"/>
    </row>
    <row r="574">
      <c r="E574" s="32"/>
      <c r="F574" s="32"/>
    </row>
    <row r="575">
      <c r="E575" s="32"/>
      <c r="F575" s="32"/>
    </row>
    <row r="576">
      <c r="E576" s="32"/>
      <c r="F576" s="32"/>
    </row>
    <row r="577">
      <c r="E577" s="32"/>
      <c r="F577" s="32"/>
    </row>
    <row r="578">
      <c r="E578" s="32"/>
      <c r="F578" s="32"/>
    </row>
    <row r="579">
      <c r="E579" s="32"/>
      <c r="F579" s="32"/>
    </row>
    <row r="580">
      <c r="E580" s="32"/>
      <c r="F580" s="32"/>
    </row>
    <row r="581">
      <c r="E581" s="32"/>
      <c r="F581" s="32"/>
    </row>
    <row r="582">
      <c r="E582" s="32"/>
      <c r="F582" s="32"/>
    </row>
    <row r="583">
      <c r="E583" s="32"/>
      <c r="F583" s="32"/>
    </row>
    <row r="584">
      <c r="E584" s="32"/>
      <c r="F584" s="32"/>
    </row>
    <row r="585">
      <c r="E585" s="32"/>
      <c r="F585" s="32"/>
    </row>
    <row r="586">
      <c r="E586" s="32"/>
      <c r="F586" s="32"/>
    </row>
    <row r="587">
      <c r="E587" s="32"/>
      <c r="F587" s="32"/>
    </row>
    <row r="588">
      <c r="E588" s="32"/>
      <c r="F588" s="32"/>
    </row>
    <row r="589">
      <c r="E589" s="32"/>
      <c r="F589" s="32"/>
    </row>
    <row r="590">
      <c r="E590" s="32"/>
      <c r="F590" s="32"/>
    </row>
    <row r="591">
      <c r="E591" s="32"/>
      <c r="F591" s="32"/>
    </row>
    <row r="592">
      <c r="E592" s="32"/>
      <c r="F592" s="32"/>
    </row>
    <row r="593">
      <c r="E593" s="32"/>
      <c r="F593" s="32"/>
    </row>
    <row r="594">
      <c r="E594" s="32"/>
      <c r="F594" s="32"/>
    </row>
    <row r="595">
      <c r="E595" s="32"/>
      <c r="F595" s="32"/>
    </row>
    <row r="596">
      <c r="E596" s="32"/>
      <c r="F596" s="32"/>
    </row>
    <row r="597">
      <c r="E597" s="32"/>
      <c r="F597" s="32"/>
    </row>
    <row r="598">
      <c r="E598" s="32"/>
      <c r="F598" s="32"/>
    </row>
    <row r="599">
      <c r="E599" s="32"/>
      <c r="F599" s="32"/>
    </row>
    <row r="600">
      <c r="E600" s="32"/>
      <c r="F600" s="32"/>
    </row>
    <row r="601">
      <c r="E601" s="32"/>
      <c r="F601" s="32"/>
    </row>
    <row r="602">
      <c r="E602" s="32"/>
      <c r="F602" s="32"/>
    </row>
    <row r="603">
      <c r="E603" s="32"/>
      <c r="F603" s="32"/>
    </row>
    <row r="604">
      <c r="E604" s="32"/>
      <c r="F604" s="32"/>
    </row>
    <row r="605">
      <c r="E605" s="32"/>
      <c r="F605" s="32"/>
    </row>
    <row r="606">
      <c r="E606" s="32"/>
      <c r="F606" s="32"/>
    </row>
    <row r="607">
      <c r="E607" s="32"/>
      <c r="F607" s="32"/>
    </row>
    <row r="608">
      <c r="E608" s="32"/>
      <c r="F608" s="32"/>
    </row>
    <row r="609">
      <c r="E609" s="32"/>
      <c r="F609" s="32"/>
    </row>
    <row r="610">
      <c r="E610" s="32"/>
      <c r="F610" s="32"/>
    </row>
    <row r="611">
      <c r="E611" s="32"/>
      <c r="F611" s="32"/>
    </row>
    <row r="612">
      <c r="E612" s="32"/>
      <c r="F612" s="32"/>
    </row>
    <row r="613">
      <c r="E613" s="32"/>
      <c r="F613" s="32"/>
    </row>
    <row r="614">
      <c r="E614" s="32"/>
      <c r="F614" s="32"/>
    </row>
    <row r="615">
      <c r="E615" s="32"/>
      <c r="F615" s="32"/>
    </row>
    <row r="616">
      <c r="E616" s="32"/>
      <c r="F616" s="32"/>
    </row>
    <row r="617">
      <c r="E617" s="32"/>
      <c r="F617" s="32"/>
    </row>
    <row r="618">
      <c r="E618" s="32"/>
      <c r="F618" s="32"/>
    </row>
    <row r="619">
      <c r="E619" s="32"/>
      <c r="F619" s="32"/>
    </row>
    <row r="620">
      <c r="E620" s="32"/>
      <c r="F620" s="32"/>
    </row>
    <row r="621">
      <c r="E621" s="32"/>
      <c r="F621" s="32"/>
    </row>
    <row r="622">
      <c r="E622" s="32"/>
      <c r="F622" s="32"/>
    </row>
    <row r="623">
      <c r="E623" s="32"/>
      <c r="F623" s="32"/>
    </row>
    <row r="624">
      <c r="E624" s="32"/>
      <c r="F624" s="32"/>
    </row>
    <row r="625">
      <c r="E625" s="32"/>
      <c r="F625" s="32"/>
    </row>
    <row r="626">
      <c r="E626" s="32"/>
      <c r="F626" s="32"/>
    </row>
    <row r="627">
      <c r="E627" s="32"/>
      <c r="F627" s="32"/>
    </row>
    <row r="628">
      <c r="E628" s="32"/>
      <c r="F628" s="32"/>
    </row>
    <row r="629">
      <c r="E629" s="32"/>
      <c r="F629" s="32"/>
    </row>
    <row r="630">
      <c r="E630" s="32"/>
      <c r="F630" s="32"/>
    </row>
    <row r="631">
      <c r="E631" s="32"/>
      <c r="F631" s="32"/>
    </row>
    <row r="632">
      <c r="E632" s="32"/>
      <c r="F632" s="32"/>
    </row>
    <row r="633">
      <c r="E633" s="32"/>
      <c r="F633" s="32"/>
    </row>
    <row r="634">
      <c r="E634" s="32"/>
      <c r="F634" s="32"/>
    </row>
    <row r="635">
      <c r="E635" s="32"/>
      <c r="F635" s="32"/>
    </row>
    <row r="636">
      <c r="E636" s="32"/>
      <c r="F636" s="32"/>
    </row>
    <row r="637">
      <c r="E637" s="32"/>
      <c r="F637" s="32"/>
    </row>
    <row r="638">
      <c r="E638" s="32"/>
      <c r="F638" s="32"/>
    </row>
    <row r="639">
      <c r="E639" s="32"/>
      <c r="F639" s="32"/>
    </row>
    <row r="640">
      <c r="E640" s="32"/>
      <c r="F640" s="32"/>
    </row>
    <row r="641">
      <c r="E641" s="32"/>
      <c r="F641" s="32"/>
    </row>
    <row r="642">
      <c r="E642" s="32"/>
      <c r="F642" s="32"/>
    </row>
    <row r="643">
      <c r="E643" s="32"/>
      <c r="F643" s="32"/>
    </row>
    <row r="644">
      <c r="E644" s="32"/>
      <c r="F644" s="32"/>
    </row>
    <row r="645">
      <c r="E645" s="32"/>
      <c r="F645" s="32"/>
    </row>
    <row r="646">
      <c r="E646" s="32"/>
      <c r="F646" s="32"/>
    </row>
    <row r="647">
      <c r="E647" s="32"/>
      <c r="F647" s="32"/>
    </row>
    <row r="648">
      <c r="E648" s="32"/>
      <c r="F648" s="32"/>
    </row>
    <row r="649">
      <c r="E649" s="32"/>
      <c r="F649" s="32"/>
    </row>
    <row r="650">
      <c r="E650" s="32"/>
      <c r="F650" s="32"/>
    </row>
    <row r="651">
      <c r="E651" s="32"/>
      <c r="F651" s="32"/>
    </row>
    <row r="652">
      <c r="E652" s="32"/>
      <c r="F652" s="32"/>
    </row>
    <row r="653">
      <c r="E653" s="32"/>
      <c r="F653" s="32"/>
    </row>
    <row r="654">
      <c r="E654" s="32"/>
      <c r="F654" s="32"/>
    </row>
    <row r="655">
      <c r="E655" s="32"/>
      <c r="F655" s="32"/>
    </row>
    <row r="656">
      <c r="E656" s="32"/>
      <c r="F656" s="32"/>
    </row>
    <row r="657">
      <c r="E657" s="32"/>
      <c r="F657" s="32"/>
    </row>
    <row r="658">
      <c r="E658" s="32"/>
      <c r="F658" s="32"/>
    </row>
    <row r="659">
      <c r="E659" s="32"/>
      <c r="F659" s="32"/>
    </row>
    <row r="660">
      <c r="E660" s="32"/>
      <c r="F660" s="32"/>
    </row>
    <row r="661">
      <c r="E661" s="32"/>
      <c r="F661" s="32"/>
    </row>
    <row r="662">
      <c r="E662" s="32"/>
      <c r="F662" s="32"/>
    </row>
    <row r="663">
      <c r="E663" s="32"/>
      <c r="F663" s="32"/>
    </row>
    <row r="664">
      <c r="E664" s="32"/>
      <c r="F664" s="32"/>
    </row>
    <row r="665">
      <c r="E665" s="32"/>
      <c r="F665" s="32"/>
    </row>
    <row r="666">
      <c r="E666" s="32"/>
      <c r="F666" s="32"/>
    </row>
    <row r="667">
      <c r="E667" s="32"/>
      <c r="F667" s="32"/>
    </row>
    <row r="668">
      <c r="E668" s="32"/>
      <c r="F668" s="32"/>
    </row>
    <row r="669">
      <c r="E669" s="32"/>
      <c r="F669" s="32"/>
    </row>
    <row r="670">
      <c r="E670" s="32"/>
      <c r="F670" s="32"/>
    </row>
    <row r="671">
      <c r="E671" s="32"/>
      <c r="F671" s="32"/>
    </row>
    <row r="672">
      <c r="E672" s="32"/>
      <c r="F672" s="32"/>
    </row>
    <row r="673">
      <c r="E673" s="32"/>
      <c r="F673" s="32"/>
    </row>
    <row r="674">
      <c r="E674" s="32"/>
      <c r="F674" s="32"/>
    </row>
    <row r="675">
      <c r="E675" s="32"/>
      <c r="F675" s="32"/>
    </row>
    <row r="676">
      <c r="E676" s="32"/>
      <c r="F676" s="32"/>
    </row>
    <row r="677">
      <c r="E677" s="32"/>
      <c r="F677" s="32"/>
    </row>
    <row r="678">
      <c r="E678" s="32"/>
      <c r="F678" s="32"/>
    </row>
    <row r="679">
      <c r="E679" s="32"/>
      <c r="F679" s="32"/>
    </row>
    <row r="680">
      <c r="E680" s="32"/>
      <c r="F680" s="32"/>
    </row>
    <row r="681">
      <c r="E681" s="32"/>
      <c r="F681" s="32"/>
    </row>
    <row r="682">
      <c r="E682" s="32"/>
      <c r="F682" s="32"/>
    </row>
    <row r="683">
      <c r="E683" s="32"/>
      <c r="F683" s="32"/>
    </row>
    <row r="684">
      <c r="E684" s="32"/>
      <c r="F684" s="32"/>
    </row>
    <row r="685">
      <c r="E685" s="32"/>
      <c r="F685" s="32"/>
    </row>
    <row r="686">
      <c r="E686" s="32"/>
      <c r="F686" s="32"/>
    </row>
    <row r="687">
      <c r="E687" s="32"/>
      <c r="F687" s="32"/>
    </row>
    <row r="688">
      <c r="E688" s="32"/>
      <c r="F688" s="32"/>
    </row>
    <row r="689">
      <c r="E689" s="32"/>
      <c r="F689" s="32"/>
    </row>
    <row r="690">
      <c r="E690" s="32"/>
      <c r="F690" s="32"/>
    </row>
    <row r="691">
      <c r="E691" s="32"/>
      <c r="F691" s="32"/>
    </row>
    <row r="692">
      <c r="E692" s="32"/>
      <c r="F692" s="32"/>
    </row>
    <row r="693">
      <c r="E693" s="32"/>
      <c r="F693" s="32"/>
    </row>
    <row r="694">
      <c r="E694" s="32"/>
      <c r="F694" s="32"/>
    </row>
    <row r="695">
      <c r="E695" s="32"/>
      <c r="F695" s="32"/>
    </row>
    <row r="696">
      <c r="E696" s="32"/>
      <c r="F696" s="32"/>
    </row>
    <row r="697">
      <c r="E697" s="32"/>
      <c r="F697" s="32"/>
    </row>
    <row r="698">
      <c r="E698" s="32"/>
      <c r="F698" s="32"/>
    </row>
    <row r="699">
      <c r="E699" s="32"/>
      <c r="F699" s="32"/>
    </row>
    <row r="700">
      <c r="E700" s="32"/>
      <c r="F700" s="32"/>
    </row>
    <row r="701">
      <c r="E701" s="32"/>
      <c r="F701" s="32"/>
    </row>
    <row r="702">
      <c r="E702" s="32"/>
      <c r="F702" s="32"/>
    </row>
    <row r="703">
      <c r="E703" s="32"/>
      <c r="F703" s="32"/>
    </row>
    <row r="704">
      <c r="E704" s="32"/>
      <c r="F704" s="32"/>
    </row>
    <row r="705">
      <c r="E705" s="32"/>
      <c r="F705" s="32"/>
    </row>
    <row r="706">
      <c r="E706" s="32"/>
      <c r="F706" s="32"/>
    </row>
    <row r="707">
      <c r="E707" s="32"/>
      <c r="F707" s="32"/>
    </row>
    <row r="708">
      <c r="E708" s="32"/>
      <c r="F708" s="32"/>
    </row>
    <row r="709">
      <c r="E709" s="32"/>
      <c r="F709" s="32"/>
    </row>
    <row r="710">
      <c r="E710" s="32"/>
      <c r="F710" s="32"/>
    </row>
    <row r="711">
      <c r="E711" s="32"/>
      <c r="F711" s="32"/>
    </row>
    <row r="712">
      <c r="E712" s="32"/>
      <c r="F712" s="32"/>
    </row>
    <row r="713">
      <c r="E713" s="32"/>
      <c r="F713" s="32"/>
    </row>
    <row r="714">
      <c r="E714" s="32"/>
      <c r="F714" s="32"/>
    </row>
    <row r="715">
      <c r="E715" s="32"/>
      <c r="F715" s="32"/>
    </row>
    <row r="716">
      <c r="E716" s="32"/>
      <c r="F716" s="32"/>
    </row>
    <row r="717">
      <c r="E717" s="32"/>
      <c r="F717" s="32"/>
    </row>
    <row r="718">
      <c r="E718" s="32"/>
      <c r="F718" s="32"/>
    </row>
    <row r="719">
      <c r="E719" s="32"/>
      <c r="F719" s="32"/>
    </row>
    <row r="720">
      <c r="E720" s="32"/>
      <c r="F720" s="32"/>
    </row>
    <row r="721">
      <c r="E721" s="32"/>
      <c r="F721" s="32"/>
    </row>
    <row r="722">
      <c r="E722" s="32"/>
      <c r="F722" s="32"/>
    </row>
    <row r="723">
      <c r="E723" s="32"/>
      <c r="F723" s="32"/>
    </row>
    <row r="724">
      <c r="E724" s="32"/>
      <c r="F724" s="32"/>
    </row>
    <row r="725">
      <c r="E725" s="32"/>
      <c r="F725" s="32"/>
    </row>
    <row r="726">
      <c r="E726" s="32"/>
      <c r="F726" s="32"/>
    </row>
    <row r="727">
      <c r="E727" s="32"/>
      <c r="F727" s="32"/>
    </row>
    <row r="728">
      <c r="E728" s="32"/>
      <c r="F728" s="32"/>
    </row>
    <row r="729">
      <c r="E729" s="32"/>
      <c r="F729" s="32"/>
    </row>
    <row r="730">
      <c r="E730" s="32"/>
      <c r="F730" s="32"/>
    </row>
    <row r="731">
      <c r="E731" s="32"/>
      <c r="F731" s="32"/>
    </row>
    <row r="732">
      <c r="E732" s="32"/>
      <c r="F732" s="32"/>
    </row>
    <row r="733">
      <c r="E733" s="32"/>
      <c r="F733" s="32"/>
    </row>
    <row r="734">
      <c r="E734" s="32"/>
      <c r="F734" s="32"/>
    </row>
    <row r="735">
      <c r="E735" s="32"/>
      <c r="F735" s="32"/>
    </row>
    <row r="736">
      <c r="E736" s="32"/>
      <c r="F736" s="32"/>
    </row>
    <row r="737">
      <c r="E737" s="32"/>
      <c r="F737" s="32"/>
    </row>
    <row r="738">
      <c r="E738" s="32"/>
      <c r="F738" s="32"/>
    </row>
    <row r="739">
      <c r="E739" s="32"/>
      <c r="F739" s="32"/>
    </row>
    <row r="740">
      <c r="E740" s="32"/>
      <c r="F740" s="32"/>
    </row>
    <row r="741">
      <c r="E741" s="32"/>
      <c r="F741" s="32"/>
    </row>
    <row r="742">
      <c r="E742" s="32"/>
      <c r="F742" s="32"/>
    </row>
    <row r="743">
      <c r="E743" s="32"/>
      <c r="F743" s="32"/>
    </row>
    <row r="744">
      <c r="E744" s="32"/>
      <c r="F744" s="32"/>
    </row>
    <row r="745">
      <c r="E745" s="32"/>
      <c r="F745" s="32"/>
    </row>
    <row r="746">
      <c r="E746" s="32"/>
      <c r="F746" s="32"/>
    </row>
    <row r="747">
      <c r="E747" s="32"/>
      <c r="F747" s="32"/>
    </row>
    <row r="748">
      <c r="E748" s="32"/>
      <c r="F748" s="32"/>
    </row>
    <row r="749">
      <c r="E749" s="32"/>
      <c r="F749" s="32"/>
    </row>
    <row r="750">
      <c r="E750" s="32"/>
      <c r="F750" s="32"/>
    </row>
    <row r="751">
      <c r="E751" s="32"/>
      <c r="F751" s="32"/>
    </row>
    <row r="752">
      <c r="E752" s="32"/>
      <c r="F752" s="32"/>
    </row>
    <row r="753">
      <c r="E753" s="32"/>
      <c r="F753" s="32"/>
    </row>
    <row r="754">
      <c r="E754" s="32"/>
      <c r="F754" s="32"/>
    </row>
    <row r="755">
      <c r="E755" s="32"/>
      <c r="F755" s="32"/>
    </row>
    <row r="756">
      <c r="E756" s="32"/>
      <c r="F756" s="32"/>
    </row>
    <row r="757">
      <c r="E757" s="32"/>
      <c r="F757" s="32"/>
    </row>
    <row r="758">
      <c r="E758" s="32"/>
      <c r="F758" s="32"/>
    </row>
    <row r="759">
      <c r="E759" s="32"/>
      <c r="F759" s="32"/>
    </row>
    <row r="760">
      <c r="E760" s="32"/>
      <c r="F760" s="32"/>
    </row>
    <row r="761">
      <c r="E761" s="32"/>
      <c r="F761" s="32"/>
    </row>
    <row r="762">
      <c r="E762" s="32"/>
      <c r="F762" s="32"/>
    </row>
    <row r="763">
      <c r="E763" s="32"/>
      <c r="F763" s="32"/>
    </row>
    <row r="764">
      <c r="E764" s="32"/>
      <c r="F764" s="32"/>
    </row>
    <row r="765">
      <c r="E765" s="32"/>
      <c r="F765" s="32"/>
    </row>
    <row r="766">
      <c r="E766" s="32"/>
      <c r="F766" s="32"/>
    </row>
    <row r="767">
      <c r="E767" s="32"/>
      <c r="F767" s="32"/>
    </row>
    <row r="768">
      <c r="E768" s="32"/>
      <c r="F768" s="32"/>
    </row>
    <row r="769">
      <c r="E769" s="32"/>
      <c r="F769" s="32"/>
    </row>
    <row r="770">
      <c r="E770" s="32"/>
      <c r="F770" s="32"/>
    </row>
    <row r="771">
      <c r="E771" s="32"/>
      <c r="F771" s="32"/>
    </row>
    <row r="772">
      <c r="E772" s="32"/>
      <c r="F772" s="32"/>
    </row>
    <row r="773">
      <c r="E773" s="32"/>
      <c r="F773" s="32"/>
    </row>
    <row r="774">
      <c r="E774" s="32"/>
      <c r="F774" s="32"/>
    </row>
    <row r="775">
      <c r="E775" s="32"/>
      <c r="F775" s="32"/>
    </row>
    <row r="776">
      <c r="E776" s="32"/>
      <c r="F776" s="32"/>
    </row>
    <row r="777">
      <c r="E777" s="32"/>
      <c r="F777" s="32"/>
    </row>
    <row r="778">
      <c r="E778" s="32"/>
      <c r="F778" s="32"/>
    </row>
    <row r="779">
      <c r="E779" s="32"/>
      <c r="F779" s="32"/>
    </row>
    <row r="780">
      <c r="E780" s="32"/>
      <c r="F780" s="32"/>
    </row>
    <row r="781">
      <c r="E781" s="32"/>
      <c r="F781" s="32"/>
    </row>
    <row r="782">
      <c r="E782" s="32"/>
      <c r="F782" s="32"/>
    </row>
    <row r="783">
      <c r="E783" s="32"/>
      <c r="F783" s="32"/>
    </row>
    <row r="784">
      <c r="E784" s="32"/>
      <c r="F784" s="32"/>
    </row>
    <row r="785">
      <c r="E785" s="32"/>
      <c r="F785" s="32"/>
    </row>
    <row r="786">
      <c r="E786" s="32"/>
      <c r="F786" s="32"/>
    </row>
    <row r="787">
      <c r="E787" s="32"/>
      <c r="F787" s="32"/>
    </row>
    <row r="788">
      <c r="E788" s="32"/>
      <c r="F788" s="32"/>
    </row>
    <row r="789">
      <c r="E789" s="32"/>
      <c r="F789" s="32"/>
    </row>
    <row r="790">
      <c r="E790" s="32"/>
      <c r="F790" s="32"/>
    </row>
    <row r="791">
      <c r="E791" s="32"/>
      <c r="F791" s="32"/>
    </row>
    <row r="792">
      <c r="E792" s="32"/>
      <c r="F792" s="32"/>
    </row>
    <row r="793">
      <c r="E793" s="32"/>
      <c r="F793" s="32"/>
    </row>
    <row r="794">
      <c r="E794" s="32"/>
      <c r="F794" s="32"/>
    </row>
    <row r="795">
      <c r="E795" s="32"/>
      <c r="F795" s="32"/>
    </row>
    <row r="796">
      <c r="E796" s="32"/>
      <c r="F796" s="32"/>
    </row>
    <row r="797">
      <c r="E797" s="32"/>
      <c r="F797" s="32"/>
    </row>
    <row r="798">
      <c r="E798" s="32"/>
      <c r="F798" s="32"/>
    </row>
    <row r="799">
      <c r="E799" s="32"/>
      <c r="F799" s="32"/>
    </row>
    <row r="800">
      <c r="E800" s="32"/>
      <c r="F800" s="32"/>
    </row>
    <row r="801">
      <c r="E801" s="32"/>
      <c r="F801" s="32"/>
    </row>
    <row r="802">
      <c r="E802" s="32"/>
      <c r="F802" s="32"/>
    </row>
    <row r="803">
      <c r="E803" s="32"/>
      <c r="F803" s="32"/>
    </row>
    <row r="804">
      <c r="E804" s="32"/>
      <c r="F804" s="32"/>
    </row>
    <row r="805">
      <c r="E805" s="32"/>
      <c r="F805" s="32"/>
    </row>
    <row r="806">
      <c r="E806" s="32"/>
      <c r="F806" s="32"/>
    </row>
    <row r="807">
      <c r="E807" s="32"/>
      <c r="F807" s="32"/>
    </row>
    <row r="808">
      <c r="E808" s="32"/>
      <c r="F808" s="32"/>
    </row>
    <row r="809">
      <c r="E809" s="32"/>
      <c r="F809" s="32"/>
    </row>
    <row r="810">
      <c r="E810" s="32"/>
      <c r="F810" s="32"/>
    </row>
    <row r="811">
      <c r="E811" s="32"/>
      <c r="F811" s="32"/>
    </row>
    <row r="812">
      <c r="E812" s="32"/>
      <c r="F812" s="32"/>
    </row>
    <row r="813">
      <c r="E813" s="32"/>
      <c r="F813" s="32"/>
    </row>
    <row r="814">
      <c r="E814" s="32"/>
      <c r="F814" s="32"/>
    </row>
    <row r="815">
      <c r="E815" s="32"/>
      <c r="F815" s="32"/>
    </row>
    <row r="816">
      <c r="E816" s="32"/>
      <c r="F816" s="32"/>
    </row>
    <row r="817">
      <c r="E817" s="32"/>
      <c r="F817" s="32"/>
    </row>
    <row r="818">
      <c r="E818" s="32"/>
      <c r="F818" s="32"/>
    </row>
    <row r="819">
      <c r="E819" s="32"/>
      <c r="F819" s="32"/>
    </row>
    <row r="820">
      <c r="E820" s="32"/>
      <c r="F820" s="32"/>
    </row>
    <row r="821">
      <c r="E821" s="32"/>
      <c r="F821" s="32"/>
    </row>
    <row r="822">
      <c r="E822" s="32"/>
      <c r="F822" s="32"/>
    </row>
    <row r="823">
      <c r="E823" s="32"/>
      <c r="F823" s="32"/>
    </row>
    <row r="824">
      <c r="E824" s="32"/>
      <c r="F824" s="32"/>
    </row>
    <row r="825">
      <c r="E825" s="32"/>
      <c r="F825" s="32"/>
    </row>
    <row r="826">
      <c r="E826" s="32"/>
      <c r="F826" s="32"/>
    </row>
    <row r="827">
      <c r="E827" s="32"/>
      <c r="F827" s="32"/>
    </row>
    <row r="828">
      <c r="E828" s="32"/>
      <c r="F828" s="32"/>
    </row>
    <row r="829">
      <c r="E829" s="32"/>
      <c r="F829" s="32"/>
    </row>
    <row r="830">
      <c r="E830" s="32"/>
      <c r="F830" s="32"/>
    </row>
    <row r="831">
      <c r="E831" s="32"/>
      <c r="F831" s="32"/>
    </row>
    <row r="832">
      <c r="E832" s="32"/>
      <c r="F832" s="32"/>
    </row>
    <row r="833">
      <c r="E833" s="32"/>
      <c r="F833" s="32"/>
    </row>
    <row r="834">
      <c r="E834" s="32"/>
      <c r="F834" s="32"/>
    </row>
    <row r="835">
      <c r="E835" s="32"/>
      <c r="F835" s="32"/>
    </row>
    <row r="836">
      <c r="E836" s="32"/>
      <c r="F836" s="32"/>
    </row>
    <row r="837">
      <c r="E837" s="32"/>
      <c r="F837" s="32"/>
    </row>
    <row r="838">
      <c r="E838" s="32"/>
      <c r="F838" s="32"/>
    </row>
    <row r="839">
      <c r="E839" s="32"/>
      <c r="F839" s="32"/>
    </row>
    <row r="840">
      <c r="E840" s="32"/>
      <c r="F840" s="32"/>
    </row>
    <row r="841">
      <c r="E841" s="32"/>
      <c r="F841" s="32"/>
    </row>
    <row r="842">
      <c r="E842" s="32"/>
      <c r="F842" s="32"/>
    </row>
    <row r="843">
      <c r="E843" s="32"/>
      <c r="F843" s="32"/>
    </row>
    <row r="844">
      <c r="E844" s="32"/>
      <c r="F844" s="32"/>
    </row>
    <row r="845">
      <c r="E845" s="32"/>
      <c r="F845" s="32"/>
    </row>
    <row r="846">
      <c r="E846" s="32"/>
      <c r="F846" s="32"/>
    </row>
    <row r="847">
      <c r="E847" s="32"/>
      <c r="F847" s="32"/>
    </row>
    <row r="848">
      <c r="E848" s="32"/>
      <c r="F848" s="32"/>
    </row>
    <row r="849">
      <c r="E849" s="32"/>
      <c r="F849" s="32"/>
    </row>
    <row r="850">
      <c r="E850" s="32"/>
      <c r="F850" s="32"/>
    </row>
    <row r="851">
      <c r="E851" s="32"/>
      <c r="F851" s="32"/>
    </row>
    <row r="852">
      <c r="E852" s="32"/>
      <c r="F852" s="32"/>
    </row>
    <row r="853">
      <c r="E853" s="32"/>
      <c r="F853" s="32"/>
    </row>
    <row r="854">
      <c r="E854" s="32"/>
      <c r="F854" s="32"/>
    </row>
    <row r="855">
      <c r="E855" s="32"/>
      <c r="F855" s="32"/>
    </row>
    <row r="856">
      <c r="E856" s="32"/>
      <c r="F856" s="32"/>
    </row>
    <row r="857">
      <c r="E857" s="32"/>
      <c r="F857" s="32"/>
    </row>
    <row r="858">
      <c r="E858" s="32"/>
      <c r="F858" s="32"/>
    </row>
    <row r="859">
      <c r="E859" s="32"/>
      <c r="F859" s="32"/>
    </row>
    <row r="860">
      <c r="E860" s="32"/>
      <c r="F860" s="32"/>
    </row>
    <row r="861">
      <c r="E861" s="32"/>
      <c r="F861" s="32"/>
    </row>
    <row r="862">
      <c r="E862" s="32"/>
      <c r="F862" s="32"/>
    </row>
    <row r="863">
      <c r="E863" s="32"/>
      <c r="F863" s="32"/>
    </row>
    <row r="864">
      <c r="E864" s="32"/>
      <c r="F864" s="32"/>
    </row>
    <row r="865">
      <c r="E865" s="32"/>
      <c r="F865" s="32"/>
    </row>
    <row r="866">
      <c r="E866" s="32"/>
      <c r="F866" s="32"/>
    </row>
    <row r="867">
      <c r="E867" s="32"/>
      <c r="F867" s="32"/>
    </row>
    <row r="868">
      <c r="E868" s="32"/>
      <c r="F868" s="32"/>
    </row>
    <row r="869">
      <c r="E869" s="32"/>
      <c r="F869" s="32"/>
    </row>
    <row r="870">
      <c r="E870" s="32"/>
      <c r="F870" s="32"/>
    </row>
    <row r="871">
      <c r="E871" s="32"/>
      <c r="F871" s="32"/>
    </row>
    <row r="872">
      <c r="E872" s="32"/>
      <c r="F872" s="32"/>
    </row>
    <row r="873">
      <c r="E873" s="32"/>
      <c r="F873" s="32"/>
    </row>
    <row r="874">
      <c r="E874" s="32"/>
      <c r="F874" s="32"/>
    </row>
    <row r="875">
      <c r="E875" s="32"/>
      <c r="F875" s="32"/>
    </row>
    <row r="876">
      <c r="E876" s="32"/>
      <c r="F876" s="32"/>
    </row>
    <row r="877">
      <c r="E877" s="32"/>
      <c r="F877" s="32"/>
    </row>
    <row r="878">
      <c r="E878" s="32"/>
      <c r="F878" s="32"/>
    </row>
    <row r="879">
      <c r="E879" s="32"/>
      <c r="F879" s="32"/>
    </row>
    <row r="880">
      <c r="E880" s="32"/>
      <c r="F880" s="32"/>
    </row>
    <row r="881">
      <c r="E881" s="32"/>
      <c r="F881" s="32"/>
    </row>
    <row r="882">
      <c r="E882" s="32"/>
      <c r="F882" s="32"/>
    </row>
    <row r="883">
      <c r="E883" s="32"/>
      <c r="F883" s="32"/>
    </row>
    <row r="884">
      <c r="E884" s="32"/>
      <c r="F884" s="32"/>
    </row>
    <row r="885">
      <c r="E885" s="32"/>
      <c r="F885" s="32"/>
    </row>
    <row r="886">
      <c r="E886" s="32"/>
      <c r="F886" s="32"/>
    </row>
    <row r="887">
      <c r="E887" s="32"/>
      <c r="F887" s="32"/>
    </row>
    <row r="888">
      <c r="E888" s="32"/>
      <c r="F888" s="32"/>
    </row>
    <row r="889">
      <c r="E889" s="32"/>
      <c r="F889" s="32"/>
    </row>
    <row r="890">
      <c r="E890" s="32"/>
      <c r="F890" s="32"/>
    </row>
    <row r="891">
      <c r="E891" s="32"/>
      <c r="F891" s="32"/>
    </row>
    <row r="892">
      <c r="E892" s="32"/>
      <c r="F892" s="32"/>
    </row>
    <row r="893">
      <c r="E893" s="32"/>
      <c r="F893" s="32"/>
    </row>
    <row r="894">
      <c r="E894" s="32"/>
      <c r="F894" s="32"/>
    </row>
    <row r="895">
      <c r="E895" s="32"/>
      <c r="F895" s="32"/>
    </row>
    <row r="896">
      <c r="E896" s="32"/>
      <c r="F896" s="32"/>
    </row>
    <row r="897">
      <c r="E897" s="32"/>
      <c r="F897" s="32"/>
    </row>
    <row r="898">
      <c r="E898" s="32"/>
      <c r="F898" s="32"/>
    </row>
    <row r="899">
      <c r="E899" s="32"/>
      <c r="F899" s="32"/>
    </row>
    <row r="900">
      <c r="E900" s="32"/>
      <c r="F900" s="32"/>
    </row>
    <row r="901">
      <c r="E901" s="32"/>
      <c r="F901" s="32"/>
    </row>
    <row r="902">
      <c r="E902" s="32"/>
      <c r="F902" s="32"/>
    </row>
    <row r="903">
      <c r="E903" s="32"/>
      <c r="F903" s="32"/>
    </row>
    <row r="904">
      <c r="E904" s="32"/>
      <c r="F904" s="32"/>
    </row>
    <row r="905">
      <c r="E905" s="32"/>
      <c r="F905" s="32"/>
    </row>
    <row r="906">
      <c r="E906" s="32"/>
      <c r="F906" s="32"/>
    </row>
    <row r="907">
      <c r="E907" s="32"/>
      <c r="F907" s="32"/>
    </row>
    <row r="908">
      <c r="E908" s="32"/>
      <c r="F908" s="32"/>
    </row>
    <row r="909">
      <c r="E909" s="32"/>
      <c r="F909" s="32"/>
    </row>
    <row r="910">
      <c r="E910" s="32"/>
      <c r="F910" s="32"/>
    </row>
    <row r="911">
      <c r="E911" s="32"/>
      <c r="F911" s="32"/>
    </row>
    <row r="912">
      <c r="E912" s="32"/>
      <c r="F912" s="32"/>
    </row>
    <row r="913">
      <c r="E913" s="32"/>
      <c r="F913" s="32"/>
    </row>
    <row r="914">
      <c r="E914" s="32"/>
      <c r="F914" s="32"/>
    </row>
    <row r="915">
      <c r="E915" s="32"/>
      <c r="F915" s="32"/>
    </row>
    <row r="916">
      <c r="E916" s="32"/>
      <c r="F916" s="32"/>
    </row>
    <row r="917">
      <c r="E917" s="32"/>
      <c r="F917" s="32"/>
    </row>
    <row r="918">
      <c r="E918" s="32"/>
      <c r="F918" s="32"/>
    </row>
    <row r="919">
      <c r="E919" s="32"/>
      <c r="F919" s="32"/>
    </row>
    <row r="920">
      <c r="E920" s="32"/>
      <c r="F920" s="32"/>
    </row>
    <row r="921">
      <c r="E921" s="32"/>
      <c r="F921" s="32"/>
    </row>
    <row r="922">
      <c r="E922" s="32"/>
      <c r="F922" s="32"/>
    </row>
    <row r="923">
      <c r="E923" s="32"/>
      <c r="F923" s="32"/>
    </row>
    <row r="924">
      <c r="E924" s="32"/>
      <c r="F924" s="32"/>
    </row>
    <row r="925">
      <c r="E925" s="32"/>
      <c r="F925" s="32"/>
    </row>
    <row r="926">
      <c r="E926" s="32"/>
      <c r="F926" s="32"/>
    </row>
    <row r="927">
      <c r="E927" s="32"/>
      <c r="F927" s="32"/>
    </row>
    <row r="928">
      <c r="E928" s="32"/>
      <c r="F928" s="32"/>
    </row>
    <row r="929">
      <c r="E929" s="32"/>
      <c r="F929" s="32"/>
    </row>
    <row r="930">
      <c r="E930" s="32"/>
      <c r="F930" s="32"/>
    </row>
    <row r="931">
      <c r="E931" s="32"/>
      <c r="F931" s="32"/>
    </row>
    <row r="932">
      <c r="E932" s="32"/>
      <c r="F932" s="32"/>
    </row>
    <row r="933">
      <c r="E933" s="32"/>
      <c r="F933" s="32"/>
    </row>
    <row r="934">
      <c r="E934" s="32"/>
      <c r="F934" s="32"/>
    </row>
    <row r="935">
      <c r="E935" s="32"/>
      <c r="F935" s="32"/>
    </row>
    <row r="936">
      <c r="E936" s="32"/>
      <c r="F936" s="32"/>
    </row>
    <row r="937">
      <c r="E937" s="32"/>
      <c r="F937" s="32"/>
    </row>
    <row r="938">
      <c r="E938" s="32"/>
      <c r="F938" s="32"/>
    </row>
    <row r="939">
      <c r="E939" s="32"/>
      <c r="F939" s="32"/>
    </row>
    <row r="940">
      <c r="E940" s="32"/>
      <c r="F940" s="32"/>
    </row>
    <row r="941">
      <c r="E941" s="32"/>
      <c r="F941" s="32"/>
    </row>
    <row r="942">
      <c r="E942" s="32"/>
      <c r="F942" s="32"/>
    </row>
    <row r="943">
      <c r="E943" s="32"/>
      <c r="F943" s="32"/>
    </row>
    <row r="944">
      <c r="E944" s="32"/>
      <c r="F944" s="32"/>
    </row>
    <row r="945">
      <c r="E945" s="32"/>
      <c r="F945" s="32"/>
    </row>
    <row r="946">
      <c r="E946" s="32"/>
      <c r="F946" s="32"/>
    </row>
    <row r="947">
      <c r="E947" s="32"/>
      <c r="F947" s="32"/>
    </row>
    <row r="948">
      <c r="E948" s="32"/>
      <c r="F948" s="32"/>
    </row>
    <row r="949">
      <c r="E949" s="32"/>
      <c r="F949" s="32"/>
    </row>
    <row r="950">
      <c r="E950" s="32"/>
      <c r="F950" s="32"/>
    </row>
    <row r="951">
      <c r="E951" s="32"/>
      <c r="F951" s="32"/>
    </row>
    <row r="952">
      <c r="E952" s="32"/>
      <c r="F952" s="32"/>
    </row>
    <row r="953">
      <c r="E953" s="32"/>
      <c r="F953" s="32"/>
    </row>
    <row r="954">
      <c r="E954" s="32"/>
      <c r="F954" s="32"/>
    </row>
    <row r="955">
      <c r="E955" s="32"/>
      <c r="F955" s="32"/>
    </row>
    <row r="956">
      <c r="E956" s="32"/>
      <c r="F956" s="32"/>
    </row>
    <row r="957">
      <c r="E957" s="32"/>
      <c r="F957" s="32"/>
    </row>
    <row r="958">
      <c r="E958" s="32"/>
      <c r="F958" s="32"/>
    </row>
    <row r="959">
      <c r="E959" s="32"/>
      <c r="F959" s="32"/>
    </row>
    <row r="960">
      <c r="E960" s="32"/>
      <c r="F960" s="32"/>
    </row>
    <row r="961">
      <c r="E961" s="32"/>
      <c r="F961" s="32"/>
    </row>
    <row r="962">
      <c r="E962" s="32"/>
      <c r="F962" s="32"/>
    </row>
    <row r="963">
      <c r="E963" s="32"/>
      <c r="F963" s="32"/>
    </row>
    <row r="964">
      <c r="E964" s="32"/>
      <c r="F964" s="3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63"/>
    <col customWidth="1" min="3" max="3" width="21.25"/>
    <col customWidth="1" min="4" max="4" width="12.13"/>
    <col customWidth="1" min="5" max="5" width="12.5"/>
    <col customWidth="1" min="6" max="6" width="11.38"/>
    <col customWidth="1" min="7" max="7" width="9.25"/>
    <col customWidth="1" min="8" max="8" width="40.38"/>
    <col customWidth="1" min="9" max="9" width="11.5"/>
    <col customWidth="1" min="10" max="10" width="45.25"/>
    <col customWidth="1" min="11" max="11" width="11.5"/>
    <col customWidth="1" min="12" max="12" width="24.75"/>
    <col customWidth="1" min="13" max="13" width="11.5"/>
    <col customWidth="1" min="14" max="14" width="47.5"/>
    <col customWidth="1" min="15" max="15" width="11.5"/>
    <col customWidth="1" min="16" max="16" width="46.63"/>
    <col customWidth="1" min="17" max="17" width="11.5"/>
    <col customWidth="1" min="18" max="18" width="47.88"/>
    <col customWidth="1" min="19" max="19" width="11.5"/>
    <col customWidth="1" min="20" max="20" width="26.38"/>
    <col customWidth="1" min="21" max="21" width="11.5"/>
    <col customWidth="1" min="22" max="22" width="55.75"/>
    <col customWidth="1" min="23" max="23" width="11.5"/>
    <col customWidth="1" min="24" max="24" width="53.13"/>
    <col customWidth="1" min="25" max="25" width="11.5"/>
    <col customWidth="1" min="26" max="26" width="51.88"/>
    <col customWidth="1" min="27" max="27" width="11.5"/>
    <col customWidth="1" min="28" max="28" width="52.75"/>
    <col customWidth="1" min="29" max="29" width="11.5"/>
    <col customWidth="1" min="30" max="30" width="52.75"/>
    <col customWidth="1" min="31" max="31" width="11.5"/>
    <col customWidth="1" min="32" max="32" width="54.0"/>
    <col customWidth="1" min="33" max="33" width="11.5"/>
    <col customWidth="1" min="34" max="34" width="33.63"/>
    <col customWidth="1" min="35" max="35" width="11.5"/>
    <col customWidth="1" min="36" max="36" width="58.88"/>
    <col customWidth="1" min="37" max="37" width="11.5"/>
    <col customWidth="1" min="38" max="38" width="57.88"/>
    <col customWidth="1" min="39" max="39" width="11.5"/>
    <col customWidth="1" min="40" max="40" width="64.88"/>
    <col customWidth="1" min="41" max="41" width="11.5"/>
    <col customWidth="1" min="42" max="42" width="53.75"/>
    <col customWidth="1" min="43" max="43" width="11.5"/>
    <col customWidth="1" min="44" max="44" width="35.38"/>
  </cols>
  <sheetData>
    <row r="1">
      <c r="A1" s="1" t="s">
        <v>0</v>
      </c>
      <c r="B1" s="1" t="s">
        <v>1</v>
      </c>
      <c r="C1" s="1" t="s">
        <v>2</v>
      </c>
      <c r="D1" s="1" t="s">
        <v>2048</v>
      </c>
      <c r="E1" s="73" t="s">
        <v>2049</v>
      </c>
      <c r="F1" s="33" t="s">
        <v>2050</v>
      </c>
      <c r="G1" s="33" t="s">
        <v>5</v>
      </c>
      <c r="H1" s="55" t="s">
        <v>2051</v>
      </c>
      <c r="I1" s="55" t="s">
        <v>7</v>
      </c>
      <c r="J1" s="55" t="s">
        <v>2052</v>
      </c>
      <c r="K1" s="55" t="s">
        <v>7</v>
      </c>
      <c r="L1" s="55" t="s">
        <v>2053</v>
      </c>
      <c r="M1" s="55" t="s">
        <v>7</v>
      </c>
      <c r="N1" s="55" t="s">
        <v>2054</v>
      </c>
      <c r="O1" s="55" t="s">
        <v>7</v>
      </c>
      <c r="P1" s="55" t="s">
        <v>2055</v>
      </c>
      <c r="Q1" s="55" t="s">
        <v>7</v>
      </c>
      <c r="R1" s="55" t="s">
        <v>2056</v>
      </c>
      <c r="S1" s="55" t="s">
        <v>7</v>
      </c>
      <c r="T1" s="55" t="s">
        <v>2057</v>
      </c>
      <c r="U1" s="55" t="s">
        <v>7</v>
      </c>
      <c r="V1" s="55" t="s">
        <v>2058</v>
      </c>
      <c r="W1" s="55" t="s">
        <v>7</v>
      </c>
      <c r="X1" s="55" t="s">
        <v>2059</v>
      </c>
      <c r="Y1" s="55" t="s">
        <v>7</v>
      </c>
      <c r="Z1" s="55" t="s">
        <v>2060</v>
      </c>
      <c r="AA1" s="55" t="s">
        <v>7</v>
      </c>
      <c r="AB1" s="55" t="s">
        <v>2061</v>
      </c>
      <c r="AC1" s="55" t="s">
        <v>7</v>
      </c>
      <c r="AD1" s="55" t="s">
        <v>2062</v>
      </c>
      <c r="AE1" s="55" t="s">
        <v>7</v>
      </c>
      <c r="AF1" s="55" t="s">
        <v>2063</v>
      </c>
      <c r="AG1" s="55" t="s">
        <v>7</v>
      </c>
      <c r="AH1" s="74" t="s">
        <v>2064</v>
      </c>
      <c r="AI1" s="75" t="s">
        <v>7</v>
      </c>
      <c r="AJ1" s="56" t="s">
        <v>2065</v>
      </c>
      <c r="AK1" s="56" t="s">
        <v>7</v>
      </c>
      <c r="AL1" s="65" t="s">
        <v>2066</v>
      </c>
      <c r="AM1" s="56" t="s">
        <v>7</v>
      </c>
      <c r="AN1" s="55" t="s">
        <v>2067</v>
      </c>
      <c r="AO1" s="76" t="s">
        <v>14</v>
      </c>
      <c r="AP1" s="55" t="s">
        <v>2068</v>
      </c>
      <c r="AQ1" s="76" t="s">
        <v>7</v>
      </c>
      <c r="AR1" s="55" t="s">
        <v>2069</v>
      </c>
      <c r="AS1" s="55" t="s">
        <v>7</v>
      </c>
    </row>
    <row r="2">
      <c r="A2" s="9">
        <v>1216.0</v>
      </c>
      <c r="B2" s="9" t="s">
        <v>50</v>
      </c>
      <c r="C2" s="9" t="str">
        <f t="shared" ref="C2:C45" si="1">CONCATENATE(D2,"_",F2,"_",G2)</f>
        <v>LP 01_BC-01A_BS VI HSD</v>
      </c>
      <c r="D2" s="11" t="s">
        <v>2070</v>
      </c>
      <c r="E2" s="77" t="s">
        <v>2071</v>
      </c>
      <c r="F2" s="22" t="s">
        <v>2072</v>
      </c>
      <c r="G2" s="22" t="s">
        <v>53</v>
      </c>
      <c r="H2" s="48" t="s">
        <v>2073</v>
      </c>
      <c r="I2" s="47">
        <v>0.0</v>
      </c>
      <c r="J2" s="48" t="s">
        <v>2074</v>
      </c>
      <c r="K2" s="47">
        <v>0.0</v>
      </c>
      <c r="L2" s="48"/>
      <c r="M2" s="48"/>
      <c r="N2" s="48" t="s">
        <v>2075</v>
      </c>
      <c r="O2" s="47">
        <v>0.0</v>
      </c>
      <c r="P2" s="48"/>
      <c r="Q2" s="48"/>
      <c r="R2" s="48" t="s">
        <v>2076</v>
      </c>
      <c r="S2" s="47">
        <v>0.0</v>
      </c>
      <c r="T2" s="48"/>
      <c r="U2" s="48"/>
      <c r="V2" s="48" t="s">
        <v>2077</v>
      </c>
      <c r="W2" s="47">
        <v>0.0</v>
      </c>
      <c r="X2" s="48" t="s">
        <v>2078</v>
      </c>
      <c r="Y2" s="47">
        <v>0.0</v>
      </c>
      <c r="Z2" s="48" t="s">
        <v>2079</v>
      </c>
      <c r="AA2" s="47">
        <v>0.0</v>
      </c>
      <c r="AB2" s="48" t="s">
        <v>2080</v>
      </c>
      <c r="AC2" s="47">
        <v>0.0</v>
      </c>
      <c r="AD2" s="48" t="s">
        <v>2081</v>
      </c>
      <c r="AE2" s="47">
        <v>0.0</v>
      </c>
      <c r="AF2" s="48" t="s">
        <v>2082</v>
      </c>
      <c r="AG2" s="47">
        <v>0.0</v>
      </c>
      <c r="AH2" s="48" t="s">
        <v>2083</v>
      </c>
      <c r="AI2" s="47">
        <v>2.0</v>
      </c>
      <c r="AJ2" s="48" t="s">
        <v>2084</v>
      </c>
      <c r="AK2" s="47">
        <v>0.0</v>
      </c>
      <c r="AL2" s="72"/>
      <c r="AM2" s="72"/>
      <c r="AN2" s="48" t="s">
        <v>2085</v>
      </c>
      <c r="AO2" s="47">
        <v>0.0</v>
      </c>
      <c r="AP2" s="48" t="s">
        <v>2086</v>
      </c>
      <c r="AQ2" s="47">
        <v>0.0</v>
      </c>
      <c r="AR2" s="48"/>
      <c r="AS2" s="48"/>
    </row>
    <row r="3">
      <c r="A3" s="9">
        <v>1216.0</v>
      </c>
      <c r="B3" s="9" t="s">
        <v>50</v>
      </c>
      <c r="C3" s="9" t="str">
        <f t="shared" si="1"/>
        <v>LP 02_BC-01B_BS VI HSD</v>
      </c>
      <c r="D3" s="11" t="s">
        <v>2087</v>
      </c>
      <c r="E3" s="77" t="s">
        <v>2071</v>
      </c>
      <c r="F3" s="22" t="s">
        <v>2088</v>
      </c>
      <c r="G3" s="22" t="s">
        <v>53</v>
      </c>
      <c r="H3" s="48" t="s">
        <v>2089</v>
      </c>
      <c r="I3" s="47">
        <v>0.0</v>
      </c>
      <c r="J3" s="48" t="s">
        <v>2090</v>
      </c>
      <c r="K3" s="47">
        <v>0.0</v>
      </c>
      <c r="L3" s="48"/>
      <c r="M3" s="48"/>
      <c r="N3" s="48" t="s">
        <v>2091</v>
      </c>
      <c r="O3" s="47">
        <v>0.0</v>
      </c>
      <c r="P3" s="48"/>
      <c r="Q3" s="48"/>
      <c r="R3" s="48" t="s">
        <v>2092</v>
      </c>
      <c r="S3" s="47">
        <v>0.0</v>
      </c>
      <c r="T3" s="48"/>
      <c r="U3" s="48"/>
      <c r="V3" s="48" t="s">
        <v>2093</v>
      </c>
      <c r="W3" s="47">
        <v>0.0</v>
      </c>
      <c r="X3" s="48" t="s">
        <v>2094</v>
      </c>
      <c r="Y3" s="47">
        <v>0.0</v>
      </c>
      <c r="Z3" s="48" t="s">
        <v>2095</v>
      </c>
      <c r="AA3" s="47">
        <v>0.0</v>
      </c>
      <c r="AB3" s="48" t="s">
        <v>2096</v>
      </c>
      <c r="AC3" s="47">
        <v>0.0</v>
      </c>
      <c r="AD3" s="48" t="s">
        <v>2097</v>
      </c>
      <c r="AE3" s="47">
        <v>0.0</v>
      </c>
      <c r="AF3" s="48" t="s">
        <v>2098</v>
      </c>
      <c r="AG3" s="47">
        <v>0.0</v>
      </c>
      <c r="AH3" s="48" t="s">
        <v>2099</v>
      </c>
      <c r="AI3" s="47">
        <v>2.0</v>
      </c>
      <c r="AJ3" s="48" t="s">
        <v>2100</v>
      </c>
      <c r="AK3" s="47">
        <v>0.0</v>
      </c>
      <c r="AL3" s="72"/>
      <c r="AM3" s="72"/>
      <c r="AN3" s="48" t="s">
        <v>2101</v>
      </c>
      <c r="AO3" s="47">
        <v>0.0</v>
      </c>
      <c r="AP3" s="48" t="s">
        <v>2102</v>
      </c>
      <c r="AQ3" s="47">
        <v>0.0</v>
      </c>
      <c r="AR3" s="48"/>
      <c r="AS3" s="48"/>
    </row>
    <row r="4">
      <c r="A4" s="9">
        <v>1216.0</v>
      </c>
      <c r="B4" s="9" t="s">
        <v>50</v>
      </c>
      <c r="C4" s="9" t="str">
        <f t="shared" si="1"/>
        <v>LP 03_BC-02A_MTO</v>
      </c>
      <c r="D4" s="11" t="s">
        <v>2103</v>
      </c>
      <c r="E4" s="77" t="s">
        <v>2071</v>
      </c>
      <c r="F4" s="22" t="s">
        <v>2104</v>
      </c>
      <c r="G4" s="22" t="s">
        <v>432</v>
      </c>
      <c r="H4" s="48" t="s">
        <v>2105</v>
      </c>
      <c r="I4" s="47">
        <v>0.0</v>
      </c>
      <c r="J4" s="48" t="s">
        <v>2106</v>
      </c>
      <c r="K4" s="47">
        <v>0.0</v>
      </c>
      <c r="L4" s="48"/>
      <c r="M4" s="48"/>
      <c r="N4" s="48" t="s">
        <v>2107</v>
      </c>
      <c r="O4" s="47">
        <v>0.0</v>
      </c>
      <c r="P4" s="48"/>
      <c r="Q4" s="48"/>
      <c r="R4" s="48" t="s">
        <v>2108</v>
      </c>
      <c r="S4" s="47">
        <v>0.0</v>
      </c>
      <c r="T4" s="48"/>
      <c r="U4" s="48"/>
      <c r="V4" s="48" t="s">
        <v>2109</v>
      </c>
      <c r="W4" s="47">
        <v>0.0</v>
      </c>
      <c r="X4" s="48" t="s">
        <v>2110</v>
      </c>
      <c r="Y4" s="47">
        <v>0.0</v>
      </c>
      <c r="Z4" s="48" t="s">
        <v>2111</v>
      </c>
      <c r="AA4" s="47">
        <v>0.0</v>
      </c>
      <c r="AB4" s="48" t="s">
        <v>2112</v>
      </c>
      <c r="AC4" s="47">
        <v>0.0</v>
      </c>
      <c r="AD4" s="48" t="s">
        <v>2113</v>
      </c>
      <c r="AE4" s="47">
        <v>0.0</v>
      </c>
      <c r="AF4" s="48" t="s">
        <v>2114</v>
      </c>
      <c r="AG4" s="47">
        <v>0.0</v>
      </c>
      <c r="AH4" s="48" t="s">
        <v>2115</v>
      </c>
      <c r="AI4" s="47">
        <v>2.0</v>
      </c>
      <c r="AJ4" s="48" t="s">
        <v>2116</v>
      </c>
      <c r="AK4" s="47">
        <v>0.0</v>
      </c>
      <c r="AL4" s="72"/>
      <c r="AM4" s="72"/>
      <c r="AN4" s="48" t="s">
        <v>2117</v>
      </c>
      <c r="AO4" s="47">
        <v>0.0</v>
      </c>
      <c r="AP4" s="48" t="s">
        <v>2118</v>
      </c>
      <c r="AQ4" s="47">
        <v>0.0</v>
      </c>
      <c r="AR4" s="48"/>
      <c r="AS4" s="48"/>
    </row>
    <row r="5">
      <c r="A5" s="9">
        <v>1216.0</v>
      </c>
      <c r="B5" s="9" t="s">
        <v>50</v>
      </c>
      <c r="C5" s="9" t="str">
        <f t="shared" si="1"/>
        <v>LP 04_BC-02B_MTO</v>
      </c>
      <c r="D5" s="11" t="s">
        <v>2119</v>
      </c>
      <c r="E5" s="77" t="s">
        <v>2071</v>
      </c>
      <c r="F5" s="22" t="s">
        <v>2120</v>
      </c>
      <c r="G5" s="22" t="s">
        <v>432</v>
      </c>
      <c r="H5" s="48" t="s">
        <v>2121</v>
      </c>
      <c r="I5" s="47">
        <v>0.0</v>
      </c>
      <c r="J5" s="48" t="s">
        <v>2122</v>
      </c>
      <c r="K5" s="47">
        <v>0.0</v>
      </c>
      <c r="L5" s="48" t="s">
        <v>2123</v>
      </c>
      <c r="M5" s="47">
        <v>0.0</v>
      </c>
      <c r="N5" s="48" t="s">
        <v>2124</v>
      </c>
      <c r="O5" s="47">
        <v>0.0</v>
      </c>
      <c r="P5" s="48" t="s">
        <v>2125</v>
      </c>
      <c r="Q5" s="47">
        <v>0.0</v>
      </c>
      <c r="R5" s="48" t="s">
        <v>2126</v>
      </c>
      <c r="S5" s="47">
        <v>0.0</v>
      </c>
      <c r="T5" s="48" t="s">
        <v>2127</v>
      </c>
      <c r="U5" s="47">
        <v>0.0</v>
      </c>
      <c r="V5" s="48" t="s">
        <v>2128</v>
      </c>
      <c r="W5" s="47">
        <v>0.0</v>
      </c>
      <c r="X5" s="48" t="s">
        <v>2129</v>
      </c>
      <c r="Y5" s="47">
        <v>0.0</v>
      </c>
      <c r="Z5" s="48" t="s">
        <v>2130</v>
      </c>
      <c r="AA5" s="47">
        <v>0.0</v>
      </c>
      <c r="AB5" s="48" t="s">
        <v>2131</v>
      </c>
      <c r="AC5" s="47">
        <v>0.0</v>
      </c>
      <c r="AD5" s="48" t="s">
        <v>2132</v>
      </c>
      <c r="AE5" s="47">
        <v>0.0</v>
      </c>
      <c r="AF5" s="48" t="s">
        <v>2133</v>
      </c>
      <c r="AG5" s="47">
        <v>0.0</v>
      </c>
      <c r="AH5" s="48" t="s">
        <v>2134</v>
      </c>
      <c r="AI5" s="47">
        <v>2.0</v>
      </c>
      <c r="AJ5" s="48" t="s">
        <v>2135</v>
      </c>
      <c r="AK5" s="47">
        <v>0.0</v>
      </c>
      <c r="AL5" s="78" t="s">
        <v>2136</v>
      </c>
      <c r="AM5" s="54">
        <v>0.0</v>
      </c>
      <c r="AN5" s="48" t="s">
        <v>2137</v>
      </c>
      <c r="AO5" s="47">
        <v>0.0</v>
      </c>
      <c r="AP5" s="48" t="s">
        <v>2138</v>
      </c>
      <c r="AQ5" s="47">
        <v>0.0</v>
      </c>
      <c r="AR5" s="48" t="s">
        <v>2139</v>
      </c>
      <c r="AS5" s="47">
        <v>0.0</v>
      </c>
    </row>
    <row r="6">
      <c r="A6" s="9">
        <v>1216.0</v>
      </c>
      <c r="B6" s="9" t="s">
        <v>50</v>
      </c>
      <c r="C6" s="9" t="str">
        <f t="shared" si="1"/>
        <v>LP 05_BC-03A_BS VI HSD</v>
      </c>
      <c r="D6" s="11" t="s">
        <v>2140</v>
      </c>
      <c r="E6" s="77" t="s">
        <v>2071</v>
      </c>
      <c r="F6" s="22" t="s">
        <v>2141</v>
      </c>
      <c r="G6" s="22" t="s">
        <v>53</v>
      </c>
      <c r="H6" s="48" t="s">
        <v>2142</v>
      </c>
      <c r="I6" s="47">
        <v>0.0</v>
      </c>
      <c r="J6" s="48" t="s">
        <v>2143</v>
      </c>
      <c r="K6" s="47">
        <v>0.0</v>
      </c>
      <c r="L6" s="48"/>
      <c r="M6" s="48"/>
      <c r="N6" s="48" t="s">
        <v>2144</v>
      </c>
      <c r="O6" s="47">
        <v>0.0</v>
      </c>
      <c r="P6" s="48"/>
      <c r="Q6" s="48"/>
      <c r="R6" s="48" t="s">
        <v>2145</v>
      </c>
      <c r="S6" s="47">
        <v>0.0</v>
      </c>
      <c r="T6" s="48"/>
      <c r="U6" s="48"/>
      <c r="V6" s="48" t="s">
        <v>2146</v>
      </c>
      <c r="W6" s="47">
        <v>0.0</v>
      </c>
      <c r="X6" s="48" t="s">
        <v>2147</v>
      </c>
      <c r="Y6" s="47">
        <v>0.0</v>
      </c>
      <c r="Z6" s="48" t="s">
        <v>2148</v>
      </c>
      <c r="AA6" s="47">
        <v>0.0</v>
      </c>
      <c r="AB6" s="48" t="s">
        <v>2149</v>
      </c>
      <c r="AC6" s="47">
        <v>0.0</v>
      </c>
      <c r="AD6" s="48" t="s">
        <v>2150</v>
      </c>
      <c r="AE6" s="47">
        <v>0.0</v>
      </c>
      <c r="AF6" s="48" t="s">
        <v>2151</v>
      </c>
      <c r="AG6" s="47">
        <v>0.0</v>
      </c>
      <c r="AH6" s="48" t="s">
        <v>2152</v>
      </c>
      <c r="AI6" s="47">
        <v>2.0</v>
      </c>
      <c r="AJ6" s="48" t="s">
        <v>2153</v>
      </c>
      <c r="AK6" s="47">
        <v>0.0</v>
      </c>
      <c r="AL6" s="72"/>
      <c r="AM6" s="72"/>
      <c r="AN6" s="48" t="s">
        <v>2154</v>
      </c>
      <c r="AO6" s="47">
        <v>0.0</v>
      </c>
      <c r="AP6" s="48" t="s">
        <v>2155</v>
      </c>
      <c r="AQ6" s="47">
        <v>0.0</v>
      </c>
      <c r="AR6" s="48"/>
      <c r="AS6" s="48"/>
    </row>
    <row r="7">
      <c r="A7" s="9">
        <v>1216.0</v>
      </c>
      <c r="B7" s="9" t="s">
        <v>50</v>
      </c>
      <c r="C7" s="9" t="str">
        <f t="shared" si="1"/>
        <v>LP 06_BC-03B_BS VI HSD</v>
      </c>
      <c r="D7" s="11" t="s">
        <v>2156</v>
      </c>
      <c r="E7" s="77" t="s">
        <v>2071</v>
      </c>
      <c r="F7" s="22" t="s">
        <v>2157</v>
      </c>
      <c r="G7" s="22" t="s">
        <v>53</v>
      </c>
      <c r="H7" s="48" t="s">
        <v>2158</v>
      </c>
      <c r="I7" s="47">
        <v>0.0</v>
      </c>
      <c r="J7" s="48" t="s">
        <v>2159</v>
      </c>
      <c r="K7" s="47">
        <v>0.0</v>
      </c>
      <c r="L7" s="48"/>
      <c r="M7" s="48"/>
      <c r="N7" s="48" t="s">
        <v>2160</v>
      </c>
      <c r="O7" s="47">
        <v>0.0</v>
      </c>
      <c r="P7" s="48"/>
      <c r="Q7" s="48"/>
      <c r="R7" s="48" t="s">
        <v>2161</v>
      </c>
      <c r="S7" s="47">
        <v>0.0</v>
      </c>
      <c r="T7" s="48"/>
      <c r="U7" s="48"/>
      <c r="V7" s="48" t="s">
        <v>2162</v>
      </c>
      <c r="W7" s="47">
        <v>0.0</v>
      </c>
      <c r="X7" s="48" t="s">
        <v>2163</v>
      </c>
      <c r="Y7" s="47">
        <v>0.0</v>
      </c>
      <c r="Z7" s="48" t="s">
        <v>2164</v>
      </c>
      <c r="AA7" s="47">
        <v>0.0</v>
      </c>
      <c r="AB7" s="48" t="s">
        <v>2165</v>
      </c>
      <c r="AC7" s="47">
        <v>0.0</v>
      </c>
      <c r="AD7" s="48" t="s">
        <v>2166</v>
      </c>
      <c r="AE7" s="47">
        <v>0.0</v>
      </c>
      <c r="AF7" s="48" t="s">
        <v>2167</v>
      </c>
      <c r="AG7" s="47">
        <v>0.0</v>
      </c>
      <c r="AH7" s="48" t="s">
        <v>2168</v>
      </c>
      <c r="AI7" s="47">
        <v>2.0</v>
      </c>
      <c r="AJ7" s="48" t="s">
        <v>2169</v>
      </c>
      <c r="AK7" s="47">
        <v>0.0</v>
      </c>
      <c r="AL7" s="72"/>
      <c r="AM7" s="72"/>
      <c r="AN7" s="48" t="s">
        <v>2170</v>
      </c>
      <c r="AO7" s="47">
        <v>0.0</v>
      </c>
      <c r="AP7" s="48" t="s">
        <v>2171</v>
      </c>
      <c r="AQ7" s="47">
        <v>0.0</v>
      </c>
      <c r="AR7" s="48"/>
      <c r="AS7" s="48"/>
    </row>
    <row r="8">
      <c r="A8" s="9">
        <v>1216.0</v>
      </c>
      <c r="B8" s="9" t="s">
        <v>50</v>
      </c>
      <c r="C8" s="9" t="str">
        <f t="shared" si="1"/>
        <v>LP 07_BC-04A_BS VI HSD</v>
      </c>
      <c r="D8" s="11" t="s">
        <v>2172</v>
      </c>
      <c r="E8" s="77" t="s">
        <v>2071</v>
      </c>
      <c r="F8" s="22" t="s">
        <v>2173</v>
      </c>
      <c r="G8" s="22" t="s">
        <v>53</v>
      </c>
      <c r="H8" s="48" t="s">
        <v>2174</v>
      </c>
      <c r="I8" s="47">
        <v>0.0</v>
      </c>
      <c r="J8" s="48" t="s">
        <v>2175</v>
      </c>
      <c r="K8" s="47">
        <v>0.0</v>
      </c>
      <c r="L8" s="48"/>
      <c r="M8" s="48"/>
      <c r="N8" s="48" t="s">
        <v>2176</v>
      </c>
      <c r="O8" s="47">
        <v>0.0</v>
      </c>
      <c r="P8" s="48"/>
      <c r="Q8" s="48"/>
      <c r="R8" s="48" t="s">
        <v>2177</v>
      </c>
      <c r="S8" s="47">
        <v>0.0</v>
      </c>
      <c r="T8" s="48"/>
      <c r="U8" s="48"/>
      <c r="V8" s="48" t="s">
        <v>2178</v>
      </c>
      <c r="W8" s="47">
        <v>0.0</v>
      </c>
      <c r="X8" s="48" t="s">
        <v>2179</v>
      </c>
      <c r="Y8" s="47">
        <v>0.0</v>
      </c>
      <c r="Z8" s="48" t="s">
        <v>2180</v>
      </c>
      <c r="AA8" s="47">
        <v>0.0</v>
      </c>
      <c r="AB8" s="48" t="s">
        <v>2181</v>
      </c>
      <c r="AC8" s="47">
        <v>0.0</v>
      </c>
      <c r="AD8" s="48" t="s">
        <v>2182</v>
      </c>
      <c r="AE8" s="47">
        <v>0.0</v>
      </c>
      <c r="AF8" s="48" t="s">
        <v>2183</v>
      </c>
      <c r="AG8" s="47">
        <v>0.0</v>
      </c>
      <c r="AH8" s="48" t="s">
        <v>2184</v>
      </c>
      <c r="AI8" s="47">
        <v>2.0</v>
      </c>
      <c r="AJ8" s="48" t="s">
        <v>2185</v>
      </c>
      <c r="AK8" s="47">
        <v>0.0</v>
      </c>
      <c r="AL8" s="72"/>
      <c r="AM8" s="72"/>
      <c r="AN8" s="48" t="s">
        <v>2186</v>
      </c>
      <c r="AO8" s="47">
        <v>0.0</v>
      </c>
      <c r="AP8" s="48" t="s">
        <v>2187</v>
      </c>
      <c r="AQ8" s="47">
        <v>0.0</v>
      </c>
      <c r="AR8" s="48"/>
      <c r="AS8" s="48"/>
    </row>
    <row r="9">
      <c r="A9" s="9">
        <v>1216.0</v>
      </c>
      <c r="B9" s="9" t="s">
        <v>50</v>
      </c>
      <c r="C9" s="9" t="str">
        <f t="shared" si="1"/>
        <v>LP 08_BC-04B_BS VI HSD</v>
      </c>
      <c r="D9" s="11" t="s">
        <v>2188</v>
      </c>
      <c r="E9" s="77" t="s">
        <v>2071</v>
      </c>
      <c r="F9" s="22" t="s">
        <v>2189</v>
      </c>
      <c r="G9" s="22" t="s">
        <v>53</v>
      </c>
      <c r="H9" s="48" t="s">
        <v>2190</v>
      </c>
      <c r="I9" s="47">
        <v>0.0</v>
      </c>
      <c r="J9" s="48" t="s">
        <v>2191</v>
      </c>
      <c r="K9" s="47">
        <v>0.0</v>
      </c>
      <c r="L9" s="48"/>
      <c r="M9" s="48"/>
      <c r="N9" s="48" t="s">
        <v>2192</v>
      </c>
      <c r="O9" s="47">
        <v>0.0</v>
      </c>
      <c r="P9" s="48"/>
      <c r="Q9" s="48"/>
      <c r="R9" s="48" t="s">
        <v>2193</v>
      </c>
      <c r="S9" s="47">
        <v>0.0</v>
      </c>
      <c r="T9" s="48"/>
      <c r="U9" s="48"/>
      <c r="V9" s="48" t="s">
        <v>2194</v>
      </c>
      <c r="W9" s="47">
        <v>0.0</v>
      </c>
      <c r="X9" s="48" t="s">
        <v>2195</v>
      </c>
      <c r="Y9" s="47">
        <v>0.0</v>
      </c>
      <c r="Z9" s="48" t="s">
        <v>2196</v>
      </c>
      <c r="AA9" s="47">
        <v>0.0</v>
      </c>
      <c r="AB9" s="48" t="s">
        <v>2197</v>
      </c>
      <c r="AC9" s="47">
        <v>0.0</v>
      </c>
      <c r="AD9" s="48" t="s">
        <v>2198</v>
      </c>
      <c r="AE9" s="47">
        <v>0.0</v>
      </c>
      <c r="AF9" s="48" t="s">
        <v>2199</v>
      </c>
      <c r="AG9" s="47">
        <v>0.0</v>
      </c>
      <c r="AH9" s="48" t="s">
        <v>2200</v>
      </c>
      <c r="AI9" s="47">
        <v>2.0</v>
      </c>
      <c r="AJ9" s="48" t="s">
        <v>2201</v>
      </c>
      <c r="AK9" s="47">
        <v>0.0</v>
      </c>
      <c r="AL9" s="72"/>
      <c r="AM9" s="72"/>
      <c r="AN9" s="48" t="s">
        <v>2202</v>
      </c>
      <c r="AO9" s="47">
        <v>0.0</v>
      </c>
      <c r="AP9" s="48" t="s">
        <v>2203</v>
      </c>
      <c r="AQ9" s="47">
        <v>0.0</v>
      </c>
      <c r="AR9" s="48"/>
      <c r="AS9" s="48"/>
    </row>
    <row r="10">
      <c r="A10" s="9">
        <v>1216.0</v>
      </c>
      <c r="B10" s="9" t="s">
        <v>50</v>
      </c>
      <c r="C10" s="9" t="str">
        <f t="shared" si="1"/>
        <v>LP 09_BC-05A_BS VI HSD</v>
      </c>
      <c r="D10" s="11" t="s">
        <v>2204</v>
      </c>
      <c r="E10" s="77" t="s">
        <v>2071</v>
      </c>
      <c r="F10" s="22" t="s">
        <v>2205</v>
      </c>
      <c r="G10" s="22" t="s">
        <v>53</v>
      </c>
      <c r="H10" s="48" t="s">
        <v>2206</v>
      </c>
      <c r="I10" s="47">
        <v>0.0</v>
      </c>
      <c r="J10" s="48" t="s">
        <v>2207</v>
      </c>
      <c r="K10" s="47">
        <v>0.0</v>
      </c>
      <c r="L10" s="48"/>
      <c r="M10" s="48"/>
      <c r="N10" s="48" t="s">
        <v>2208</v>
      </c>
      <c r="O10" s="47">
        <v>0.0</v>
      </c>
      <c r="P10" s="48"/>
      <c r="Q10" s="48"/>
      <c r="R10" s="48" t="s">
        <v>2209</v>
      </c>
      <c r="S10" s="47">
        <v>0.0</v>
      </c>
      <c r="T10" s="48"/>
      <c r="U10" s="48"/>
      <c r="V10" s="48" t="s">
        <v>2210</v>
      </c>
      <c r="W10" s="47">
        <v>0.0</v>
      </c>
      <c r="X10" s="48" t="s">
        <v>2211</v>
      </c>
      <c r="Y10" s="47">
        <v>0.0</v>
      </c>
      <c r="Z10" s="48" t="s">
        <v>2212</v>
      </c>
      <c r="AA10" s="47">
        <v>0.0</v>
      </c>
      <c r="AB10" s="48" t="s">
        <v>2213</v>
      </c>
      <c r="AC10" s="47">
        <v>0.0</v>
      </c>
      <c r="AD10" s="48" t="s">
        <v>2214</v>
      </c>
      <c r="AE10" s="47">
        <v>0.0</v>
      </c>
      <c r="AF10" s="48" t="s">
        <v>2215</v>
      </c>
      <c r="AG10" s="47">
        <v>0.0</v>
      </c>
      <c r="AH10" s="48" t="s">
        <v>2216</v>
      </c>
      <c r="AI10" s="47">
        <v>2.0</v>
      </c>
      <c r="AJ10" s="48" t="s">
        <v>2217</v>
      </c>
      <c r="AK10" s="47">
        <v>0.0</v>
      </c>
      <c r="AL10" s="72"/>
      <c r="AM10" s="72"/>
      <c r="AN10" s="48" t="s">
        <v>2218</v>
      </c>
      <c r="AO10" s="47">
        <v>0.0</v>
      </c>
      <c r="AP10" s="48" t="s">
        <v>2219</v>
      </c>
      <c r="AQ10" s="47">
        <v>0.0</v>
      </c>
      <c r="AR10" s="48"/>
      <c r="AS10" s="48"/>
    </row>
    <row r="11">
      <c r="A11" s="9">
        <v>1216.0</v>
      </c>
      <c r="B11" s="9" t="s">
        <v>50</v>
      </c>
      <c r="C11" s="9" t="str">
        <f t="shared" si="1"/>
        <v>LP 10_BC-05B_BS VI MS</v>
      </c>
      <c r="D11" s="11" t="s">
        <v>2220</v>
      </c>
      <c r="E11" s="77" t="s">
        <v>2071</v>
      </c>
      <c r="F11" s="22" t="s">
        <v>2221</v>
      </c>
      <c r="G11" s="22" t="s">
        <v>322</v>
      </c>
      <c r="H11" s="48" t="s">
        <v>2222</v>
      </c>
      <c r="I11" s="47">
        <v>0.0</v>
      </c>
      <c r="J11" s="48" t="s">
        <v>2223</v>
      </c>
      <c r="K11" s="47">
        <v>0.0</v>
      </c>
      <c r="L11" s="48" t="s">
        <v>2224</v>
      </c>
      <c r="M11" s="47">
        <v>0.0</v>
      </c>
      <c r="N11" s="48" t="s">
        <v>2225</v>
      </c>
      <c r="O11" s="47">
        <v>0.0</v>
      </c>
      <c r="P11" s="48" t="s">
        <v>2226</v>
      </c>
      <c r="Q11" s="47">
        <v>0.0</v>
      </c>
      <c r="R11" s="48" t="s">
        <v>2227</v>
      </c>
      <c r="S11" s="47">
        <v>0.0</v>
      </c>
      <c r="T11" s="48" t="s">
        <v>2228</v>
      </c>
      <c r="U11" s="47">
        <v>0.0</v>
      </c>
      <c r="V11" s="48" t="s">
        <v>2229</v>
      </c>
      <c r="W11" s="47">
        <v>0.0</v>
      </c>
      <c r="X11" s="48" t="s">
        <v>2230</v>
      </c>
      <c r="Y11" s="47">
        <v>0.0</v>
      </c>
      <c r="Z11" s="48" t="s">
        <v>2231</v>
      </c>
      <c r="AA11" s="47">
        <v>0.0</v>
      </c>
      <c r="AB11" s="48" t="s">
        <v>2232</v>
      </c>
      <c r="AC11" s="47">
        <v>0.0</v>
      </c>
      <c r="AD11" s="48" t="s">
        <v>2233</v>
      </c>
      <c r="AE11" s="47">
        <v>0.0</v>
      </c>
      <c r="AF11" s="48" t="s">
        <v>2234</v>
      </c>
      <c r="AG11" s="47">
        <v>0.0</v>
      </c>
      <c r="AH11" s="48" t="s">
        <v>2235</v>
      </c>
      <c r="AI11" s="47">
        <v>2.0</v>
      </c>
      <c r="AJ11" s="48" t="s">
        <v>2236</v>
      </c>
      <c r="AK11" s="47">
        <v>0.0</v>
      </c>
      <c r="AL11" s="78" t="s">
        <v>2237</v>
      </c>
      <c r="AM11" s="54">
        <v>0.0</v>
      </c>
      <c r="AN11" s="48" t="s">
        <v>2238</v>
      </c>
      <c r="AO11" s="47">
        <v>0.0</v>
      </c>
      <c r="AP11" s="48" t="s">
        <v>2239</v>
      </c>
      <c r="AQ11" s="47">
        <v>0.0</v>
      </c>
      <c r="AR11" s="48" t="s">
        <v>2240</v>
      </c>
      <c r="AS11" s="47">
        <v>0.0</v>
      </c>
    </row>
    <row r="12">
      <c r="A12" s="9">
        <v>1216.0</v>
      </c>
      <c r="B12" s="9" t="s">
        <v>50</v>
      </c>
      <c r="C12" s="9" t="str">
        <f t="shared" si="1"/>
        <v>LP 11_BC-06A_BS VI HSD</v>
      </c>
      <c r="D12" s="11" t="s">
        <v>2241</v>
      </c>
      <c r="E12" s="77" t="s">
        <v>2071</v>
      </c>
      <c r="F12" s="22" t="s">
        <v>2242</v>
      </c>
      <c r="G12" s="22" t="s">
        <v>53</v>
      </c>
      <c r="H12" s="48" t="s">
        <v>2243</v>
      </c>
      <c r="I12" s="47">
        <v>0.0</v>
      </c>
      <c r="J12" s="48" t="s">
        <v>2244</v>
      </c>
      <c r="K12" s="47">
        <v>0.0</v>
      </c>
      <c r="L12" s="48"/>
      <c r="M12" s="48"/>
      <c r="N12" s="48" t="s">
        <v>2245</v>
      </c>
      <c r="O12" s="47">
        <v>0.0</v>
      </c>
      <c r="P12" s="48"/>
      <c r="Q12" s="48"/>
      <c r="R12" s="48" t="s">
        <v>2246</v>
      </c>
      <c r="S12" s="47">
        <v>0.0</v>
      </c>
      <c r="T12" s="48"/>
      <c r="U12" s="48"/>
      <c r="V12" s="48" t="s">
        <v>2247</v>
      </c>
      <c r="W12" s="47">
        <v>0.0</v>
      </c>
      <c r="X12" s="48" t="s">
        <v>2248</v>
      </c>
      <c r="Y12" s="47">
        <v>0.0</v>
      </c>
      <c r="Z12" s="48" t="s">
        <v>2249</v>
      </c>
      <c r="AA12" s="47">
        <v>0.0</v>
      </c>
      <c r="AB12" s="48" t="s">
        <v>2250</v>
      </c>
      <c r="AC12" s="47">
        <v>0.0</v>
      </c>
      <c r="AD12" s="48" t="s">
        <v>2251</v>
      </c>
      <c r="AE12" s="47">
        <v>0.0</v>
      </c>
      <c r="AF12" s="48" t="s">
        <v>2252</v>
      </c>
      <c r="AG12" s="47">
        <v>0.0</v>
      </c>
      <c r="AH12" s="48" t="s">
        <v>2253</v>
      </c>
      <c r="AI12" s="47">
        <v>2.0</v>
      </c>
      <c r="AJ12" s="48" t="s">
        <v>2254</v>
      </c>
      <c r="AK12" s="47">
        <v>0.0</v>
      </c>
      <c r="AL12" s="72"/>
      <c r="AM12" s="72"/>
      <c r="AN12" s="48" t="s">
        <v>2255</v>
      </c>
      <c r="AO12" s="47">
        <v>0.0</v>
      </c>
      <c r="AP12" s="48" t="s">
        <v>2256</v>
      </c>
      <c r="AQ12" s="47">
        <v>0.0</v>
      </c>
      <c r="AR12" s="48"/>
      <c r="AS12" s="48"/>
    </row>
    <row r="13">
      <c r="A13" s="9">
        <v>1216.0</v>
      </c>
      <c r="B13" s="9" t="s">
        <v>50</v>
      </c>
      <c r="C13" s="9" t="str">
        <f t="shared" si="1"/>
        <v>LP 12_BC-06B_BS VI MS</v>
      </c>
      <c r="D13" s="11" t="s">
        <v>2257</v>
      </c>
      <c r="E13" s="77" t="s">
        <v>2071</v>
      </c>
      <c r="F13" s="22" t="s">
        <v>2258</v>
      </c>
      <c r="G13" s="22" t="s">
        <v>322</v>
      </c>
      <c r="H13" s="48" t="s">
        <v>2259</v>
      </c>
      <c r="I13" s="47">
        <v>0.0</v>
      </c>
      <c r="J13" s="48" t="s">
        <v>2260</v>
      </c>
      <c r="K13" s="47">
        <v>0.0</v>
      </c>
      <c r="L13" s="48" t="s">
        <v>2261</v>
      </c>
      <c r="M13" s="47">
        <v>0.0</v>
      </c>
      <c r="N13" s="48" t="s">
        <v>2262</v>
      </c>
      <c r="O13" s="47">
        <v>0.0</v>
      </c>
      <c r="P13" s="48" t="s">
        <v>2263</v>
      </c>
      <c r="Q13" s="47">
        <v>0.0</v>
      </c>
      <c r="R13" s="48" t="s">
        <v>2264</v>
      </c>
      <c r="S13" s="47">
        <v>0.0</v>
      </c>
      <c r="T13" s="48" t="s">
        <v>2265</v>
      </c>
      <c r="U13" s="47">
        <v>0.0</v>
      </c>
      <c r="V13" s="48" t="s">
        <v>2266</v>
      </c>
      <c r="W13" s="47">
        <v>0.0</v>
      </c>
      <c r="X13" s="48" t="s">
        <v>2267</v>
      </c>
      <c r="Y13" s="47">
        <v>0.0</v>
      </c>
      <c r="Z13" s="48" t="s">
        <v>2268</v>
      </c>
      <c r="AA13" s="47">
        <v>0.0</v>
      </c>
      <c r="AB13" s="48" t="s">
        <v>2269</v>
      </c>
      <c r="AC13" s="47">
        <v>0.0</v>
      </c>
      <c r="AD13" s="48" t="s">
        <v>2270</v>
      </c>
      <c r="AE13" s="47">
        <v>0.0</v>
      </c>
      <c r="AF13" s="48" t="s">
        <v>2271</v>
      </c>
      <c r="AG13" s="47">
        <v>0.0</v>
      </c>
      <c r="AH13" s="48" t="s">
        <v>2272</v>
      </c>
      <c r="AI13" s="47">
        <v>2.0</v>
      </c>
      <c r="AJ13" s="48" t="s">
        <v>2273</v>
      </c>
      <c r="AK13" s="47">
        <v>0.0</v>
      </c>
      <c r="AL13" s="78" t="s">
        <v>2274</v>
      </c>
      <c r="AM13" s="54">
        <v>0.0</v>
      </c>
      <c r="AN13" s="48" t="s">
        <v>2275</v>
      </c>
      <c r="AO13" s="47">
        <v>0.0</v>
      </c>
      <c r="AP13" s="48" t="s">
        <v>2276</v>
      </c>
      <c r="AQ13" s="47">
        <v>0.0</v>
      </c>
      <c r="AR13" s="48" t="s">
        <v>2277</v>
      </c>
      <c r="AS13" s="47">
        <v>0.0</v>
      </c>
    </row>
    <row r="14">
      <c r="A14" s="9">
        <v>1216.0</v>
      </c>
      <c r="B14" s="9" t="s">
        <v>50</v>
      </c>
      <c r="C14" s="9" t="str">
        <f t="shared" si="1"/>
        <v>LP 13_BC-07A_BS VI HSD</v>
      </c>
      <c r="D14" s="11" t="s">
        <v>2278</v>
      </c>
      <c r="E14" s="77" t="s">
        <v>2071</v>
      </c>
      <c r="F14" s="22" t="s">
        <v>2279</v>
      </c>
      <c r="G14" s="22" t="s">
        <v>53</v>
      </c>
      <c r="H14" s="48" t="s">
        <v>2280</v>
      </c>
      <c r="I14" s="47">
        <v>0.0</v>
      </c>
      <c r="J14" s="48" t="s">
        <v>2281</v>
      </c>
      <c r="K14" s="47">
        <v>0.0</v>
      </c>
      <c r="L14" s="48"/>
      <c r="M14" s="48"/>
      <c r="N14" s="48" t="s">
        <v>2282</v>
      </c>
      <c r="O14" s="47">
        <v>0.0</v>
      </c>
      <c r="P14" s="48"/>
      <c r="Q14" s="48"/>
      <c r="R14" s="48" t="s">
        <v>2283</v>
      </c>
      <c r="S14" s="47">
        <v>0.0</v>
      </c>
      <c r="T14" s="48"/>
      <c r="U14" s="48"/>
      <c r="V14" s="48" t="s">
        <v>2284</v>
      </c>
      <c r="W14" s="47">
        <v>0.0</v>
      </c>
      <c r="X14" s="48" t="s">
        <v>2285</v>
      </c>
      <c r="Y14" s="47">
        <v>0.0</v>
      </c>
      <c r="Z14" s="48" t="s">
        <v>2286</v>
      </c>
      <c r="AA14" s="47">
        <v>0.0</v>
      </c>
      <c r="AB14" s="48" t="s">
        <v>2287</v>
      </c>
      <c r="AC14" s="47">
        <v>0.0</v>
      </c>
      <c r="AD14" s="48" t="s">
        <v>2288</v>
      </c>
      <c r="AE14" s="47">
        <v>0.0</v>
      </c>
      <c r="AF14" s="48" t="s">
        <v>2289</v>
      </c>
      <c r="AG14" s="47">
        <v>0.0</v>
      </c>
      <c r="AH14" s="48" t="s">
        <v>2290</v>
      </c>
      <c r="AI14" s="47">
        <v>2.0</v>
      </c>
      <c r="AJ14" s="48" t="s">
        <v>2291</v>
      </c>
      <c r="AK14" s="47">
        <v>0.0</v>
      </c>
      <c r="AL14" s="72"/>
      <c r="AM14" s="72"/>
      <c r="AN14" s="48" t="s">
        <v>2292</v>
      </c>
      <c r="AO14" s="47">
        <v>0.0</v>
      </c>
      <c r="AP14" s="48" t="s">
        <v>2293</v>
      </c>
      <c r="AQ14" s="47">
        <v>0.0</v>
      </c>
      <c r="AR14" s="48"/>
      <c r="AS14" s="48"/>
    </row>
    <row r="15">
      <c r="A15" s="9">
        <v>1216.0</v>
      </c>
      <c r="B15" s="9" t="s">
        <v>50</v>
      </c>
      <c r="C15" s="9" t="str">
        <f t="shared" si="1"/>
        <v>LP 14_BC-07B_BS VI HSD</v>
      </c>
      <c r="D15" s="11" t="s">
        <v>2294</v>
      </c>
      <c r="E15" s="77" t="s">
        <v>2071</v>
      </c>
      <c r="F15" s="22" t="s">
        <v>2295</v>
      </c>
      <c r="G15" s="22" t="s">
        <v>53</v>
      </c>
      <c r="H15" s="48" t="s">
        <v>2296</v>
      </c>
      <c r="I15" s="47">
        <v>0.0</v>
      </c>
      <c r="J15" s="48" t="s">
        <v>2297</v>
      </c>
      <c r="K15" s="47">
        <v>0.0</v>
      </c>
      <c r="L15" s="48"/>
      <c r="M15" s="48"/>
      <c r="N15" s="48" t="s">
        <v>2298</v>
      </c>
      <c r="O15" s="47">
        <v>0.0</v>
      </c>
      <c r="P15" s="48"/>
      <c r="Q15" s="48"/>
      <c r="R15" s="48" t="s">
        <v>2299</v>
      </c>
      <c r="S15" s="47">
        <v>0.0</v>
      </c>
      <c r="T15" s="48"/>
      <c r="U15" s="48"/>
      <c r="V15" s="48" t="s">
        <v>2300</v>
      </c>
      <c r="W15" s="47">
        <v>0.0</v>
      </c>
      <c r="X15" s="48" t="s">
        <v>2301</v>
      </c>
      <c r="Y15" s="47">
        <v>0.0</v>
      </c>
      <c r="Z15" s="48" t="s">
        <v>2302</v>
      </c>
      <c r="AA15" s="47">
        <v>0.0</v>
      </c>
      <c r="AB15" s="48" t="s">
        <v>2303</v>
      </c>
      <c r="AC15" s="47">
        <v>0.0</v>
      </c>
      <c r="AD15" s="48" t="s">
        <v>2304</v>
      </c>
      <c r="AE15" s="47">
        <v>0.0</v>
      </c>
      <c r="AF15" s="48" t="s">
        <v>2305</v>
      </c>
      <c r="AG15" s="47">
        <v>0.0</v>
      </c>
      <c r="AH15" s="48" t="s">
        <v>2306</v>
      </c>
      <c r="AI15" s="47">
        <v>2.0</v>
      </c>
      <c r="AJ15" s="48" t="s">
        <v>2307</v>
      </c>
      <c r="AK15" s="47">
        <v>0.0</v>
      </c>
      <c r="AL15" s="72"/>
      <c r="AM15" s="72"/>
      <c r="AN15" s="48" t="s">
        <v>2308</v>
      </c>
      <c r="AO15" s="47">
        <v>0.0</v>
      </c>
      <c r="AP15" s="48" t="s">
        <v>2309</v>
      </c>
      <c r="AQ15" s="47">
        <v>0.0</v>
      </c>
      <c r="AR15" s="48"/>
      <c r="AS15" s="48"/>
    </row>
    <row r="16">
      <c r="A16" s="9">
        <v>1216.0</v>
      </c>
      <c r="B16" s="9" t="s">
        <v>50</v>
      </c>
      <c r="C16" s="9" t="str">
        <f t="shared" si="1"/>
        <v>LP 15_BC-08A_BS VI HSD</v>
      </c>
      <c r="D16" s="11" t="s">
        <v>2310</v>
      </c>
      <c r="E16" s="77" t="s">
        <v>2071</v>
      </c>
      <c r="F16" s="22" t="s">
        <v>2311</v>
      </c>
      <c r="G16" s="22" t="s">
        <v>53</v>
      </c>
      <c r="H16" s="48" t="s">
        <v>2312</v>
      </c>
      <c r="I16" s="47">
        <v>0.0</v>
      </c>
      <c r="J16" s="48" t="s">
        <v>2313</v>
      </c>
      <c r="K16" s="47">
        <v>0.0</v>
      </c>
      <c r="L16" s="48"/>
      <c r="M16" s="48"/>
      <c r="N16" s="48" t="s">
        <v>2314</v>
      </c>
      <c r="O16" s="47">
        <v>0.0</v>
      </c>
      <c r="P16" s="48"/>
      <c r="Q16" s="48"/>
      <c r="R16" s="48" t="s">
        <v>2315</v>
      </c>
      <c r="S16" s="47">
        <v>0.0</v>
      </c>
      <c r="T16" s="48"/>
      <c r="U16" s="48"/>
      <c r="V16" s="48" t="s">
        <v>2316</v>
      </c>
      <c r="W16" s="47">
        <v>0.0</v>
      </c>
      <c r="X16" s="48" t="s">
        <v>2317</v>
      </c>
      <c r="Y16" s="47">
        <v>0.0</v>
      </c>
      <c r="Z16" s="48" t="s">
        <v>2318</v>
      </c>
      <c r="AA16" s="47">
        <v>0.0</v>
      </c>
      <c r="AB16" s="48" t="s">
        <v>2319</v>
      </c>
      <c r="AC16" s="47">
        <v>0.0</v>
      </c>
      <c r="AD16" s="48" t="s">
        <v>2320</v>
      </c>
      <c r="AE16" s="47">
        <v>0.0</v>
      </c>
      <c r="AF16" s="48" t="s">
        <v>2321</v>
      </c>
      <c r="AG16" s="47">
        <v>0.0</v>
      </c>
      <c r="AH16" s="48" t="s">
        <v>2322</v>
      </c>
      <c r="AI16" s="47">
        <v>2.0</v>
      </c>
      <c r="AJ16" s="48" t="s">
        <v>2323</v>
      </c>
      <c r="AK16" s="47">
        <v>0.0</v>
      </c>
      <c r="AL16" s="72"/>
      <c r="AM16" s="72"/>
      <c r="AN16" s="48" t="s">
        <v>2324</v>
      </c>
      <c r="AO16" s="47">
        <v>0.0</v>
      </c>
      <c r="AP16" s="48" t="s">
        <v>2325</v>
      </c>
      <c r="AQ16" s="47">
        <v>0.0</v>
      </c>
      <c r="AR16" s="48"/>
      <c r="AS16" s="48"/>
    </row>
    <row r="17">
      <c r="A17" s="9">
        <v>1216.0</v>
      </c>
      <c r="B17" s="9" t="s">
        <v>50</v>
      </c>
      <c r="C17" s="9" t="str">
        <f t="shared" si="1"/>
        <v>LP 16_BC-08B_BS VI HSD</v>
      </c>
      <c r="D17" s="11" t="s">
        <v>2326</v>
      </c>
      <c r="E17" s="77" t="s">
        <v>2071</v>
      </c>
      <c r="F17" s="22" t="s">
        <v>2327</v>
      </c>
      <c r="G17" s="22" t="s">
        <v>53</v>
      </c>
      <c r="H17" s="48" t="s">
        <v>2328</v>
      </c>
      <c r="I17" s="47">
        <v>0.0</v>
      </c>
      <c r="J17" s="48" t="s">
        <v>2329</v>
      </c>
      <c r="K17" s="47">
        <v>0.0</v>
      </c>
      <c r="L17" s="48"/>
      <c r="M17" s="48"/>
      <c r="N17" s="48" t="s">
        <v>2330</v>
      </c>
      <c r="O17" s="47">
        <v>0.0</v>
      </c>
      <c r="P17" s="48"/>
      <c r="Q17" s="48"/>
      <c r="R17" s="48" t="s">
        <v>2331</v>
      </c>
      <c r="S17" s="47">
        <v>0.0</v>
      </c>
      <c r="T17" s="48"/>
      <c r="U17" s="48"/>
      <c r="V17" s="48" t="s">
        <v>2332</v>
      </c>
      <c r="W17" s="47">
        <v>0.0</v>
      </c>
      <c r="X17" s="48" t="s">
        <v>2333</v>
      </c>
      <c r="Y17" s="47">
        <v>0.0</v>
      </c>
      <c r="Z17" s="48" t="s">
        <v>2334</v>
      </c>
      <c r="AA17" s="47">
        <v>0.0</v>
      </c>
      <c r="AB17" s="48" t="s">
        <v>2335</v>
      </c>
      <c r="AC17" s="47">
        <v>0.0</v>
      </c>
      <c r="AD17" s="48" t="s">
        <v>2336</v>
      </c>
      <c r="AE17" s="47">
        <v>0.0</v>
      </c>
      <c r="AF17" s="48" t="s">
        <v>2337</v>
      </c>
      <c r="AG17" s="47">
        <v>0.0</v>
      </c>
      <c r="AH17" s="48" t="s">
        <v>2338</v>
      </c>
      <c r="AI17" s="47">
        <v>2.0</v>
      </c>
      <c r="AJ17" s="48" t="s">
        <v>2339</v>
      </c>
      <c r="AK17" s="47">
        <v>0.0</v>
      </c>
      <c r="AL17" s="72"/>
      <c r="AM17" s="72"/>
      <c r="AN17" s="48" t="s">
        <v>2340</v>
      </c>
      <c r="AO17" s="47">
        <v>0.0</v>
      </c>
      <c r="AP17" s="48" t="s">
        <v>2341</v>
      </c>
      <c r="AQ17" s="47">
        <v>0.0</v>
      </c>
      <c r="AR17" s="48"/>
      <c r="AS17" s="48"/>
    </row>
    <row r="18">
      <c r="A18" s="9">
        <v>1216.0</v>
      </c>
      <c r="B18" s="9" t="s">
        <v>50</v>
      </c>
      <c r="C18" s="9" t="str">
        <f t="shared" si="1"/>
        <v>LP 17_BC-09A_BS VI HSD</v>
      </c>
      <c r="D18" s="11" t="s">
        <v>2342</v>
      </c>
      <c r="E18" s="77" t="s">
        <v>2071</v>
      </c>
      <c r="F18" s="22" t="s">
        <v>2343</v>
      </c>
      <c r="G18" s="22" t="s">
        <v>53</v>
      </c>
      <c r="H18" s="48" t="s">
        <v>2344</v>
      </c>
      <c r="I18" s="47">
        <v>0.0</v>
      </c>
      <c r="J18" s="48" t="s">
        <v>2345</v>
      </c>
      <c r="K18" s="47">
        <v>0.0</v>
      </c>
      <c r="L18" s="48"/>
      <c r="M18" s="48"/>
      <c r="N18" s="48" t="s">
        <v>2346</v>
      </c>
      <c r="O18" s="47">
        <v>0.0</v>
      </c>
      <c r="P18" s="48"/>
      <c r="Q18" s="48"/>
      <c r="R18" s="48" t="s">
        <v>2347</v>
      </c>
      <c r="S18" s="47">
        <v>0.0</v>
      </c>
      <c r="T18" s="48"/>
      <c r="U18" s="48"/>
      <c r="V18" s="48" t="s">
        <v>2348</v>
      </c>
      <c r="W18" s="47">
        <v>0.0</v>
      </c>
      <c r="X18" s="48" t="s">
        <v>2349</v>
      </c>
      <c r="Y18" s="47">
        <v>0.0</v>
      </c>
      <c r="Z18" s="48" t="s">
        <v>2350</v>
      </c>
      <c r="AA18" s="47">
        <v>0.0</v>
      </c>
      <c r="AB18" s="48" t="s">
        <v>2351</v>
      </c>
      <c r="AC18" s="47">
        <v>0.0</v>
      </c>
      <c r="AD18" s="48" t="s">
        <v>2352</v>
      </c>
      <c r="AE18" s="47">
        <v>0.0</v>
      </c>
      <c r="AF18" s="48" t="s">
        <v>2353</v>
      </c>
      <c r="AG18" s="47">
        <v>0.0</v>
      </c>
      <c r="AH18" s="48" t="s">
        <v>2354</v>
      </c>
      <c r="AI18" s="47">
        <v>2.0</v>
      </c>
      <c r="AJ18" s="48" t="s">
        <v>2355</v>
      </c>
      <c r="AK18" s="47">
        <v>0.0</v>
      </c>
      <c r="AL18" s="72"/>
      <c r="AM18" s="72"/>
      <c r="AN18" s="48" t="s">
        <v>2356</v>
      </c>
      <c r="AO18" s="47">
        <v>0.0</v>
      </c>
      <c r="AP18" s="48" t="s">
        <v>2357</v>
      </c>
      <c r="AQ18" s="47">
        <v>0.0</v>
      </c>
      <c r="AR18" s="48"/>
      <c r="AS18" s="48"/>
    </row>
    <row r="19">
      <c r="A19" s="9">
        <v>1216.0</v>
      </c>
      <c r="B19" s="9" t="s">
        <v>50</v>
      </c>
      <c r="C19" s="9" t="str">
        <f t="shared" si="1"/>
        <v>LP 18_BC-09B_BS VI MS</v>
      </c>
      <c r="D19" s="11" t="s">
        <v>2358</v>
      </c>
      <c r="E19" s="77" t="s">
        <v>2071</v>
      </c>
      <c r="F19" s="22" t="s">
        <v>2359</v>
      </c>
      <c r="G19" s="22" t="s">
        <v>322</v>
      </c>
      <c r="H19" s="48" t="s">
        <v>2360</v>
      </c>
      <c r="I19" s="47">
        <v>0.0</v>
      </c>
      <c r="J19" s="48" t="s">
        <v>2361</v>
      </c>
      <c r="K19" s="47">
        <v>0.0</v>
      </c>
      <c r="L19" s="48" t="s">
        <v>2362</v>
      </c>
      <c r="M19" s="47">
        <v>0.0</v>
      </c>
      <c r="N19" s="48" t="s">
        <v>2363</v>
      </c>
      <c r="O19" s="47">
        <v>0.0</v>
      </c>
      <c r="P19" s="48" t="s">
        <v>2364</v>
      </c>
      <c r="Q19" s="47">
        <v>0.0</v>
      </c>
      <c r="R19" s="48" t="s">
        <v>2365</v>
      </c>
      <c r="S19" s="47">
        <v>0.0</v>
      </c>
      <c r="T19" s="48" t="s">
        <v>2366</v>
      </c>
      <c r="U19" s="47">
        <v>0.0</v>
      </c>
      <c r="V19" s="48" t="s">
        <v>2367</v>
      </c>
      <c r="W19" s="47">
        <v>0.0</v>
      </c>
      <c r="X19" s="48" t="s">
        <v>2368</v>
      </c>
      <c r="Y19" s="47">
        <v>0.0</v>
      </c>
      <c r="Z19" s="48" t="s">
        <v>2369</v>
      </c>
      <c r="AA19" s="47">
        <v>0.0</v>
      </c>
      <c r="AB19" s="48" t="s">
        <v>2370</v>
      </c>
      <c r="AC19" s="47">
        <v>0.0</v>
      </c>
      <c r="AD19" s="48" t="s">
        <v>2371</v>
      </c>
      <c r="AE19" s="47">
        <v>0.0</v>
      </c>
      <c r="AF19" s="48" t="s">
        <v>2372</v>
      </c>
      <c r="AG19" s="47">
        <v>0.0</v>
      </c>
      <c r="AH19" s="48" t="s">
        <v>2373</v>
      </c>
      <c r="AI19" s="47">
        <v>2.0</v>
      </c>
      <c r="AJ19" s="48" t="s">
        <v>2374</v>
      </c>
      <c r="AK19" s="47">
        <v>0.0</v>
      </c>
      <c r="AL19" s="78" t="s">
        <v>2375</v>
      </c>
      <c r="AM19" s="54">
        <v>0.0</v>
      </c>
      <c r="AN19" s="48" t="s">
        <v>2376</v>
      </c>
      <c r="AO19" s="47">
        <v>0.0</v>
      </c>
      <c r="AP19" s="48" t="s">
        <v>2377</v>
      </c>
      <c r="AQ19" s="47">
        <v>0.0</v>
      </c>
      <c r="AR19" s="48" t="s">
        <v>2378</v>
      </c>
      <c r="AS19" s="47">
        <v>0.0</v>
      </c>
    </row>
    <row r="20">
      <c r="A20" s="9">
        <v>1216.0</v>
      </c>
      <c r="B20" s="9" t="s">
        <v>50</v>
      </c>
      <c r="C20" s="9" t="str">
        <f t="shared" si="1"/>
        <v>LP 19_BC-10A_BS VI HSD</v>
      </c>
      <c r="D20" s="11" t="s">
        <v>2379</v>
      </c>
      <c r="E20" s="77" t="s">
        <v>2071</v>
      </c>
      <c r="F20" s="22" t="s">
        <v>2380</v>
      </c>
      <c r="G20" s="22" t="s">
        <v>53</v>
      </c>
      <c r="H20" s="48" t="s">
        <v>2381</v>
      </c>
      <c r="I20" s="47">
        <v>0.0</v>
      </c>
      <c r="J20" s="48" t="s">
        <v>2382</v>
      </c>
      <c r="K20" s="47">
        <v>0.0</v>
      </c>
      <c r="L20" s="48"/>
      <c r="M20" s="48"/>
      <c r="N20" s="48" t="s">
        <v>2383</v>
      </c>
      <c r="O20" s="47">
        <v>0.0</v>
      </c>
      <c r="P20" s="48"/>
      <c r="Q20" s="48"/>
      <c r="R20" s="48" t="s">
        <v>2384</v>
      </c>
      <c r="S20" s="47">
        <v>0.0</v>
      </c>
      <c r="T20" s="48"/>
      <c r="U20" s="48"/>
      <c r="V20" s="48" t="s">
        <v>2385</v>
      </c>
      <c r="W20" s="47">
        <v>0.0</v>
      </c>
      <c r="X20" s="48" t="s">
        <v>2386</v>
      </c>
      <c r="Y20" s="47">
        <v>0.0</v>
      </c>
      <c r="Z20" s="48" t="s">
        <v>2387</v>
      </c>
      <c r="AA20" s="47">
        <v>0.0</v>
      </c>
      <c r="AB20" s="48" t="s">
        <v>2388</v>
      </c>
      <c r="AC20" s="47">
        <v>0.0</v>
      </c>
      <c r="AD20" s="48" t="s">
        <v>2389</v>
      </c>
      <c r="AE20" s="47">
        <v>0.0</v>
      </c>
      <c r="AF20" s="48" t="s">
        <v>2390</v>
      </c>
      <c r="AG20" s="47">
        <v>0.0</v>
      </c>
      <c r="AH20" s="48" t="s">
        <v>2391</v>
      </c>
      <c r="AI20" s="47">
        <v>2.0</v>
      </c>
      <c r="AJ20" s="48" t="s">
        <v>2392</v>
      </c>
      <c r="AK20" s="47">
        <v>0.0</v>
      </c>
      <c r="AL20" s="72"/>
      <c r="AM20" s="72"/>
      <c r="AN20" s="48" t="s">
        <v>2393</v>
      </c>
      <c r="AO20" s="47">
        <v>0.0</v>
      </c>
      <c r="AP20" s="48" t="s">
        <v>2394</v>
      </c>
      <c r="AQ20" s="47">
        <v>0.0</v>
      </c>
      <c r="AR20" s="48"/>
      <c r="AS20" s="48"/>
    </row>
    <row r="21">
      <c r="A21" s="9">
        <v>1216.0</v>
      </c>
      <c r="B21" s="9" t="s">
        <v>50</v>
      </c>
      <c r="C21" s="9" t="str">
        <f t="shared" si="1"/>
        <v>LP 20_BC-10B_BS VI MS</v>
      </c>
      <c r="D21" s="11" t="s">
        <v>2395</v>
      </c>
      <c r="E21" s="77" t="s">
        <v>2071</v>
      </c>
      <c r="F21" s="22" t="s">
        <v>2396</v>
      </c>
      <c r="G21" s="22" t="s">
        <v>322</v>
      </c>
      <c r="H21" s="48" t="s">
        <v>2397</v>
      </c>
      <c r="I21" s="47">
        <v>0.0</v>
      </c>
      <c r="J21" s="48" t="s">
        <v>2398</v>
      </c>
      <c r="K21" s="47">
        <v>0.0</v>
      </c>
      <c r="L21" s="48" t="s">
        <v>2399</v>
      </c>
      <c r="M21" s="47">
        <v>0.0</v>
      </c>
      <c r="N21" s="48" t="s">
        <v>2400</v>
      </c>
      <c r="O21" s="47">
        <v>0.0</v>
      </c>
      <c r="P21" s="48" t="s">
        <v>2401</v>
      </c>
      <c r="Q21" s="47">
        <v>0.0</v>
      </c>
      <c r="R21" s="48" t="s">
        <v>2402</v>
      </c>
      <c r="S21" s="47">
        <v>0.0</v>
      </c>
      <c r="T21" s="48" t="s">
        <v>2403</v>
      </c>
      <c r="U21" s="47">
        <v>0.0</v>
      </c>
      <c r="V21" s="48" t="s">
        <v>2404</v>
      </c>
      <c r="W21" s="47">
        <v>0.0</v>
      </c>
      <c r="X21" s="48" t="s">
        <v>2405</v>
      </c>
      <c r="Y21" s="47">
        <v>0.0</v>
      </c>
      <c r="Z21" s="48" t="s">
        <v>2406</v>
      </c>
      <c r="AA21" s="47">
        <v>0.0</v>
      </c>
      <c r="AB21" s="48" t="s">
        <v>2407</v>
      </c>
      <c r="AC21" s="47">
        <v>0.0</v>
      </c>
      <c r="AD21" s="48" t="s">
        <v>2408</v>
      </c>
      <c r="AE21" s="47">
        <v>0.0</v>
      </c>
      <c r="AF21" s="48" t="s">
        <v>2409</v>
      </c>
      <c r="AG21" s="47">
        <v>0.0</v>
      </c>
      <c r="AH21" s="48" t="s">
        <v>2410</v>
      </c>
      <c r="AI21" s="47">
        <v>2.0</v>
      </c>
      <c r="AJ21" s="48" t="s">
        <v>2411</v>
      </c>
      <c r="AK21" s="47">
        <v>0.0</v>
      </c>
      <c r="AL21" s="78" t="s">
        <v>2412</v>
      </c>
      <c r="AM21" s="54">
        <v>0.0</v>
      </c>
      <c r="AN21" s="48" t="s">
        <v>2413</v>
      </c>
      <c r="AO21" s="47">
        <v>0.0</v>
      </c>
      <c r="AP21" s="48" t="s">
        <v>2414</v>
      </c>
      <c r="AQ21" s="47">
        <v>0.0</v>
      </c>
      <c r="AR21" s="48" t="s">
        <v>2415</v>
      </c>
      <c r="AS21" s="47">
        <v>0.0</v>
      </c>
    </row>
    <row r="22">
      <c r="A22" s="9">
        <v>1216.0</v>
      </c>
      <c r="B22" s="9" t="s">
        <v>50</v>
      </c>
      <c r="C22" s="9" t="str">
        <f t="shared" si="1"/>
        <v>LP 21_BC-11A_BS VI HSD</v>
      </c>
      <c r="D22" s="11" t="s">
        <v>2416</v>
      </c>
      <c r="E22" s="77" t="s">
        <v>2071</v>
      </c>
      <c r="F22" s="22" t="s">
        <v>2417</v>
      </c>
      <c r="G22" s="22" t="s">
        <v>53</v>
      </c>
      <c r="H22" s="48" t="s">
        <v>2418</v>
      </c>
      <c r="I22" s="47">
        <v>0.0</v>
      </c>
      <c r="J22" s="48" t="s">
        <v>2419</v>
      </c>
      <c r="K22" s="47">
        <v>0.0</v>
      </c>
      <c r="L22" s="48"/>
      <c r="M22" s="48"/>
      <c r="N22" s="48" t="s">
        <v>2420</v>
      </c>
      <c r="O22" s="47">
        <v>0.0</v>
      </c>
      <c r="P22" s="48"/>
      <c r="Q22" s="48"/>
      <c r="R22" s="48" t="s">
        <v>2421</v>
      </c>
      <c r="S22" s="47">
        <v>0.0</v>
      </c>
      <c r="T22" s="48"/>
      <c r="U22" s="48"/>
      <c r="V22" s="48" t="s">
        <v>2422</v>
      </c>
      <c r="W22" s="47">
        <v>0.0</v>
      </c>
      <c r="X22" s="48" t="s">
        <v>2423</v>
      </c>
      <c r="Y22" s="47">
        <v>0.0</v>
      </c>
      <c r="Z22" s="48" t="s">
        <v>2424</v>
      </c>
      <c r="AA22" s="47">
        <v>0.0</v>
      </c>
      <c r="AB22" s="48" t="s">
        <v>2425</v>
      </c>
      <c r="AC22" s="47">
        <v>0.0</v>
      </c>
      <c r="AD22" s="48" t="s">
        <v>2426</v>
      </c>
      <c r="AE22" s="47">
        <v>0.0</v>
      </c>
      <c r="AF22" s="48" t="s">
        <v>2427</v>
      </c>
      <c r="AG22" s="47">
        <v>0.0</v>
      </c>
      <c r="AH22" s="48" t="s">
        <v>2428</v>
      </c>
      <c r="AI22" s="47">
        <v>2.0</v>
      </c>
      <c r="AJ22" s="48" t="s">
        <v>2429</v>
      </c>
      <c r="AK22" s="47">
        <v>0.0</v>
      </c>
      <c r="AL22" s="72"/>
      <c r="AM22" s="72"/>
      <c r="AN22" s="48" t="s">
        <v>2430</v>
      </c>
      <c r="AO22" s="47">
        <v>0.0</v>
      </c>
      <c r="AP22" s="48" t="s">
        <v>2431</v>
      </c>
      <c r="AQ22" s="47">
        <v>0.0</v>
      </c>
      <c r="AR22" s="48"/>
      <c r="AS22" s="48"/>
    </row>
    <row r="23">
      <c r="A23" s="9">
        <v>1216.0</v>
      </c>
      <c r="B23" s="9" t="s">
        <v>50</v>
      </c>
      <c r="C23" s="9" t="str">
        <f t="shared" si="1"/>
        <v>LP 22_BC-11B_BS VI MS</v>
      </c>
      <c r="D23" s="11" t="s">
        <v>2432</v>
      </c>
      <c r="E23" s="77" t="s">
        <v>2071</v>
      </c>
      <c r="F23" s="22" t="s">
        <v>2433</v>
      </c>
      <c r="G23" s="22" t="s">
        <v>322</v>
      </c>
      <c r="H23" s="48" t="s">
        <v>2434</v>
      </c>
      <c r="I23" s="47">
        <v>0.0</v>
      </c>
      <c r="J23" s="48" t="s">
        <v>2435</v>
      </c>
      <c r="K23" s="47">
        <v>0.0</v>
      </c>
      <c r="L23" s="48" t="s">
        <v>2436</v>
      </c>
      <c r="M23" s="47">
        <v>0.0</v>
      </c>
      <c r="N23" s="48" t="s">
        <v>2437</v>
      </c>
      <c r="O23" s="47">
        <v>0.0</v>
      </c>
      <c r="P23" s="48" t="s">
        <v>2438</v>
      </c>
      <c r="Q23" s="47">
        <v>0.0</v>
      </c>
      <c r="R23" s="48" t="s">
        <v>2439</v>
      </c>
      <c r="S23" s="47">
        <v>0.0</v>
      </c>
      <c r="T23" s="48" t="s">
        <v>2440</v>
      </c>
      <c r="U23" s="47">
        <v>0.0</v>
      </c>
      <c r="V23" s="48" t="s">
        <v>2441</v>
      </c>
      <c r="W23" s="47">
        <v>0.0</v>
      </c>
      <c r="X23" s="48" t="s">
        <v>2442</v>
      </c>
      <c r="Y23" s="47">
        <v>0.0</v>
      </c>
      <c r="Z23" s="48" t="s">
        <v>2443</v>
      </c>
      <c r="AA23" s="47">
        <v>0.0</v>
      </c>
      <c r="AB23" s="48" t="s">
        <v>2444</v>
      </c>
      <c r="AC23" s="47">
        <v>0.0</v>
      </c>
      <c r="AD23" s="48" t="s">
        <v>2445</v>
      </c>
      <c r="AE23" s="47">
        <v>0.0</v>
      </c>
      <c r="AF23" s="48" t="s">
        <v>2446</v>
      </c>
      <c r="AG23" s="47">
        <v>0.0</v>
      </c>
      <c r="AH23" s="48" t="s">
        <v>2447</v>
      </c>
      <c r="AI23" s="47">
        <v>2.0</v>
      </c>
      <c r="AJ23" s="48" t="s">
        <v>2448</v>
      </c>
      <c r="AK23" s="47">
        <v>0.0</v>
      </c>
      <c r="AL23" s="78" t="s">
        <v>2449</v>
      </c>
      <c r="AM23" s="54">
        <v>0.0</v>
      </c>
      <c r="AN23" s="48" t="s">
        <v>2450</v>
      </c>
      <c r="AO23" s="47">
        <v>0.0</v>
      </c>
      <c r="AP23" s="48" t="s">
        <v>2451</v>
      </c>
      <c r="AQ23" s="47">
        <v>0.0</v>
      </c>
      <c r="AR23" s="48" t="s">
        <v>2452</v>
      </c>
      <c r="AS23" s="47">
        <v>0.0</v>
      </c>
    </row>
    <row r="24">
      <c r="A24" s="9">
        <v>1216.0</v>
      </c>
      <c r="B24" s="9" t="s">
        <v>50</v>
      </c>
      <c r="C24" s="9" t="str">
        <f t="shared" si="1"/>
        <v>LP 23_BC-12A_BS VI HSD</v>
      </c>
      <c r="D24" s="11" t="s">
        <v>2453</v>
      </c>
      <c r="E24" s="77" t="s">
        <v>2071</v>
      </c>
      <c r="F24" s="22" t="s">
        <v>2454</v>
      </c>
      <c r="G24" s="22" t="s">
        <v>53</v>
      </c>
      <c r="H24" s="48" t="s">
        <v>2455</v>
      </c>
      <c r="I24" s="47">
        <v>0.0</v>
      </c>
      <c r="J24" s="48" t="s">
        <v>2456</v>
      </c>
      <c r="K24" s="47">
        <v>0.0</v>
      </c>
      <c r="L24" s="48"/>
      <c r="M24" s="48"/>
      <c r="N24" s="48" t="s">
        <v>2457</v>
      </c>
      <c r="O24" s="47">
        <v>0.0</v>
      </c>
      <c r="P24" s="48"/>
      <c r="Q24" s="48"/>
      <c r="R24" s="48" t="s">
        <v>2458</v>
      </c>
      <c r="S24" s="47">
        <v>0.0</v>
      </c>
      <c r="T24" s="48"/>
      <c r="U24" s="48"/>
      <c r="V24" s="48" t="s">
        <v>2459</v>
      </c>
      <c r="W24" s="47">
        <v>0.0</v>
      </c>
      <c r="X24" s="48" t="s">
        <v>2460</v>
      </c>
      <c r="Y24" s="47">
        <v>0.0</v>
      </c>
      <c r="Z24" s="48" t="s">
        <v>2461</v>
      </c>
      <c r="AA24" s="47">
        <v>0.0</v>
      </c>
      <c r="AB24" s="48" t="s">
        <v>2462</v>
      </c>
      <c r="AC24" s="47">
        <v>0.0</v>
      </c>
      <c r="AD24" s="48" t="s">
        <v>2463</v>
      </c>
      <c r="AE24" s="47">
        <v>0.0</v>
      </c>
      <c r="AF24" s="48" t="s">
        <v>2464</v>
      </c>
      <c r="AG24" s="47">
        <v>0.0</v>
      </c>
      <c r="AH24" s="48" t="s">
        <v>2465</v>
      </c>
      <c r="AI24" s="47">
        <v>2.0</v>
      </c>
      <c r="AJ24" s="48" t="s">
        <v>2466</v>
      </c>
      <c r="AK24" s="47">
        <v>0.0</v>
      </c>
      <c r="AL24" s="72"/>
      <c r="AM24" s="72"/>
      <c r="AN24" s="48" t="s">
        <v>2467</v>
      </c>
      <c r="AO24" s="47">
        <v>0.0</v>
      </c>
      <c r="AP24" s="48" t="s">
        <v>2468</v>
      </c>
      <c r="AQ24" s="47">
        <v>0.0</v>
      </c>
      <c r="AR24" s="48"/>
      <c r="AS24" s="48"/>
    </row>
    <row r="25">
      <c r="A25" s="9">
        <v>1216.0</v>
      </c>
      <c r="B25" s="9" t="s">
        <v>50</v>
      </c>
      <c r="C25" s="9" t="str">
        <f t="shared" si="1"/>
        <v>LP 24_BC-12B_BS VI MS</v>
      </c>
      <c r="D25" s="11" t="s">
        <v>2469</v>
      </c>
      <c r="E25" s="77" t="s">
        <v>2071</v>
      </c>
      <c r="F25" s="22" t="s">
        <v>2470</v>
      </c>
      <c r="G25" s="22" t="s">
        <v>322</v>
      </c>
      <c r="H25" s="48" t="s">
        <v>2471</v>
      </c>
      <c r="I25" s="47">
        <v>0.0</v>
      </c>
      <c r="J25" s="48" t="s">
        <v>2472</v>
      </c>
      <c r="K25" s="47">
        <v>0.0</v>
      </c>
      <c r="L25" s="48" t="s">
        <v>2473</v>
      </c>
      <c r="M25" s="47">
        <v>0.0</v>
      </c>
      <c r="N25" s="48" t="s">
        <v>2474</v>
      </c>
      <c r="O25" s="47">
        <v>0.0</v>
      </c>
      <c r="P25" s="48" t="s">
        <v>2475</v>
      </c>
      <c r="Q25" s="47">
        <v>0.0</v>
      </c>
      <c r="R25" s="48" t="s">
        <v>2476</v>
      </c>
      <c r="S25" s="47">
        <v>0.0</v>
      </c>
      <c r="T25" s="48" t="s">
        <v>2477</v>
      </c>
      <c r="U25" s="47">
        <v>0.0</v>
      </c>
      <c r="V25" s="48" t="s">
        <v>2478</v>
      </c>
      <c r="W25" s="47">
        <v>0.0</v>
      </c>
      <c r="X25" s="48" t="s">
        <v>2479</v>
      </c>
      <c r="Y25" s="47">
        <v>0.0</v>
      </c>
      <c r="Z25" s="48" t="s">
        <v>2480</v>
      </c>
      <c r="AA25" s="47">
        <v>0.0</v>
      </c>
      <c r="AB25" s="48" t="s">
        <v>2481</v>
      </c>
      <c r="AC25" s="47">
        <v>0.0</v>
      </c>
      <c r="AD25" s="48" t="s">
        <v>2482</v>
      </c>
      <c r="AE25" s="47">
        <v>0.0</v>
      </c>
      <c r="AF25" s="48" t="s">
        <v>2483</v>
      </c>
      <c r="AG25" s="47">
        <v>0.0</v>
      </c>
      <c r="AH25" s="48" t="s">
        <v>2484</v>
      </c>
      <c r="AI25" s="47">
        <v>2.0</v>
      </c>
      <c r="AJ25" s="48" t="s">
        <v>2485</v>
      </c>
      <c r="AK25" s="47">
        <v>0.0</v>
      </c>
      <c r="AL25" s="78" t="s">
        <v>2486</v>
      </c>
      <c r="AM25" s="54">
        <v>0.0</v>
      </c>
      <c r="AN25" s="48" t="s">
        <v>2487</v>
      </c>
      <c r="AO25" s="47">
        <v>0.0</v>
      </c>
      <c r="AP25" s="48" t="s">
        <v>2488</v>
      </c>
      <c r="AQ25" s="47">
        <v>0.0</v>
      </c>
      <c r="AR25" s="48" t="s">
        <v>2489</v>
      </c>
      <c r="AS25" s="47">
        <v>0.0</v>
      </c>
    </row>
    <row r="26">
      <c r="A26" s="9">
        <v>1216.0</v>
      </c>
      <c r="B26" s="9" t="s">
        <v>50</v>
      </c>
      <c r="C26" s="9" t="str">
        <f t="shared" si="1"/>
        <v>LP 25_BC-13A_BS VI HSD</v>
      </c>
      <c r="D26" s="11" t="s">
        <v>2490</v>
      </c>
      <c r="E26" s="77" t="s">
        <v>2071</v>
      </c>
      <c r="F26" s="22" t="s">
        <v>2491</v>
      </c>
      <c r="G26" s="22" t="s">
        <v>53</v>
      </c>
      <c r="H26" s="48" t="s">
        <v>2492</v>
      </c>
      <c r="I26" s="47">
        <v>0.0</v>
      </c>
      <c r="J26" s="48" t="s">
        <v>2493</v>
      </c>
      <c r="K26" s="47">
        <v>0.0</v>
      </c>
      <c r="L26" s="48"/>
      <c r="M26" s="48"/>
      <c r="N26" s="48" t="s">
        <v>2494</v>
      </c>
      <c r="O26" s="47">
        <v>0.0</v>
      </c>
      <c r="P26" s="48"/>
      <c r="Q26" s="48"/>
      <c r="R26" s="48" t="s">
        <v>2495</v>
      </c>
      <c r="S26" s="47">
        <v>0.0</v>
      </c>
      <c r="T26" s="48"/>
      <c r="U26" s="48"/>
      <c r="V26" s="48" t="s">
        <v>2496</v>
      </c>
      <c r="W26" s="47">
        <v>0.0</v>
      </c>
      <c r="X26" s="48" t="s">
        <v>2497</v>
      </c>
      <c r="Y26" s="47">
        <v>0.0</v>
      </c>
      <c r="Z26" s="48" t="s">
        <v>2498</v>
      </c>
      <c r="AA26" s="47">
        <v>0.0</v>
      </c>
      <c r="AB26" s="48" t="s">
        <v>2499</v>
      </c>
      <c r="AC26" s="47">
        <v>0.0</v>
      </c>
      <c r="AD26" s="48" t="s">
        <v>2500</v>
      </c>
      <c r="AE26" s="47">
        <v>0.0</v>
      </c>
      <c r="AF26" s="48" t="s">
        <v>2501</v>
      </c>
      <c r="AG26" s="47">
        <v>0.0</v>
      </c>
      <c r="AH26" s="48" t="s">
        <v>2502</v>
      </c>
      <c r="AI26" s="47">
        <v>2.0</v>
      </c>
      <c r="AJ26" s="48" t="s">
        <v>2503</v>
      </c>
      <c r="AK26" s="47">
        <v>0.0</v>
      </c>
      <c r="AL26" s="72"/>
      <c r="AM26" s="72"/>
      <c r="AN26" s="48" t="s">
        <v>2504</v>
      </c>
      <c r="AO26" s="47">
        <v>0.0</v>
      </c>
      <c r="AP26" s="48" t="s">
        <v>2505</v>
      </c>
      <c r="AQ26" s="47">
        <v>0.0</v>
      </c>
      <c r="AR26" s="48"/>
      <c r="AS26" s="48"/>
    </row>
    <row r="27">
      <c r="A27" s="9">
        <v>1216.0</v>
      </c>
      <c r="B27" s="9" t="s">
        <v>50</v>
      </c>
      <c r="C27" s="9" t="str">
        <f t="shared" si="1"/>
        <v>LP 26_BC-13B_BS VI MS</v>
      </c>
      <c r="D27" s="11" t="s">
        <v>2506</v>
      </c>
      <c r="E27" s="77" t="s">
        <v>2071</v>
      </c>
      <c r="F27" s="22" t="s">
        <v>2507</v>
      </c>
      <c r="G27" s="22" t="s">
        <v>322</v>
      </c>
      <c r="H27" s="48" t="s">
        <v>2508</v>
      </c>
      <c r="I27" s="47">
        <v>0.0</v>
      </c>
      <c r="J27" s="48" t="s">
        <v>2509</v>
      </c>
      <c r="K27" s="47">
        <v>0.0</v>
      </c>
      <c r="L27" s="48" t="s">
        <v>2510</v>
      </c>
      <c r="M27" s="47">
        <v>0.0</v>
      </c>
      <c r="N27" s="48" t="s">
        <v>2511</v>
      </c>
      <c r="O27" s="47">
        <v>0.0</v>
      </c>
      <c r="P27" s="48" t="s">
        <v>2512</v>
      </c>
      <c r="Q27" s="47">
        <v>0.0</v>
      </c>
      <c r="R27" s="48" t="s">
        <v>2513</v>
      </c>
      <c r="S27" s="47">
        <v>0.0</v>
      </c>
      <c r="T27" s="48" t="s">
        <v>2514</v>
      </c>
      <c r="U27" s="47">
        <v>0.0</v>
      </c>
      <c r="V27" s="48" t="s">
        <v>2515</v>
      </c>
      <c r="W27" s="47">
        <v>0.0</v>
      </c>
      <c r="X27" s="48" t="s">
        <v>2516</v>
      </c>
      <c r="Y27" s="47">
        <v>0.0</v>
      </c>
      <c r="Z27" s="48" t="s">
        <v>2517</v>
      </c>
      <c r="AA27" s="47">
        <v>0.0</v>
      </c>
      <c r="AB27" s="48" t="s">
        <v>2518</v>
      </c>
      <c r="AC27" s="47">
        <v>0.0</v>
      </c>
      <c r="AD27" s="48" t="s">
        <v>2519</v>
      </c>
      <c r="AE27" s="47">
        <v>0.0</v>
      </c>
      <c r="AF27" s="48" t="s">
        <v>2520</v>
      </c>
      <c r="AG27" s="47">
        <v>0.0</v>
      </c>
      <c r="AH27" s="48" t="s">
        <v>2521</v>
      </c>
      <c r="AI27" s="47">
        <v>2.0</v>
      </c>
      <c r="AJ27" s="48" t="s">
        <v>2522</v>
      </c>
      <c r="AK27" s="47">
        <v>0.0</v>
      </c>
      <c r="AL27" s="78" t="s">
        <v>2523</v>
      </c>
      <c r="AM27" s="54">
        <v>0.0</v>
      </c>
      <c r="AN27" s="48" t="s">
        <v>2524</v>
      </c>
      <c r="AO27" s="47">
        <v>0.0</v>
      </c>
      <c r="AP27" s="48" t="s">
        <v>2525</v>
      </c>
      <c r="AQ27" s="47">
        <v>0.0</v>
      </c>
      <c r="AR27" s="48" t="s">
        <v>2526</v>
      </c>
      <c r="AS27" s="47">
        <v>0.0</v>
      </c>
    </row>
    <row r="28">
      <c r="A28" s="9">
        <v>1216.0</v>
      </c>
      <c r="B28" s="9" t="s">
        <v>50</v>
      </c>
      <c r="C28" s="9" t="str">
        <f t="shared" si="1"/>
        <v>LP 27_BC-14A_BS VI HSD</v>
      </c>
      <c r="D28" s="11" t="s">
        <v>2527</v>
      </c>
      <c r="E28" s="77" t="s">
        <v>2071</v>
      </c>
      <c r="F28" s="22" t="s">
        <v>2528</v>
      </c>
      <c r="G28" s="22" t="s">
        <v>53</v>
      </c>
      <c r="H28" s="48" t="s">
        <v>2529</v>
      </c>
      <c r="I28" s="47">
        <v>0.0</v>
      </c>
      <c r="J28" s="48" t="s">
        <v>2530</v>
      </c>
      <c r="K28" s="47">
        <v>0.0</v>
      </c>
      <c r="L28" s="48"/>
      <c r="M28" s="48"/>
      <c r="N28" s="48" t="s">
        <v>2531</v>
      </c>
      <c r="O28" s="47">
        <v>0.0</v>
      </c>
      <c r="P28" s="48"/>
      <c r="Q28" s="48"/>
      <c r="R28" s="48" t="s">
        <v>2532</v>
      </c>
      <c r="S28" s="47">
        <v>0.0</v>
      </c>
      <c r="T28" s="48"/>
      <c r="U28" s="48"/>
      <c r="V28" s="48" t="s">
        <v>2533</v>
      </c>
      <c r="W28" s="47">
        <v>0.0</v>
      </c>
      <c r="X28" s="48" t="s">
        <v>2534</v>
      </c>
      <c r="Y28" s="47">
        <v>0.0</v>
      </c>
      <c r="Z28" s="48" t="s">
        <v>2535</v>
      </c>
      <c r="AA28" s="47">
        <v>0.0</v>
      </c>
      <c r="AB28" s="48" t="s">
        <v>2536</v>
      </c>
      <c r="AC28" s="47">
        <v>0.0</v>
      </c>
      <c r="AD28" s="48" t="s">
        <v>2537</v>
      </c>
      <c r="AE28" s="47">
        <v>0.0</v>
      </c>
      <c r="AF28" s="48" t="s">
        <v>2538</v>
      </c>
      <c r="AG28" s="47">
        <v>0.0</v>
      </c>
      <c r="AH28" s="48" t="s">
        <v>2539</v>
      </c>
      <c r="AI28" s="47">
        <v>2.0</v>
      </c>
      <c r="AJ28" s="48" t="s">
        <v>2540</v>
      </c>
      <c r="AK28" s="47">
        <v>0.0</v>
      </c>
      <c r="AL28" s="72"/>
      <c r="AM28" s="72"/>
      <c r="AN28" s="48" t="s">
        <v>2541</v>
      </c>
      <c r="AO28" s="47">
        <v>0.0</v>
      </c>
      <c r="AP28" s="48" t="s">
        <v>2542</v>
      </c>
      <c r="AQ28" s="47">
        <v>0.0</v>
      </c>
      <c r="AR28" s="48"/>
      <c r="AS28" s="48"/>
    </row>
    <row r="29">
      <c r="A29" s="9">
        <v>1216.0</v>
      </c>
      <c r="B29" s="9" t="s">
        <v>50</v>
      </c>
      <c r="C29" s="9" t="str">
        <f t="shared" si="1"/>
        <v>LP 28_BC-14B_BS VI MS</v>
      </c>
      <c r="D29" s="11" t="s">
        <v>2543</v>
      </c>
      <c r="E29" s="77" t="s">
        <v>2071</v>
      </c>
      <c r="F29" s="22" t="s">
        <v>2544</v>
      </c>
      <c r="G29" s="22" t="s">
        <v>322</v>
      </c>
      <c r="H29" s="48" t="s">
        <v>2545</v>
      </c>
      <c r="I29" s="47">
        <v>0.0</v>
      </c>
      <c r="J29" s="48" t="s">
        <v>2546</v>
      </c>
      <c r="K29" s="47">
        <v>0.0</v>
      </c>
      <c r="L29" s="48" t="s">
        <v>2547</v>
      </c>
      <c r="M29" s="47">
        <v>0.0</v>
      </c>
      <c r="N29" s="48" t="s">
        <v>2548</v>
      </c>
      <c r="O29" s="47">
        <v>0.0</v>
      </c>
      <c r="P29" s="48" t="s">
        <v>2549</v>
      </c>
      <c r="Q29" s="47">
        <v>0.0</v>
      </c>
      <c r="R29" s="48" t="s">
        <v>2550</v>
      </c>
      <c r="S29" s="47">
        <v>0.0</v>
      </c>
      <c r="T29" s="48" t="s">
        <v>2551</v>
      </c>
      <c r="U29" s="47">
        <v>0.0</v>
      </c>
      <c r="V29" s="48" t="s">
        <v>2552</v>
      </c>
      <c r="W29" s="47">
        <v>0.0</v>
      </c>
      <c r="X29" s="48" t="s">
        <v>2553</v>
      </c>
      <c r="Y29" s="47">
        <v>0.0</v>
      </c>
      <c r="Z29" s="48" t="s">
        <v>2554</v>
      </c>
      <c r="AA29" s="47">
        <v>0.0</v>
      </c>
      <c r="AB29" s="48" t="s">
        <v>2555</v>
      </c>
      <c r="AC29" s="47">
        <v>0.0</v>
      </c>
      <c r="AD29" s="48" t="s">
        <v>2556</v>
      </c>
      <c r="AE29" s="47">
        <v>0.0</v>
      </c>
      <c r="AF29" s="48" t="s">
        <v>2557</v>
      </c>
      <c r="AG29" s="47">
        <v>0.0</v>
      </c>
      <c r="AH29" s="48" t="s">
        <v>2558</v>
      </c>
      <c r="AI29" s="47">
        <v>2.0</v>
      </c>
      <c r="AJ29" s="48" t="s">
        <v>2559</v>
      </c>
      <c r="AK29" s="47">
        <v>0.0</v>
      </c>
      <c r="AL29" s="78" t="s">
        <v>2560</v>
      </c>
      <c r="AM29" s="54">
        <v>0.0</v>
      </c>
      <c r="AN29" s="48" t="s">
        <v>2561</v>
      </c>
      <c r="AO29" s="47">
        <v>0.0</v>
      </c>
      <c r="AP29" s="48" t="s">
        <v>2562</v>
      </c>
      <c r="AQ29" s="47">
        <v>0.0</v>
      </c>
      <c r="AR29" s="48" t="s">
        <v>2563</v>
      </c>
      <c r="AS29" s="47">
        <v>0.0</v>
      </c>
    </row>
    <row r="30">
      <c r="A30" s="9">
        <v>1216.0</v>
      </c>
      <c r="B30" s="9" t="s">
        <v>50</v>
      </c>
      <c r="C30" s="9" t="str">
        <f t="shared" si="1"/>
        <v>LP 29_BC-15A_MTO</v>
      </c>
      <c r="D30" s="11" t="s">
        <v>2564</v>
      </c>
      <c r="E30" s="77" t="s">
        <v>2071</v>
      </c>
      <c r="F30" s="22" t="s">
        <v>2565</v>
      </c>
      <c r="G30" s="22" t="s">
        <v>432</v>
      </c>
      <c r="H30" s="48" t="s">
        <v>2566</v>
      </c>
      <c r="I30" s="47">
        <v>0.0</v>
      </c>
      <c r="J30" s="48" t="s">
        <v>2567</v>
      </c>
      <c r="K30" s="47">
        <v>0.0</v>
      </c>
      <c r="L30" s="48"/>
      <c r="M30" s="48"/>
      <c r="N30" s="48" t="s">
        <v>2568</v>
      </c>
      <c r="O30" s="47">
        <v>0.0</v>
      </c>
      <c r="P30" s="48"/>
      <c r="Q30" s="48"/>
      <c r="R30" s="48" t="s">
        <v>2569</v>
      </c>
      <c r="S30" s="47">
        <v>0.0</v>
      </c>
      <c r="T30" s="48"/>
      <c r="U30" s="48"/>
      <c r="V30" s="48" t="s">
        <v>2570</v>
      </c>
      <c r="W30" s="47">
        <v>0.0</v>
      </c>
      <c r="X30" s="48" t="s">
        <v>2571</v>
      </c>
      <c r="Y30" s="47">
        <v>0.0</v>
      </c>
      <c r="Z30" s="48" t="s">
        <v>2572</v>
      </c>
      <c r="AA30" s="47">
        <v>0.0</v>
      </c>
      <c r="AB30" s="48" t="s">
        <v>2573</v>
      </c>
      <c r="AC30" s="47">
        <v>0.0</v>
      </c>
      <c r="AD30" s="48" t="s">
        <v>2574</v>
      </c>
      <c r="AE30" s="47">
        <v>0.0</v>
      </c>
      <c r="AF30" s="48" t="s">
        <v>2575</v>
      </c>
      <c r="AG30" s="47">
        <v>0.0</v>
      </c>
      <c r="AH30" s="48" t="s">
        <v>2576</v>
      </c>
      <c r="AI30" s="47">
        <v>2.0</v>
      </c>
      <c r="AJ30" s="48" t="s">
        <v>2577</v>
      </c>
      <c r="AK30" s="47">
        <v>0.0</v>
      </c>
      <c r="AL30" s="72"/>
      <c r="AM30" s="72"/>
      <c r="AN30" s="48" t="s">
        <v>2578</v>
      </c>
      <c r="AO30" s="47">
        <v>0.0</v>
      </c>
      <c r="AP30" s="48" t="s">
        <v>2579</v>
      </c>
      <c r="AQ30" s="47">
        <v>0.0</v>
      </c>
      <c r="AR30" s="48"/>
      <c r="AS30" s="48"/>
    </row>
    <row r="31">
      <c r="A31" s="9">
        <v>1216.0</v>
      </c>
      <c r="B31" s="9" t="s">
        <v>50</v>
      </c>
      <c r="C31" s="9" t="str">
        <f t="shared" si="1"/>
        <v>LP 30_BC-15B_MTO</v>
      </c>
      <c r="D31" s="11" t="s">
        <v>2580</v>
      </c>
      <c r="E31" s="77" t="s">
        <v>2071</v>
      </c>
      <c r="F31" s="22" t="s">
        <v>2581</v>
      </c>
      <c r="G31" s="22" t="s">
        <v>432</v>
      </c>
      <c r="H31" s="48" t="s">
        <v>2582</v>
      </c>
      <c r="I31" s="47">
        <v>0.0</v>
      </c>
      <c r="J31" s="48" t="s">
        <v>2583</v>
      </c>
      <c r="K31" s="47">
        <v>0.0</v>
      </c>
      <c r="L31" s="48"/>
      <c r="M31" s="48"/>
      <c r="N31" s="48" t="s">
        <v>2584</v>
      </c>
      <c r="O31" s="47">
        <v>0.0</v>
      </c>
      <c r="P31" s="48"/>
      <c r="Q31" s="48"/>
      <c r="R31" s="48" t="s">
        <v>2585</v>
      </c>
      <c r="S31" s="47">
        <v>0.0</v>
      </c>
      <c r="T31" s="48"/>
      <c r="U31" s="48"/>
      <c r="V31" s="48" t="s">
        <v>2586</v>
      </c>
      <c r="W31" s="47">
        <v>0.0</v>
      </c>
      <c r="X31" s="48" t="s">
        <v>2587</v>
      </c>
      <c r="Y31" s="47">
        <v>0.0</v>
      </c>
      <c r="Z31" s="48" t="s">
        <v>2588</v>
      </c>
      <c r="AA31" s="47">
        <v>0.0</v>
      </c>
      <c r="AB31" s="48" t="s">
        <v>2589</v>
      </c>
      <c r="AC31" s="47">
        <v>0.0</v>
      </c>
      <c r="AD31" s="48" t="s">
        <v>2590</v>
      </c>
      <c r="AE31" s="47">
        <v>0.0</v>
      </c>
      <c r="AF31" s="48" t="s">
        <v>2591</v>
      </c>
      <c r="AG31" s="47">
        <v>0.0</v>
      </c>
      <c r="AH31" s="48" t="s">
        <v>2592</v>
      </c>
      <c r="AI31" s="47">
        <v>2.0</v>
      </c>
      <c r="AJ31" s="48" t="s">
        <v>2593</v>
      </c>
      <c r="AK31" s="47">
        <v>0.0</v>
      </c>
      <c r="AL31" s="72"/>
      <c r="AM31" s="72"/>
      <c r="AN31" s="48" t="s">
        <v>2594</v>
      </c>
      <c r="AO31" s="47">
        <v>0.0</v>
      </c>
      <c r="AP31" s="48" t="s">
        <v>2595</v>
      </c>
      <c r="AQ31" s="47">
        <v>0.0</v>
      </c>
      <c r="AR31" s="48"/>
      <c r="AS31" s="48"/>
    </row>
    <row r="32">
      <c r="A32" s="9">
        <v>1216.0</v>
      </c>
      <c r="B32" s="9" t="s">
        <v>50</v>
      </c>
      <c r="C32" s="9" t="str">
        <f t="shared" si="1"/>
        <v>LP 31_BC-16A_BS VI HSD</v>
      </c>
      <c r="D32" s="11" t="s">
        <v>2596</v>
      </c>
      <c r="E32" s="77" t="s">
        <v>2071</v>
      </c>
      <c r="F32" s="22" t="s">
        <v>2597</v>
      </c>
      <c r="G32" s="22" t="s">
        <v>53</v>
      </c>
      <c r="H32" s="48" t="s">
        <v>2598</v>
      </c>
      <c r="I32" s="47">
        <v>0.0</v>
      </c>
      <c r="J32" s="48" t="s">
        <v>2599</v>
      </c>
      <c r="K32" s="47">
        <v>0.0</v>
      </c>
      <c r="L32" s="48"/>
      <c r="M32" s="48"/>
      <c r="N32" s="48" t="s">
        <v>2600</v>
      </c>
      <c r="O32" s="47">
        <v>0.0</v>
      </c>
      <c r="P32" s="48"/>
      <c r="Q32" s="48"/>
      <c r="R32" s="48" t="s">
        <v>2601</v>
      </c>
      <c r="S32" s="47">
        <v>0.0</v>
      </c>
      <c r="T32" s="48"/>
      <c r="U32" s="48"/>
      <c r="V32" s="48" t="s">
        <v>2602</v>
      </c>
      <c r="W32" s="47">
        <v>0.0</v>
      </c>
      <c r="X32" s="48" t="s">
        <v>2603</v>
      </c>
      <c r="Y32" s="47">
        <v>0.0</v>
      </c>
      <c r="Z32" s="48" t="s">
        <v>2604</v>
      </c>
      <c r="AA32" s="47">
        <v>0.0</v>
      </c>
      <c r="AB32" s="48" t="s">
        <v>2605</v>
      </c>
      <c r="AC32" s="47">
        <v>0.0</v>
      </c>
      <c r="AD32" s="48" t="s">
        <v>2606</v>
      </c>
      <c r="AE32" s="47">
        <v>0.0</v>
      </c>
      <c r="AF32" s="48" t="s">
        <v>2607</v>
      </c>
      <c r="AG32" s="47">
        <v>0.0</v>
      </c>
      <c r="AH32" s="48" t="s">
        <v>2608</v>
      </c>
      <c r="AI32" s="47">
        <v>2.0</v>
      </c>
      <c r="AJ32" s="48" t="s">
        <v>2609</v>
      </c>
      <c r="AK32" s="47">
        <v>0.0</v>
      </c>
      <c r="AL32" s="72"/>
      <c r="AM32" s="72"/>
      <c r="AN32" s="48" t="s">
        <v>2610</v>
      </c>
      <c r="AO32" s="47">
        <v>0.0</v>
      </c>
      <c r="AP32" s="48" t="s">
        <v>2611</v>
      </c>
      <c r="AQ32" s="47">
        <v>0.0</v>
      </c>
      <c r="AR32" s="48"/>
      <c r="AS32" s="48"/>
    </row>
    <row r="33">
      <c r="A33" s="9">
        <v>1216.0</v>
      </c>
      <c r="B33" s="9" t="s">
        <v>50</v>
      </c>
      <c r="C33" s="9" t="str">
        <f t="shared" si="1"/>
        <v>LP 32_BC-16B_BS VI MS</v>
      </c>
      <c r="D33" s="11" t="s">
        <v>2612</v>
      </c>
      <c r="E33" s="77" t="s">
        <v>2071</v>
      </c>
      <c r="F33" s="22" t="s">
        <v>2613</v>
      </c>
      <c r="G33" s="22" t="s">
        <v>322</v>
      </c>
      <c r="H33" s="48" t="s">
        <v>2614</v>
      </c>
      <c r="I33" s="47">
        <v>0.0</v>
      </c>
      <c r="J33" s="48" t="s">
        <v>2615</v>
      </c>
      <c r="K33" s="47">
        <v>0.0</v>
      </c>
      <c r="L33" s="48" t="s">
        <v>2616</v>
      </c>
      <c r="M33" s="47">
        <v>0.0</v>
      </c>
      <c r="N33" s="48" t="s">
        <v>2617</v>
      </c>
      <c r="O33" s="47">
        <v>0.0</v>
      </c>
      <c r="P33" s="48" t="s">
        <v>2618</v>
      </c>
      <c r="Q33" s="47">
        <v>0.0</v>
      </c>
      <c r="R33" s="48" t="s">
        <v>2619</v>
      </c>
      <c r="S33" s="47">
        <v>0.0</v>
      </c>
      <c r="T33" s="48" t="s">
        <v>2620</v>
      </c>
      <c r="U33" s="47">
        <v>0.0</v>
      </c>
      <c r="V33" s="48" t="s">
        <v>2621</v>
      </c>
      <c r="W33" s="47">
        <v>0.0</v>
      </c>
      <c r="X33" s="48" t="s">
        <v>2622</v>
      </c>
      <c r="Y33" s="47">
        <v>0.0</v>
      </c>
      <c r="Z33" s="48" t="s">
        <v>2623</v>
      </c>
      <c r="AA33" s="47">
        <v>0.0</v>
      </c>
      <c r="AB33" s="48" t="s">
        <v>2624</v>
      </c>
      <c r="AC33" s="47">
        <v>0.0</v>
      </c>
      <c r="AD33" s="48" t="s">
        <v>2625</v>
      </c>
      <c r="AE33" s="47">
        <v>0.0</v>
      </c>
      <c r="AF33" s="48" t="s">
        <v>2626</v>
      </c>
      <c r="AG33" s="47">
        <v>0.0</v>
      </c>
      <c r="AH33" s="48" t="s">
        <v>2627</v>
      </c>
      <c r="AI33" s="47">
        <v>2.0</v>
      </c>
      <c r="AJ33" s="48" t="s">
        <v>2628</v>
      </c>
      <c r="AK33" s="47">
        <v>0.0</v>
      </c>
      <c r="AL33" s="78" t="s">
        <v>2629</v>
      </c>
      <c r="AM33" s="54">
        <v>0.0</v>
      </c>
      <c r="AN33" s="48" t="s">
        <v>2630</v>
      </c>
      <c r="AO33" s="47">
        <v>0.0</v>
      </c>
      <c r="AP33" s="48" t="s">
        <v>2631</v>
      </c>
      <c r="AQ33" s="47">
        <v>0.0</v>
      </c>
      <c r="AR33" s="48" t="s">
        <v>2632</v>
      </c>
      <c r="AS33" s="47">
        <v>0.0</v>
      </c>
    </row>
    <row r="34">
      <c r="A34" s="9">
        <v>1216.0</v>
      </c>
      <c r="B34" s="9" t="s">
        <v>50</v>
      </c>
      <c r="C34" s="9" t="str">
        <f t="shared" si="1"/>
        <v>LP 33_BC-17A_ATF</v>
      </c>
      <c r="D34" s="11" t="s">
        <v>2633</v>
      </c>
      <c r="E34" s="77" t="s">
        <v>2071</v>
      </c>
      <c r="F34" s="22" t="s">
        <v>2634</v>
      </c>
      <c r="G34" s="22" t="s">
        <v>562</v>
      </c>
      <c r="H34" s="48" t="s">
        <v>2635</v>
      </c>
      <c r="I34" s="47">
        <v>0.0</v>
      </c>
      <c r="J34" s="48" t="s">
        <v>2636</v>
      </c>
      <c r="K34" s="47">
        <v>0.0</v>
      </c>
      <c r="L34" s="48"/>
      <c r="M34" s="48"/>
      <c r="N34" s="48" t="s">
        <v>2637</v>
      </c>
      <c r="O34" s="47">
        <v>0.0</v>
      </c>
      <c r="P34" s="48"/>
      <c r="Q34" s="48"/>
      <c r="R34" s="48" t="s">
        <v>2638</v>
      </c>
      <c r="S34" s="47">
        <v>0.0</v>
      </c>
      <c r="T34" s="48"/>
      <c r="U34" s="48"/>
      <c r="V34" s="48" t="s">
        <v>2639</v>
      </c>
      <c r="W34" s="47">
        <v>0.0</v>
      </c>
      <c r="X34" s="48" t="s">
        <v>2640</v>
      </c>
      <c r="Y34" s="47">
        <v>0.0</v>
      </c>
      <c r="Z34" s="48" t="s">
        <v>2641</v>
      </c>
      <c r="AA34" s="47">
        <v>0.0</v>
      </c>
      <c r="AB34" s="48" t="s">
        <v>2642</v>
      </c>
      <c r="AC34" s="47">
        <v>0.0</v>
      </c>
      <c r="AD34" s="48" t="s">
        <v>2643</v>
      </c>
      <c r="AE34" s="47">
        <v>0.0</v>
      </c>
      <c r="AF34" s="48" t="s">
        <v>2644</v>
      </c>
      <c r="AG34" s="47">
        <v>0.0</v>
      </c>
      <c r="AH34" s="48" t="s">
        <v>2645</v>
      </c>
      <c r="AI34" s="47">
        <v>2.0</v>
      </c>
      <c r="AJ34" s="48" t="s">
        <v>2646</v>
      </c>
      <c r="AK34" s="47">
        <v>0.0</v>
      </c>
      <c r="AL34" s="72"/>
      <c r="AM34" s="72"/>
      <c r="AN34" s="48" t="s">
        <v>2647</v>
      </c>
      <c r="AO34" s="47">
        <v>0.0</v>
      </c>
      <c r="AP34" s="48" t="s">
        <v>2648</v>
      </c>
      <c r="AQ34" s="47">
        <v>0.0</v>
      </c>
      <c r="AR34" s="48"/>
      <c r="AS34" s="48"/>
    </row>
    <row r="35">
      <c r="A35" s="9">
        <v>1216.0</v>
      </c>
      <c r="B35" s="9" t="s">
        <v>50</v>
      </c>
      <c r="C35" s="9" t="str">
        <f t="shared" si="1"/>
        <v>LP 34_BC-17B_ATF</v>
      </c>
      <c r="D35" s="11" t="s">
        <v>2649</v>
      </c>
      <c r="E35" s="77" t="s">
        <v>2071</v>
      </c>
      <c r="F35" s="22" t="s">
        <v>2650</v>
      </c>
      <c r="G35" s="22" t="s">
        <v>562</v>
      </c>
      <c r="H35" s="48" t="s">
        <v>2651</v>
      </c>
      <c r="I35" s="47">
        <v>0.0</v>
      </c>
      <c r="J35" s="48" t="s">
        <v>2652</v>
      </c>
      <c r="K35" s="47">
        <v>0.0</v>
      </c>
      <c r="L35" s="48"/>
      <c r="M35" s="48"/>
      <c r="N35" s="48" t="s">
        <v>2653</v>
      </c>
      <c r="O35" s="47">
        <v>0.0</v>
      </c>
      <c r="P35" s="48"/>
      <c r="Q35" s="48"/>
      <c r="R35" s="48" t="s">
        <v>2654</v>
      </c>
      <c r="S35" s="47">
        <v>0.0</v>
      </c>
      <c r="T35" s="48"/>
      <c r="U35" s="48"/>
      <c r="V35" s="48" t="s">
        <v>2655</v>
      </c>
      <c r="W35" s="47">
        <v>0.0</v>
      </c>
      <c r="X35" s="48" t="s">
        <v>2656</v>
      </c>
      <c r="Y35" s="47">
        <v>0.0</v>
      </c>
      <c r="Z35" s="48" t="s">
        <v>2657</v>
      </c>
      <c r="AA35" s="47">
        <v>0.0</v>
      </c>
      <c r="AB35" s="48" t="s">
        <v>2658</v>
      </c>
      <c r="AC35" s="47">
        <v>0.0</v>
      </c>
      <c r="AD35" s="48" t="s">
        <v>2659</v>
      </c>
      <c r="AE35" s="47">
        <v>0.0</v>
      </c>
      <c r="AF35" s="48" t="s">
        <v>2660</v>
      </c>
      <c r="AG35" s="47">
        <v>0.0</v>
      </c>
      <c r="AH35" s="48" t="s">
        <v>2661</v>
      </c>
      <c r="AI35" s="47">
        <v>2.0</v>
      </c>
      <c r="AJ35" s="48" t="s">
        <v>2662</v>
      </c>
      <c r="AK35" s="47">
        <v>0.0</v>
      </c>
      <c r="AL35" s="72"/>
      <c r="AM35" s="72"/>
      <c r="AN35" s="48" t="s">
        <v>2663</v>
      </c>
      <c r="AO35" s="47">
        <v>0.0</v>
      </c>
      <c r="AP35" s="48" t="s">
        <v>2664</v>
      </c>
      <c r="AQ35" s="47">
        <v>0.0</v>
      </c>
      <c r="AR35" s="48"/>
      <c r="AS35" s="48"/>
    </row>
    <row r="36">
      <c r="A36" s="9">
        <v>1216.0</v>
      </c>
      <c r="B36" s="9" t="s">
        <v>50</v>
      </c>
      <c r="C36" s="9" t="str">
        <f t="shared" si="1"/>
        <v>LP 35_BC-18A_ATF</v>
      </c>
      <c r="D36" s="11" t="s">
        <v>2665</v>
      </c>
      <c r="E36" s="77" t="s">
        <v>2071</v>
      </c>
      <c r="F36" s="22" t="s">
        <v>2666</v>
      </c>
      <c r="G36" s="22" t="s">
        <v>562</v>
      </c>
      <c r="H36" s="48" t="s">
        <v>2667</v>
      </c>
      <c r="I36" s="47">
        <v>0.0</v>
      </c>
      <c r="J36" s="48" t="s">
        <v>2668</v>
      </c>
      <c r="K36" s="47">
        <v>0.0</v>
      </c>
      <c r="L36" s="48"/>
      <c r="M36" s="48"/>
      <c r="N36" s="48" t="s">
        <v>2669</v>
      </c>
      <c r="O36" s="47">
        <v>0.0</v>
      </c>
      <c r="P36" s="48"/>
      <c r="Q36" s="48"/>
      <c r="R36" s="48" t="s">
        <v>2670</v>
      </c>
      <c r="S36" s="47">
        <v>0.0</v>
      </c>
      <c r="T36" s="48"/>
      <c r="U36" s="48"/>
      <c r="V36" s="48" t="s">
        <v>2671</v>
      </c>
      <c r="W36" s="47">
        <v>0.0</v>
      </c>
      <c r="X36" s="48" t="s">
        <v>2672</v>
      </c>
      <c r="Y36" s="47">
        <v>0.0</v>
      </c>
      <c r="Z36" s="48" t="s">
        <v>2673</v>
      </c>
      <c r="AA36" s="47">
        <v>0.0</v>
      </c>
      <c r="AB36" s="48" t="s">
        <v>2674</v>
      </c>
      <c r="AC36" s="47">
        <v>0.0</v>
      </c>
      <c r="AD36" s="48" t="s">
        <v>2675</v>
      </c>
      <c r="AE36" s="47">
        <v>0.0</v>
      </c>
      <c r="AF36" s="48" t="s">
        <v>2676</v>
      </c>
      <c r="AG36" s="47">
        <v>0.0</v>
      </c>
      <c r="AH36" s="48" t="s">
        <v>2677</v>
      </c>
      <c r="AI36" s="47">
        <v>2.0</v>
      </c>
      <c r="AJ36" s="48" t="s">
        <v>2678</v>
      </c>
      <c r="AK36" s="47">
        <v>0.0</v>
      </c>
      <c r="AL36" s="72"/>
      <c r="AM36" s="72"/>
      <c r="AN36" s="48" t="s">
        <v>2679</v>
      </c>
      <c r="AO36" s="47">
        <v>0.0</v>
      </c>
      <c r="AP36" s="48" t="s">
        <v>2680</v>
      </c>
      <c r="AQ36" s="47">
        <v>0.0</v>
      </c>
      <c r="AR36" s="48"/>
      <c r="AS36" s="48"/>
    </row>
    <row r="37">
      <c r="A37" s="9">
        <v>1216.0</v>
      </c>
      <c r="B37" s="9" t="s">
        <v>50</v>
      </c>
      <c r="C37" s="9" t="str">
        <f t="shared" si="1"/>
        <v>LP 36_BC-18B_ATF</v>
      </c>
      <c r="D37" s="11" t="s">
        <v>2681</v>
      </c>
      <c r="E37" s="77" t="s">
        <v>2071</v>
      </c>
      <c r="F37" s="22" t="s">
        <v>2682</v>
      </c>
      <c r="G37" s="22" t="s">
        <v>562</v>
      </c>
      <c r="H37" s="48" t="s">
        <v>2683</v>
      </c>
      <c r="I37" s="47">
        <v>0.0</v>
      </c>
      <c r="J37" s="48" t="s">
        <v>2684</v>
      </c>
      <c r="K37" s="47">
        <v>0.0</v>
      </c>
      <c r="L37" s="48"/>
      <c r="M37" s="48"/>
      <c r="N37" s="48" t="s">
        <v>2685</v>
      </c>
      <c r="O37" s="47">
        <v>0.0</v>
      </c>
      <c r="P37" s="48"/>
      <c r="Q37" s="48"/>
      <c r="R37" s="48" t="s">
        <v>2686</v>
      </c>
      <c r="S37" s="47">
        <v>0.0</v>
      </c>
      <c r="T37" s="48"/>
      <c r="U37" s="48"/>
      <c r="V37" s="48" t="s">
        <v>2687</v>
      </c>
      <c r="W37" s="47">
        <v>0.0</v>
      </c>
      <c r="X37" s="48" t="s">
        <v>2688</v>
      </c>
      <c r="Y37" s="47">
        <v>0.0</v>
      </c>
      <c r="Z37" s="48" t="s">
        <v>2689</v>
      </c>
      <c r="AA37" s="47">
        <v>0.0</v>
      </c>
      <c r="AB37" s="48" t="s">
        <v>2690</v>
      </c>
      <c r="AC37" s="47">
        <v>0.0</v>
      </c>
      <c r="AD37" s="48" t="s">
        <v>2691</v>
      </c>
      <c r="AE37" s="47">
        <v>0.0</v>
      </c>
      <c r="AF37" s="48" t="s">
        <v>2692</v>
      </c>
      <c r="AG37" s="47">
        <v>0.0</v>
      </c>
      <c r="AH37" s="48" t="s">
        <v>2693</v>
      </c>
      <c r="AI37" s="47">
        <v>2.0</v>
      </c>
      <c r="AJ37" s="48" t="s">
        <v>2694</v>
      </c>
      <c r="AK37" s="47">
        <v>0.0</v>
      </c>
      <c r="AL37" s="72"/>
      <c r="AM37" s="72"/>
      <c r="AN37" s="48" t="s">
        <v>2695</v>
      </c>
      <c r="AO37" s="47">
        <v>0.0</v>
      </c>
      <c r="AP37" s="48" t="s">
        <v>2696</v>
      </c>
      <c r="AQ37" s="47">
        <v>0.0</v>
      </c>
      <c r="AR37" s="48"/>
      <c r="AS37" s="48"/>
    </row>
    <row r="38">
      <c r="A38" s="9">
        <v>1216.0</v>
      </c>
      <c r="B38" s="9" t="s">
        <v>50</v>
      </c>
      <c r="C38" s="9" t="str">
        <f t="shared" si="1"/>
        <v>LP 37_BC-19A_ATF</v>
      </c>
      <c r="D38" s="11" t="s">
        <v>2697</v>
      </c>
      <c r="E38" s="77" t="s">
        <v>2071</v>
      </c>
      <c r="F38" s="22" t="s">
        <v>2698</v>
      </c>
      <c r="G38" s="22" t="s">
        <v>562</v>
      </c>
      <c r="H38" s="48" t="s">
        <v>2699</v>
      </c>
      <c r="I38" s="47">
        <v>0.0</v>
      </c>
      <c r="J38" s="48" t="s">
        <v>2700</v>
      </c>
      <c r="K38" s="47">
        <v>0.0</v>
      </c>
      <c r="L38" s="48"/>
      <c r="M38" s="48"/>
      <c r="N38" s="48" t="s">
        <v>2701</v>
      </c>
      <c r="O38" s="47">
        <v>0.0</v>
      </c>
      <c r="P38" s="48"/>
      <c r="Q38" s="48"/>
      <c r="R38" s="48" t="s">
        <v>2702</v>
      </c>
      <c r="S38" s="47">
        <v>0.0</v>
      </c>
      <c r="T38" s="48"/>
      <c r="U38" s="48"/>
      <c r="V38" s="48" t="s">
        <v>2703</v>
      </c>
      <c r="W38" s="47">
        <v>0.0</v>
      </c>
      <c r="X38" s="48" t="s">
        <v>2704</v>
      </c>
      <c r="Y38" s="47">
        <v>0.0</v>
      </c>
      <c r="Z38" s="48" t="s">
        <v>2705</v>
      </c>
      <c r="AA38" s="47">
        <v>0.0</v>
      </c>
      <c r="AB38" s="48" t="s">
        <v>2706</v>
      </c>
      <c r="AC38" s="47">
        <v>0.0</v>
      </c>
      <c r="AD38" s="48" t="s">
        <v>2707</v>
      </c>
      <c r="AE38" s="47">
        <v>0.0</v>
      </c>
      <c r="AF38" s="48" t="s">
        <v>2708</v>
      </c>
      <c r="AG38" s="47">
        <v>0.0</v>
      </c>
      <c r="AH38" s="48" t="s">
        <v>2709</v>
      </c>
      <c r="AI38" s="47">
        <v>2.0</v>
      </c>
      <c r="AJ38" s="48" t="s">
        <v>2710</v>
      </c>
      <c r="AK38" s="47">
        <v>0.0</v>
      </c>
      <c r="AL38" s="72"/>
      <c r="AM38" s="72"/>
      <c r="AN38" s="48" t="s">
        <v>2711</v>
      </c>
      <c r="AO38" s="47">
        <v>0.0</v>
      </c>
      <c r="AP38" s="48" t="s">
        <v>2712</v>
      </c>
      <c r="AQ38" s="47">
        <v>0.0</v>
      </c>
      <c r="AR38" s="48"/>
      <c r="AS38" s="48"/>
    </row>
    <row r="39">
      <c r="A39" s="9">
        <v>1216.0</v>
      </c>
      <c r="B39" s="9" t="s">
        <v>50</v>
      </c>
      <c r="C39" s="9" t="str">
        <f t="shared" si="1"/>
        <v>LP 38_BC-19B_ATF</v>
      </c>
      <c r="D39" s="11" t="s">
        <v>2713</v>
      </c>
      <c r="E39" s="77" t="s">
        <v>2071</v>
      </c>
      <c r="F39" s="22" t="s">
        <v>2714</v>
      </c>
      <c r="G39" s="22" t="s">
        <v>562</v>
      </c>
      <c r="H39" s="48" t="s">
        <v>2715</v>
      </c>
      <c r="I39" s="47">
        <v>0.0</v>
      </c>
      <c r="J39" s="48" t="s">
        <v>2716</v>
      </c>
      <c r="K39" s="47">
        <v>0.0</v>
      </c>
      <c r="L39" s="48"/>
      <c r="M39" s="48"/>
      <c r="N39" s="48" t="s">
        <v>2717</v>
      </c>
      <c r="O39" s="47">
        <v>0.0</v>
      </c>
      <c r="P39" s="48"/>
      <c r="Q39" s="48"/>
      <c r="R39" s="48" t="s">
        <v>2718</v>
      </c>
      <c r="S39" s="47">
        <v>0.0</v>
      </c>
      <c r="T39" s="48"/>
      <c r="U39" s="48"/>
      <c r="V39" s="48" t="s">
        <v>2719</v>
      </c>
      <c r="W39" s="47">
        <v>0.0</v>
      </c>
      <c r="X39" s="48" t="s">
        <v>2720</v>
      </c>
      <c r="Y39" s="47">
        <v>0.0</v>
      </c>
      <c r="Z39" s="48" t="s">
        <v>2721</v>
      </c>
      <c r="AA39" s="47">
        <v>0.0</v>
      </c>
      <c r="AB39" s="48" t="s">
        <v>2722</v>
      </c>
      <c r="AC39" s="47">
        <v>0.0</v>
      </c>
      <c r="AD39" s="48" t="s">
        <v>2723</v>
      </c>
      <c r="AE39" s="47">
        <v>0.0</v>
      </c>
      <c r="AF39" s="48" t="s">
        <v>2724</v>
      </c>
      <c r="AG39" s="47">
        <v>0.0</v>
      </c>
      <c r="AH39" s="48" t="s">
        <v>2725</v>
      </c>
      <c r="AI39" s="47">
        <v>2.0</v>
      </c>
      <c r="AJ39" s="48" t="s">
        <v>2726</v>
      </c>
      <c r="AK39" s="47">
        <v>0.0</v>
      </c>
      <c r="AL39" s="72"/>
      <c r="AM39" s="72"/>
      <c r="AN39" s="48" t="s">
        <v>2727</v>
      </c>
      <c r="AO39" s="47">
        <v>0.0</v>
      </c>
      <c r="AP39" s="48" t="s">
        <v>2728</v>
      </c>
      <c r="AQ39" s="47">
        <v>0.0</v>
      </c>
      <c r="AR39" s="48"/>
      <c r="AS39" s="48"/>
    </row>
    <row r="40">
      <c r="A40" s="9">
        <v>1216.0</v>
      </c>
      <c r="B40" s="9" t="s">
        <v>50</v>
      </c>
      <c r="C40" s="9" t="str">
        <f t="shared" si="1"/>
        <v>LP 39_BC-20A_ATF</v>
      </c>
      <c r="D40" s="11" t="s">
        <v>2729</v>
      </c>
      <c r="E40" s="77" t="s">
        <v>2071</v>
      </c>
      <c r="F40" s="22" t="s">
        <v>2730</v>
      </c>
      <c r="G40" s="22" t="s">
        <v>562</v>
      </c>
      <c r="H40" s="48" t="s">
        <v>2731</v>
      </c>
      <c r="I40" s="47">
        <v>0.0</v>
      </c>
      <c r="J40" s="48" t="s">
        <v>2732</v>
      </c>
      <c r="K40" s="47">
        <v>0.0</v>
      </c>
      <c r="L40" s="48"/>
      <c r="M40" s="48"/>
      <c r="N40" s="48" t="s">
        <v>2733</v>
      </c>
      <c r="O40" s="47">
        <v>0.0</v>
      </c>
      <c r="P40" s="48"/>
      <c r="Q40" s="48"/>
      <c r="R40" s="48" t="s">
        <v>2734</v>
      </c>
      <c r="S40" s="47">
        <v>0.0</v>
      </c>
      <c r="T40" s="48"/>
      <c r="U40" s="48"/>
      <c r="V40" s="48" t="s">
        <v>2735</v>
      </c>
      <c r="W40" s="47">
        <v>0.0</v>
      </c>
      <c r="X40" s="48" t="s">
        <v>2736</v>
      </c>
      <c r="Y40" s="47">
        <v>0.0</v>
      </c>
      <c r="Z40" s="48" t="s">
        <v>2737</v>
      </c>
      <c r="AA40" s="47">
        <v>0.0</v>
      </c>
      <c r="AB40" s="48" t="s">
        <v>2738</v>
      </c>
      <c r="AC40" s="47">
        <v>0.0</v>
      </c>
      <c r="AD40" s="48" t="s">
        <v>2739</v>
      </c>
      <c r="AE40" s="47">
        <v>0.0</v>
      </c>
      <c r="AF40" s="48" t="s">
        <v>2740</v>
      </c>
      <c r="AG40" s="47">
        <v>0.0</v>
      </c>
      <c r="AH40" s="48" t="s">
        <v>2741</v>
      </c>
      <c r="AI40" s="47">
        <v>2.0</v>
      </c>
      <c r="AJ40" s="48" t="s">
        <v>2742</v>
      </c>
      <c r="AK40" s="47">
        <v>0.0</v>
      </c>
      <c r="AL40" s="72"/>
      <c r="AM40" s="72"/>
      <c r="AN40" s="48" t="s">
        <v>2743</v>
      </c>
      <c r="AO40" s="47">
        <v>0.0</v>
      </c>
      <c r="AP40" s="48" t="s">
        <v>2744</v>
      </c>
      <c r="AQ40" s="47">
        <v>0.0</v>
      </c>
      <c r="AR40" s="48"/>
      <c r="AS40" s="48"/>
    </row>
    <row r="41">
      <c r="A41" s="9">
        <v>1216.0</v>
      </c>
      <c r="B41" s="9" t="s">
        <v>50</v>
      </c>
      <c r="C41" s="9" t="str">
        <f t="shared" si="1"/>
        <v>LP 40_BC-20B_ATF</v>
      </c>
      <c r="D41" s="11" t="s">
        <v>2745</v>
      </c>
      <c r="E41" s="77" t="s">
        <v>2071</v>
      </c>
      <c r="F41" s="22" t="s">
        <v>2746</v>
      </c>
      <c r="G41" s="22" t="s">
        <v>562</v>
      </c>
      <c r="H41" s="48" t="s">
        <v>2747</v>
      </c>
      <c r="I41" s="47">
        <v>0.0</v>
      </c>
      <c r="J41" s="48" t="s">
        <v>2748</v>
      </c>
      <c r="K41" s="47">
        <v>0.0</v>
      </c>
      <c r="L41" s="48"/>
      <c r="M41" s="48"/>
      <c r="N41" s="48" t="s">
        <v>2749</v>
      </c>
      <c r="O41" s="47">
        <v>0.0</v>
      </c>
      <c r="P41" s="48"/>
      <c r="Q41" s="48"/>
      <c r="R41" s="48" t="s">
        <v>2750</v>
      </c>
      <c r="S41" s="47">
        <v>0.0</v>
      </c>
      <c r="T41" s="48"/>
      <c r="U41" s="48"/>
      <c r="V41" s="48" t="s">
        <v>2751</v>
      </c>
      <c r="W41" s="47">
        <v>0.0</v>
      </c>
      <c r="X41" s="48" t="s">
        <v>2752</v>
      </c>
      <c r="Y41" s="47">
        <v>0.0</v>
      </c>
      <c r="Z41" s="48" t="s">
        <v>2753</v>
      </c>
      <c r="AA41" s="47">
        <v>0.0</v>
      </c>
      <c r="AB41" s="48" t="s">
        <v>2754</v>
      </c>
      <c r="AC41" s="47">
        <v>0.0</v>
      </c>
      <c r="AD41" s="48" t="s">
        <v>2755</v>
      </c>
      <c r="AE41" s="47">
        <v>0.0</v>
      </c>
      <c r="AF41" s="48" t="s">
        <v>2756</v>
      </c>
      <c r="AG41" s="47">
        <v>0.0</v>
      </c>
      <c r="AH41" s="48" t="s">
        <v>2757</v>
      </c>
      <c r="AI41" s="47">
        <v>2.0</v>
      </c>
      <c r="AJ41" s="48" t="s">
        <v>2758</v>
      </c>
      <c r="AK41" s="47">
        <v>0.0</v>
      </c>
      <c r="AL41" s="72"/>
      <c r="AM41" s="72"/>
      <c r="AN41" s="48" t="s">
        <v>2759</v>
      </c>
      <c r="AO41" s="47">
        <v>0.0</v>
      </c>
      <c r="AP41" s="48" t="s">
        <v>2760</v>
      </c>
      <c r="AQ41" s="47">
        <v>0.0</v>
      </c>
      <c r="AR41" s="48"/>
      <c r="AS41" s="48"/>
    </row>
    <row r="42">
      <c r="A42" s="9">
        <v>1216.0</v>
      </c>
      <c r="B42" s="9" t="s">
        <v>50</v>
      </c>
      <c r="C42" s="9" t="str">
        <f t="shared" si="1"/>
        <v>LP 41_BC-21A_ATF</v>
      </c>
      <c r="D42" s="11" t="s">
        <v>2761</v>
      </c>
      <c r="E42" s="77" t="s">
        <v>2071</v>
      </c>
      <c r="F42" s="22" t="s">
        <v>2762</v>
      </c>
      <c r="G42" s="22" t="s">
        <v>562</v>
      </c>
      <c r="H42" s="48" t="s">
        <v>2763</v>
      </c>
      <c r="I42" s="47">
        <v>0.0</v>
      </c>
      <c r="J42" s="48" t="s">
        <v>2764</v>
      </c>
      <c r="K42" s="47">
        <v>0.0</v>
      </c>
      <c r="L42" s="48"/>
      <c r="M42" s="48"/>
      <c r="N42" s="48" t="s">
        <v>2765</v>
      </c>
      <c r="O42" s="47">
        <v>0.0</v>
      </c>
      <c r="P42" s="48"/>
      <c r="Q42" s="48"/>
      <c r="R42" s="48" t="s">
        <v>2766</v>
      </c>
      <c r="S42" s="47">
        <v>0.0</v>
      </c>
      <c r="T42" s="48"/>
      <c r="U42" s="48"/>
      <c r="V42" s="48" t="s">
        <v>2767</v>
      </c>
      <c r="W42" s="47">
        <v>0.0</v>
      </c>
      <c r="X42" s="48" t="s">
        <v>2768</v>
      </c>
      <c r="Y42" s="47">
        <v>0.0</v>
      </c>
      <c r="Z42" s="48" t="s">
        <v>2769</v>
      </c>
      <c r="AA42" s="47">
        <v>0.0</v>
      </c>
      <c r="AB42" s="48" t="s">
        <v>2770</v>
      </c>
      <c r="AC42" s="47">
        <v>0.0</v>
      </c>
      <c r="AD42" s="48" t="s">
        <v>2771</v>
      </c>
      <c r="AE42" s="47">
        <v>0.0</v>
      </c>
      <c r="AF42" s="48" t="s">
        <v>2772</v>
      </c>
      <c r="AG42" s="47">
        <v>0.0</v>
      </c>
      <c r="AH42" s="48" t="s">
        <v>2773</v>
      </c>
      <c r="AI42" s="47">
        <v>2.0</v>
      </c>
      <c r="AJ42" s="48" t="s">
        <v>2774</v>
      </c>
      <c r="AK42" s="47">
        <v>0.0</v>
      </c>
      <c r="AL42" s="72"/>
      <c r="AM42" s="72"/>
      <c r="AN42" s="48" t="s">
        <v>2775</v>
      </c>
      <c r="AO42" s="47">
        <v>0.0</v>
      </c>
      <c r="AP42" s="48" t="s">
        <v>2776</v>
      </c>
      <c r="AQ42" s="47">
        <v>0.0</v>
      </c>
      <c r="AR42" s="48"/>
      <c r="AS42" s="48"/>
    </row>
    <row r="43">
      <c r="A43" s="9">
        <v>1216.0</v>
      </c>
      <c r="B43" s="9" t="s">
        <v>50</v>
      </c>
      <c r="C43" s="9" t="str">
        <f t="shared" si="1"/>
        <v>LP 42_BC-21B_ATF</v>
      </c>
      <c r="D43" s="11" t="s">
        <v>2777</v>
      </c>
      <c r="E43" s="77" t="s">
        <v>2071</v>
      </c>
      <c r="F43" s="22" t="s">
        <v>2778</v>
      </c>
      <c r="G43" s="22" t="s">
        <v>562</v>
      </c>
      <c r="H43" s="48" t="s">
        <v>2779</v>
      </c>
      <c r="I43" s="47">
        <v>0.0</v>
      </c>
      <c r="J43" s="48" t="s">
        <v>2780</v>
      </c>
      <c r="K43" s="47">
        <v>0.0</v>
      </c>
      <c r="L43" s="48"/>
      <c r="M43" s="48"/>
      <c r="N43" s="48" t="s">
        <v>2781</v>
      </c>
      <c r="O43" s="47">
        <v>0.0</v>
      </c>
      <c r="P43" s="48"/>
      <c r="Q43" s="48"/>
      <c r="R43" s="48" t="s">
        <v>2782</v>
      </c>
      <c r="S43" s="47">
        <v>0.0</v>
      </c>
      <c r="T43" s="48"/>
      <c r="U43" s="48"/>
      <c r="V43" s="48" t="s">
        <v>2783</v>
      </c>
      <c r="W43" s="47">
        <v>0.0</v>
      </c>
      <c r="X43" s="48" t="s">
        <v>2784</v>
      </c>
      <c r="Y43" s="47">
        <v>0.0</v>
      </c>
      <c r="Z43" s="48" t="s">
        <v>2785</v>
      </c>
      <c r="AA43" s="47">
        <v>0.0</v>
      </c>
      <c r="AB43" s="48" t="s">
        <v>2786</v>
      </c>
      <c r="AC43" s="47">
        <v>0.0</v>
      </c>
      <c r="AD43" s="48" t="s">
        <v>2787</v>
      </c>
      <c r="AE43" s="47">
        <v>0.0</v>
      </c>
      <c r="AF43" s="48" t="s">
        <v>2788</v>
      </c>
      <c r="AG43" s="47">
        <v>0.0</v>
      </c>
      <c r="AH43" s="48" t="s">
        <v>2789</v>
      </c>
      <c r="AI43" s="47">
        <v>2.0</v>
      </c>
      <c r="AJ43" s="48" t="s">
        <v>2790</v>
      </c>
      <c r="AK43" s="47">
        <v>0.0</v>
      </c>
      <c r="AL43" s="72"/>
      <c r="AM43" s="72"/>
      <c r="AN43" s="48" t="s">
        <v>2791</v>
      </c>
      <c r="AO43" s="47">
        <v>0.0</v>
      </c>
      <c r="AP43" s="48" t="s">
        <v>2792</v>
      </c>
      <c r="AQ43" s="47">
        <v>0.0</v>
      </c>
      <c r="AR43" s="48"/>
      <c r="AS43" s="48"/>
    </row>
    <row r="44">
      <c r="A44" s="9">
        <v>1216.0</v>
      </c>
      <c r="B44" s="9" t="s">
        <v>50</v>
      </c>
      <c r="C44" s="9" t="str">
        <f t="shared" si="1"/>
        <v>LP 43_BC-22A_ATF</v>
      </c>
      <c r="D44" s="11" t="s">
        <v>2793</v>
      </c>
      <c r="E44" s="77" t="s">
        <v>2071</v>
      </c>
      <c r="F44" s="22" t="s">
        <v>2794</v>
      </c>
      <c r="G44" s="22" t="s">
        <v>562</v>
      </c>
      <c r="H44" s="48" t="s">
        <v>2795</v>
      </c>
      <c r="I44" s="47">
        <v>0.0</v>
      </c>
      <c r="J44" s="48" t="s">
        <v>2796</v>
      </c>
      <c r="K44" s="47">
        <v>0.0</v>
      </c>
      <c r="L44" s="48"/>
      <c r="M44" s="48"/>
      <c r="N44" s="48" t="s">
        <v>2797</v>
      </c>
      <c r="O44" s="47">
        <v>0.0</v>
      </c>
      <c r="P44" s="48"/>
      <c r="Q44" s="48"/>
      <c r="R44" s="48" t="s">
        <v>2798</v>
      </c>
      <c r="S44" s="47">
        <v>0.0</v>
      </c>
      <c r="T44" s="48"/>
      <c r="U44" s="48"/>
      <c r="V44" s="48" t="s">
        <v>2799</v>
      </c>
      <c r="W44" s="47">
        <v>0.0</v>
      </c>
      <c r="X44" s="48" t="s">
        <v>2800</v>
      </c>
      <c r="Y44" s="47">
        <v>0.0</v>
      </c>
      <c r="Z44" s="48" t="s">
        <v>2801</v>
      </c>
      <c r="AA44" s="47">
        <v>0.0</v>
      </c>
      <c r="AB44" s="48" t="s">
        <v>2802</v>
      </c>
      <c r="AC44" s="47">
        <v>0.0</v>
      </c>
      <c r="AD44" s="48" t="s">
        <v>2803</v>
      </c>
      <c r="AE44" s="47">
        <v>0.0</v>
      </c>
      <c r="AF44" s="48" t="s">
        <v>2804</v>
      </c>
      <c r="AG44" s="47">
        <v>0.0</v>
      </c>
      <c r="AH44" s="48" t="s">
        <v>2805</v>
      </c>
      <c r="AI44" s="47">
        <v>2.0</v>
      </c>
      <c r="AJ44" s="48" t="s">
        <v>2806</v>
      </c>
      <c r="AK44" s="47">
        <v>0.0</v>
      </c>
      <c r="AL44" s="72"/>
      <c r="AM44" s="72"/>
      <c r="AN44" s="48" t="s">
        <v>2807</v>
      </c>
      <c r="AO44" s="47">
        <v>0.0</v>
      </c>
      <c r="AP44" s="48" t="s">
        <v>2808</v>
      </c>
      <c r="AQ44" s="47">
        <v>0.0</v>
      </c>
      <c r="AR44" s="48"/>
      <c r="AS44" s="48"/>
    </row>
    <row r="45">
      <c r="A45" s="9">
        <v>1216.0</v>
      </c>
      <c r="B45" s="9" t="s">
        <v>50</v>
      </c>
      <c r="C45" s="9" t="str">
        <f t="shared" si="1"/>
        <v>LP 44_BC-22B_ATF</v>
      </c>
      <c r="D45" s="11" t="s">
        <v>2809</v>
      </c>
      <c r="E45" s="77" t="s">
        <v>2071</v>
      </c>
      <c r="F45" s="22" t="s">
        <v>2810</v>
      </c>
      <c r="G45" s="22" t="s">
        <v>562</v>
      </c>
      <c r="H45" s="48" t="s">
        <v>2811</v>
      </c>
      <c r="I45" s="47">
        <v>0.0</v>
      </c>
      <c r="J45" s="48" t="s">
        <v>2812</v>
      </c>
      <c r="K45" s="47">
        <v>0.0</v>
      </c>
      <c r="L45" s="48"/>
      <c r="M45" s="48"/>
      <c r="N45" s="48" t="s">
        <v>2813</v>
      </c>
      <c r="O45" s="47">
        <v>0.0</v>
      </c>
      <c r="P45" s="48"/>
      <c r="Q45" s="48"/>
      <c r="R45" s="48" t="s">
        <v>2814</v>
      </c>
      <c r="S45" s="47">
        <v>0.0</v>
      </c>
      <c r="T45" s="48"/>
      <c r="U45" s="48"/>
      <c r="V45" s="48" t="s">
        <v>2815</v>
      </c>
      <c r="W45" s="47">
        <v>0.0</v>
      </c>
      <c r="X45" s="48" t="s">
        <v>2816</v>
      </c>
      <c r="Y45" s="47">
        <v>0.0</v>
      </c>
      <c r="Z45" s="48" t="s">
        <v>2817</v>
      </c>
      <c r="AA45" s="47">
        <v>0.0</v>
      </c>
      <c r="AB45" s="48" t="s">
        <v>2818</v>
      </c>
      <c r="AC45" s="47">
        <v>0.0</v>
      </c>
      <c r="AD45" s="48" t="s">
        <v>2819</v>
      </c>
      <c r="AE45" s="47">
        <v>0.0</v>
      </c>
      <c r="AF45" s="48" t="s">
        <v>2820</v>
      </c>
      <c r="AG45" s="47">
        <v>0.0</v>
      </c>
      <c r="AH45" s="48" t="s">
        <v>2821</v>
      </c>
      <c r="AI45" s="47">
        <v>2.0</v>
      </c>
      <c r="AJ45" s="48" t="s">
        <v>2822</v>
      </c>
      <c r="AK45" s="47">
        <v>0.0</v>
      </c>
      <c r="AL45" s="72"/>
      <c r="AM45" s="72"/>
      <c r="AN45" s="48" t="s">
        <v>2823</v>
      </c>
      <c r="AO45" s="47">
        <v>0.0</v>
      </c>
      <c r="AP45" s="48" t="s">
        <v>2824</v>
      </c>
      <c r="AQ45" s="47">
        <v>0.0</v>
      </c>
      <c r="AR45" s="48"/>
      <c r="AS45" s="48"/>
    </row>
    <row r="46">
      <c r="E46" s="32"/>
      <c r="F46" s="32"/>
      <c r="G46" s="32"/>
      <c r="L46" s="35"/>
      <c r="M46" s="35"/>
      <c r="AL46" s="32"/>
    </row>
    <row r="47">
      <c r="E47" s="32"/>
      <c r="F47" s="32"/>
      <c r="G47" s="32"/>
      <c r="L47" s="35"/>
      <c r="M47" s="35"/>
      <c r="AL47" s="32"/>
    </row>
    <row r="48">
      <c r="E48" s="32"/>
      <c r="F48" s="32"/>
      <c r="G48" s="32"/>
      <c r="L48" s="35"/>
      <c r="M48" s="35"/>
      <c r="AL48" s="32"/>
    </row>
    <row r="49">
      <c r="E49" s="32"/>
      <c r="F49" s="32"/>
      <c r="G49" s="32"/>
      <c r="L49" s="35"/>
      <c r="M49" s="35"/>
      <c r="AL49" s="32"/>
    </row>
    <row r="50">
      <c r="E50" s="32"/>
      <c r="F50" s="32"/>
      <c r="G50" s="32"/>
      <c r="L50" s="35"/>
      <c r="M50" s="35"/>
      <c r="AL50" s="32"/>
    </row>
    <row r="51">
      <c r="E51" s="32"/>
      <c r="F51" s="32"/>
      <c r="G51" s="32"/>
      <c r="L51" s="35"/>
      <c r="M51" s="35"/>
      <c r="AL51" s="32"/>
    </row>
    <row r="52">
      <c r="E52" s="32"/>
      <c r="F52" s="32"/>
      <c r="G52" s="32"/>
      <c r="L52" s="35"/>
      <c r="M52" s="35"/>
      <c r="AL52" s="32"/>
    </row>
    <row r="53">
      <c r="E53" s="32"/>
      <c r="F53" s="32"/>
      <c r="G53" s="32"/>
      <c r="L53" s="35"/>
      <c r="M53" s="35"/>
      <c r="AL53" s="32"/>
    </row>
    <row r="54">
      <c r="E54" s="32"/>
      <c r="F54" s="32"/>
      <c r="G54" s="32"/>
      <c r="L54" s="35"/>
      <c r="M54" s="35"/>
      <c r="AL54" s="32"/>
    </row>
    <row r="55">
      <c r="E55" s="32"/>
      <c r="F55" s="32"/>
      <c r="G55" s="32"/>
      <c r="L55" s="35"/>
      <c r="M55" s="35"/>
      <c r="AL55" s="32"/>
    </row>
    <row r="56">
      <c r="E56" s="32"/>
      <c r="F56" s="32"/>
      <c r="G56" s="32"/>
      <c r="L56" s="35"/>
      <c r="M56" s="35"/>
      <c r="AL56" s="32"/>
    </row>
    <row r="57">
      <c r="E57" s="32"/>
      <c r="F57" s="32"/>
      <c r="G57" s="32"/>
      <c r="L57" s="35"/>
      <c r="M57" s="35"/>
      <c r="AL57" s="32"/>
    </row>
    <row r="58">
      <c r="E58" s="32"/>
      <c r="F58" s="32"/>
      <c r="G58" s="32"/>
      <c r="L58" s="35"/>
      <c r="M58" s="35"/>
      <c r="AL58" s="32"/>
    </row>
    <row r="59">
      <c r="E59" s="32"/>
      <c r="F59" s="32"/>
      <c r="G59" s="32"/>
      <c r="L59" s="35"/>
      <c r="M59" s="35"/>
      <c r="AL59" s="32"/>
    </row>
    <row r="60">
      <c r="E60" s="32"/>
      <c r="F60" s="32"/>
      <c r="G60" s="32"/>
      <c r="L60" s="35"/>
      <c r="M60" s="35"/>
      <c r="AL60" s="32"/>
    </row>
    <row r="61">
      <c r="E61" s="32"/>
      <c r="F61" s="32"/>
      <c r="G61" s="32"/>
      <c r="L61" s="35"/>
      <c r="M61" s="35"/>
      <c r="AL61" s="32"/>
    </row>
    <row r="62">
      <c r="E62" s="32"/>
      <c r="F62" s="32"/>
      <c r="G62" s="32"/>
      <c r="L62" s="35"/>
      <c r="M62" s="35"/>
      <c r="AL62" s="32"/>
    </row>
    <row r="63">
      <c r="E63" s="32"/>
      <c r="F63" s="32"/>
      <c r="G63" s="32"/>
      <c r="L63" s="35"/>
      <c r="M63" s="35"/>
      <c r="AL63" s="32"/>
    </row>
    <row r="64">
      <c r="E64" s="32"/>
      <c r="F64" s="32"/>
      <c r="G64" s="32"/>
      <c r="L64" s="35"/>
      <c r="M64" s="35"/>
      <c r="AL64" s="32"/>
    </row>
    <row r="65">
      <c r="E65" s="32"/>
      <c r="F65" s="32"/>
      <c r="G65" s="32"/>
      <c r="L65" s="35"/>
      <c r="M65" s="35"/>
      <c r="AL65" s="32"/>
    </row>
    <row r="66">
      <c r="E66" s="32"/>
      <c r="F66" s="32"/>
      <c r="G66" s="32"/>
      <c r="L66" s="35"/>
      <c r="M66" s="35"/>
      <c r="AL66" s="32"/>
    </row>
    <row r="67">
      <c r="E67" s="32"/>
      <c r="F67" s="32"/>
      <c r="G67" s="32"/>
      <c r="L67" s="35"/>
      <c r="M67" s="35"/>
      <c r="AL67" s="32"/>
    </row>
    <row r="68">
      <c r="E68" s="32"/>
      <c r="F68" s="32"/>
      <c r="G68" s="32"/>
      <c r="L68" s="35"/>
      <c r="M68" s="35"/>
      <c r="AL68" s="32"/>
    </row>
    <row r="69">
      <c r="E69" s="32"/>
      <c r="F69" s="32"/>
      <c r="G69" s="32"/>
      <c r="L69" s="35"/>
      <c r="M69" s="35"/>
      <c r="AL69" s="32"/>
    </row>
    <row r="70">
      <c r="E70" s="32"/>
      <c r="F70" s="32"/>
      <c r="G70" s="32"/>
      <c r="L70" s="35"/>
      <c r="M70" s="35"/>
      <c r="AL70" s="32"/>
    </row>
    <row r="71">
      <c r="E71" s="32"/>
      <c r="F71" s="32"/>
      <c r="G71" s="32"/>
      <c r="L71" s="35"/>
      <c r="M71" s="35"/>
      <c r="AL71" s="32"/>
    </row>
    <row r="72">
      <c r="E72" s="32"/>
      <c r="F72" s="32"/>
      <c r="G72" s="32"/>
      <c r="L72" s="35"/>
      <c r="M72" s="35"/>
      <c r="AL72" s="32"/>
    </row>
    <row r="73">
      <c r="E73" s="32"/>
      <c r="F73" s="32"/>
      <c r="G73" s="32"/>
      <c r="L73" s="35"/>
      <c r="M73" s="35"/>
      <c r="AL73" s="32"/>
    </row>
    <row r="74">
      <c r="E74" s="32"/>
      <c r="F74" s="32"/>
      <c r="G74" s="32"/>
      <c r="L74" s="35"/>
      <c r="M74" s="35"/>
      <c r="AL74" s="32"/>
    </row>
    <row r="75">
      <c r="E75" s="32"/>
      <c r="F75" s="32"/>
      <c r="G75" s="32"/>
      <c r="L75" s="35"/>
      <c r="M75" s="35"/>
      <c r="AL75" s="32"/>
    </row>
    <row r="76">
      <c r="E76" s="32"/>
      <c r="F76" s="32"/>
      <c r="G76" s="32"/>
      <c r="L76" s="35"/>
      <c r="M76" s="35"/>
      <c r="AL76" s="32"/>
    </row>
    <row r="77">
      <c r="E77" s="32"/>
      <c r="F77" s="32"/>
      <c r="G77" s="32"/>
      <c r="L77" s="35"/>
      <c r="M77" s="35"/>
      <c r="AL77" s="32"/>
    </row>
    <row r="78">
      <c r="E78" s="32"/>
      <c r="F78" s="32"/>
      <c r="G78" s="32"/>
      <c r="L78" s="35"/>
      <c r="M78" s="35"/>
      <c r="AL78" s="32"/>
    </row>
    <row r="79">
      <c r="E79" s="32"/>
      <c r="F79" s="32"/>
      <c r="G79" s="32"/>
      <c r="L79" s="35"/>
      <c r="M79" s="35"/>
      <c r="AL79" s="32"/>
    </row>
    <row r="80">
      <c r="E80" s="32"/>
      <c r="F80" s="32"/>
      <c r="G80" s="32"/>
      <c r="L80" s="35"/>
      <c r="M80" s="35"/>
      <c r="AL80" s="32"/>
    </row>
    <row r="81">
      <c r="E81" s="32"/>
      <c r="F81" s="32"/>
      <c r="G81" s="32"/>
      <c r="L81" s="35"/>
      <c r="M81" s="35"/>
      <c r="AL81" s="32"/>
    </row>
    <row r="82">
      <c r="E82" s="32"/>
      <c r="F82" s="32"/>
      <c r="G82" s="32"/>
      <c r="L82" s="35"/>
      <c r="M82" s="35"/>
      <c r="AL82" s="32"/>
    </row>
    <row r="83">
      <c r="E83" s="32"/>
      <c r="F83" s="32"/>
      <c r="G83" s="32"/>
      <c r="L83" s="35"/>
      <c r="M83" s="35"/>
      <c r="AL83" s="32"/>
    </row>
    <row r="84">
      <c r="E84" s="32"/>
      <c r="F84" s="32"/>
      <c r="G84" s="32"/>
      <c r="L84" s="35"/>
      <c r="M84" s="35"/>
      <c r="AL84" s="32"/>
    </row>
    <row r="85">
      <c r="E85" s="32"/>
      <c r="F85" s="32"/>
      <c r="G85" s="32"/>
      <c r="L85" s="35"/>
      <c r="M85" s="35"/>
      <c r="AL85" s="32"/>
    </row>
    <row r="86">
      <c r="E86" s="32"/>
      <c r="F86" s="32"/>
      <c r="G86" s="32"/>
      <c r="L86" s="35"/>
      <c r="M86" s="35"/>
      <c r="AL86" s="32"/>
    </row>
    <row r="87">
      <c r="E87" s="32"/>
      <c r="F87" s="32"/>
      <c r="G87" s="32"/>
      <c r="L87" s="35"/>
      <c r="M87" s="35"/>
      <c r="AL87" s="32"/>
    </row>
    <row r="88">
      <c r="E88" s="32"/>
      <c r="F88" s="32"/>
      <c r="G88" s="32"/>
      <c r="L88" s="35"/>
      <c r="M88" s="35"/>
      <c r="AL88" s="32"/>
    </row>
    <row r="89">
      <c r="E89" s="32"/>
      <c r="F89" s="32"/>
      <c r="G89" s="32"/>
      <c r="L89" s="35"/>
      <c r="M89" s="35"/>
      <c r="AL89" s="32"/>
    </row>
    <row r="90">
      <c r="E90" s="32"/>
      <c r="F90" s="32"/>
      <c r="G90" s="32"/>
      <c r="L90" s="35"/>
      <c r="M90" s="35"/>
      <c r="AL90" s="32"/>
    </row>
    <row r="91">
      <c r="E91" s="32"/>
      <c r="F91" s="32"/>
      <c r="G91" s="32"/>
      <c r="L91" s="35"/>
      <c r="M91" s="35"/>
      <c r="AL91" s="32"/>
    </row>
    <row r="92">
      <c r="E92" s="32"/>
      <c r="F92" s="32"/>
      <c r="G92" s="32"/>
      <c r="L92" s="35"/>
      <c r="M92" s="35"/>
      <c r="AL92" s="32"/>
    </row>
    <row r="93">
      <c r="E93" s="32"/>
      <c r="F93" s="32"/>
      <c r="G93" s="32"/>
      <c r="L93" s="35"/>
      <c r="M93" s="35"/>
      <c r="AL93" s="32"/>
    </row>
    <row r="94">
      <c r="E94" s="32"/>
      <c r="F94" s="32"/>
      <c r="G94" s="32"/>
      <c r="L94" s="35"/>
      <c r="M94" s="35"/>
      <c r="AL94" s="32"/>
    </row>
    <row r="95">
      <c r="E95" s="32"/>
      <c r="F95" s="32"/>
      <c r="G95" s="32"/>
      <c r="L95" s="35"/>
      <c r="M95" s="35"/>
      <c r="AL95" s="32"/>
    </row>
    <row r="96">
      <c r="E96" s="32"/>
      <c r="F96" s="32"/>
      <c r="G96" s="32"/>
      <c r="L96" s="35"/>
      <c r="M96" s="35"/>
      <c r="AL96" s="32"/>
    </row>
    <row r="97">
      <c r="E97" s="32"/>
      <c r="F97" s="32"/>
      <c r="G97" s="32"/>
      <c r="L97" s="35"/>
      <c r="M97" s="35"/>
      <c r="AL97" s="32"/>
    </row>
    <row r="98">
      <c r="E98" s="32"/>
      <c r="F98" s="32"/>
      <c r="G98" s="32"/>
      <c r="L98" s="35"/>
      <c r="M98" s="35"/>
      <c r="AL98" s="32"/>
    </row>
    <row r="99">
      <c r="E99" s="32"/>
      <c r="F99" s="32"/>
      <c r="G99" s="32"/>
      <c r="L99" s="35"/>
      <c r="M99" s="35"/>
      <c r="AL99" s="32"/>
    </row>
    <row r="100">
      <c r="E100" s="32"/>
      <c r="F100" s="32"/>
      <c r="G100" s="32"/>
      <c r="L100" s="35"/>
      <c r="M100" s="35"/>
      <c r="AL100" s="32"/>
    </row>
    <row r="101">
      <c r="E101" s="32"/>
      <c r="F101" s="32"/>
      <c r="G101" s="32"/>
      <c r="L101" s="35"/>
      <c r="M101" s="35"/>
      <c r="AL101" s="32"/>
    </row>
    <row r="102">
      <c r="E102" s="32"/>
      <c r="F102" s="32"/>
      <c r="G102" s="32"/>
      <c r="L102" s="35"/>
      <c r="M102" s="35"/>
      <c r="AL102" s="32"/>
    </row>
    <row r="103">
      <c r="E103" s="32"/>
      <c r="F103" s="32"/>
      <c r="G103" s="32"/>
      <c r="L103" s="35"/>
      <c r="M103" s="35"/>
      <c r="AL103" s="32"/>
    </row>
    <row r="104">
      <c r="E104" s="32"/>
      <c r="F104" s="32"/>
      <c r="G104" s="32"/>
      <c r="L104" s="35"/>
      <c r="M104" s="35"/>
      <c r="AL104" s="32"/>
    </row>
    <row r="105">
      <c r="E105" s="32"/>
      <c r="F105" s="32"/>
      <c r="G105" s="32"/>
      <c r="L105" s="35"/>
      <c r="M105" s="35"/>
      <c r="AL105" s="32"/>
    </row>
    <row r="106">
      <c r="E106" s="32"/>
      <c r="F106" s="32"/>
      <c r="G106" s="32"/>
      <c r="L106" s="35"/>
      <c r="M106" s="35"/>
      <c r="AL106" s="32"/>
    </row>
    <row r="107">
      <c r="E107" s="32"/>
      <c r="F107" s="32"/>
      <c r="G107" s="32"/>
      <c r="L107" s="35"/>
      <c r="M107" s="35"/>
      <c r="AL107" s="32"/>
    </row>
    <row r="108">
      <c r="E108" s="32"/>
      <c r="F108" s="32"/>
      <c r="G108" s="32"/>
      <c r="L108" s="35"/>
      <c r="M108" s="35"/>
      <c r="AL108" s="32"/>
    </row>
    <row r="109">
      <c r="E109" s="32"/>
      <c r="F109" s="32"/>
      <c r="G109" s="32"/>
      <c r="L109" s="35"/>
      <c r="M109" s="35"/>
      <c r="AL109" s="32"/>
    </row>
    <row r="110">
      <c r="E110" s="32"/>
      <c r="F110" s="32"/>
      <c r="G110" s="32"/>
      <c r="L110" s="35"/>
      <c r="M110" s="35"/>
      <c r="AL110" s="32"/>
    </row>
    <row r="111">
      <c r="E111" s="32"/>
      <c r="F111" s="32"/>
      <c r="G111" s="32"/>
      <c r="L111" s="35"/>
      <c r="M111" s="35"/>
      <c r="AL111" s="32"/>
    </row>
    <row r="112">
      <c r="E112" s="32"/>
      <c r="F112" s="32"/>
      <c r="G112" s="32"/>
      <c r="L112" s="35"/>
      <c r="M112" s="35"/>
      <c r="AL112" s="32"/>
    </row>
    <row r="113">
      <c r="E113" s="32"/>
      <c r="F113" s="32"/>
      <c r="G113" s="32"/>
      <c r="L113" s="35"/>
      <c r="M113" s="35"/>
      <c r="AL113" s="32"/>
    </row>
    <row r="114">
      <c r="E114" s="32"/>
      <c r="F114" s="32"/>
      <c r="G114" s="32"/>
      <c r="L114" s="35"/>
      <c r="M114" s="35"/>
      <c r="AL114" s="32"/>
    </row>
    <row r="115">
      <c r="E115" s="32"/>
      <c r="F115" s="32"/>
      <c r="G115" s="32"/>
      <c r="L115" s="35"/>
      <c r="M115" s="35"/>
      <c r="AL115" s="32"/>
    </row>
    <row r="116">
      <c r="E116" s="32"/>
      <c r="F116" s="32"/>
      <c r="G116" s="32"/>
      <c r="L116" s="35"/>
      <c r="M116" s="35"/>
      <c r="AL116" s="32"/>
    </row>
    <row r="117">
      <c r="E117" s="32"/>
      <c r="F117" s="32"/>
      <c r="G117" s="32"/>
      <c r="L117" s="35"/>
      <c r="M117" s="35"/>
      <c r="AL117" s="32"/>
    </row>
    <row r="118">
      <c r="E118" s="32"/>
      <c r="F118" s="32"/>
      <c r="G118" s="32"/>
      <c r="L118" s="35"/>
      <c r="M118" s="35"/>
      <c r="AL118" s="32"/>
    </row>
    <row r="119">
      <c r="E119" s="32"/>
      <c r="F119" s="32"/>
      <c r="G119" s="32"/>
      <c r="L119" s="35"/>
      <c r="M119" s="35"/>
      <c r="AL119" s="32"/>
    </row>
    <row r="120">
      <c r="E120" s="32"/>
      <c r="F120" s="32"/>
      <c r="G120" s="32"/>
      <c r="L120" s="35"/>
      <c r="M120" s="35"/>
      <c r="AL120" s="32"/>
    </row>
    <row r="121">
      <c r="E121" s="32"/>
      <c r="F121" s="32"/>
      <c r="G121" s="32"/>
      <c r="L121" s="35"/>
      <c r="M121" s="35"/>
      <c r="AL121" s="32"/>
    </row>
    <row r="122">
      <c r="E122" s="32"/>
      <c r="F122" s="32"/>
      <c r="G122" s="32"/>
      <c r="L122" s="35"/>
      <c r="M122" s="35"/>
      <c r="AL122" s="32"/>
    </row>
    <row r="123">
      <c r="E123" s="32"/>
      <c r="F123" s="32"/>
      <c r="G123" s="32"/>
      <c r="L123" s="35"/>
      <c r="M123" s="35"/>
      <c r="AL123" s="32"/>
    </row>
    <row r="124">
      <c r="E124" s="32"/>
      <c r="F124" s="32"/>
      <c r="G124" s="32"/>
      <c r="L124" s="35"/>
      <c r="M124" s="35"/>
      <c r="AL124" s="32"/>
    </row>
    <row r="125">
      <c r="E125" s="32"/>
      <c r="F125" s="32"/>
      <c r="G125" s="32"/>
      <c r="L125" s="35"/>
      <c r="M125" s="35"/>
      <c r="AL125" s="32"/>
    </row>
    <row r="126">
      <c r="E126" s="32"/>
      <c r="F126" s="32"/>
      <c r="G126" s="32"/>
      <c r="L126" s="35"/>
      <c r="M126" s="35"/>
      <c r="AL126" s="32"/>
    </row>
    <row r="127">
      <c r="E127" s="32"/>
      <c r="F127" s="32"/>
      <c r="G127" s="32"/>
      <c r="L127" s="35"/>
      <c r="M127" s="35"/>
      <c r="AL127" s="32"/>
    </row>
    <row r="128">
      <c r="E128" s="32"/>
      <c r="F128" s="32"/>
      <c r="G128" s="32"/>
      <c r="L128" s="35"/>
      <c r="M128" s="35"/>
      <c r="AL128" s="32"/>
    </row>
    <row r="129">
      <c r="E129" s="32"/>
      <c r="F129" s="32"/>
      <c r="G129" s="32"/>
      <c r="L129" s="35"/>
      <c r="M129" s="35"/>
      <c r="AL129" s="32"/>
    </row>
    <row r="130">
      <c r="E130" s="32"/>
      <c r="F130" s="32"/>
      <c r="G130" s="32"/>
      <c r="L130" s="35"/>
      <c r="M130" s="35"/>
      <c r="AL130" s="32"/>
    </row>
    <row r="131">
      <c r="E131" s="32"/>
      <c r="F131" s="32"/>
      <c r="G131" s="32"/>
      <c r="L131" s="35"/>
      <c r="M131" s="35"/>
      <c r="AL131" s="32"/>
    </row>
    <row r="132">
      <c r="E132" s="32"/>
      <c r="F132" s="32"/>
      <c r="G132" s="32"/>
      <c r="L132" s="35"/>
      <c r="M132" s="35"/>
      <c r="AL132" s="32"/>
    </row>
    <row r="133">
      <c r="E133" s="32"/>
      <c r="F133" s="32"/>
      <c r="G133" s="32"/>
      <c r="L133" s="35"/>
      <c r="M133" s="35"/>
      <c r="AL133" s="32"/>
    </row>
    <row r="134">
      <c r="E134" s="32"/>
      <c r="F134" s="32"/>
      <c r="G134" s="32"/>
      <c r="L134" s="35"/>
      <c r="M134" s="35"/>
      <c r="AL134" s="32"/>
    </row>
    <row r="135">
      <c r="E135" s="32"/>
      <c r="F135" s="32"/>
      <c r="G135" s="32"/>
      <c r="L135" s="35"/>
      <c r="M135" s="35"/>
      <c r="AL135" s="32"/>
    </row>
    <row r="136">
      <c r="E136" s="32"/>
      <c r="F136" s="32"/>
      <c r="G136" s="32"/>
      <c r="L136" s="35"/>
      <c r="M136" s="35"/>
      <c r="AL136" s="32"/>
    </row>
    <row r="137">
      <c r="E137" s="32"/>
      <c r="F137" s="32"/>
      <c r="G137" s="32"/>
      <c r="L137" s="35"/>
      <c r="M137" s="35"/>
      <c r="AL137" s="32"/>
    </row>
    <row r="138">
      <c r="E138" s="32"/>
      <c r="F138" s="32"/>
      <c r="G138" s="32"/>
      <c r="L138" s="35"/>
      <c r="M138" s="35"/>
      <c r="AL138" s="32"/>
    </row>
    <row r="139">
      <c r="E139" s="32"/>
      <c r="F139" s="32"/>
      <c r="G139" s="32"/>
      <c r="L139" s="35"/>
      <c r="M139" s="35"/>
      <c r="AL139" s="32"/>
    </row>
    <row r="140">
      <c r="E140" s="32"/>
      <c r="F140" s="32"/>
      <c r="G140" s="32"/>
      <c r="L140" s="35"/>
      <c r="M140" s="35"/>
      <c r="AL140" s="32"/>
    </row>
    <row r="141">
      <c r="E141" s="32"/>
      <c r="F141" s="32"/>
      <c r="G141" s="32"/>
      <c r="L141" s="35"/>
      <c r="M141" s="35"/>
      <c r="AL141" s="32"/>
    </row>
    <row r="142">
      <c r="E142" s="32"/>
      <c r="F142" s="32"/>
      <c r="G142" s="32"/>
      <c r="L142" s="35"/>
      <c r="M142" s="35"/>
      <c r="AL142" s="32"/>
    </row>
    <row r="143">
      <c r="E143" s="32"/>
      <c r="F143" s="32"/>
      <c r="G143" s="32"/>
      <c r="L143" s="35"/>
      <c r="M143" s="35"/>
      <c r="AL143" s="32"/>
    </row>
    <row r="144">
      <c r="E144" s="32"/>
      <c r="F144" s="32"/>
      <c r="G144" s="32"/>
      <c r="L144" s="35"/>
      <c r="M144" s="35"/>
      <c r="AL144" s="32"/>
    </row>
    <row r="145">
      <c r="E145" s="32"/>
      <c r="F145" s="32"/>
      <c r="G145" s="32"/>
      <c r="L145" s="35"/>
      <c r="M145" s="35"/>
      <c r="AL145" s="32"/>
    </row>
    <row r="146">
      <c r="E146" s="32"/>
      <c r="F146" s="32"/>
      <c r="G146" s="32"/>
      <c r="L146" s="35"/>
      <c r="M146" s="35"/>
      <c r="AL146" s="32"/>
    </row>
    <row r="147">
      <c r="E147" s="32"/>
      <c r="F147" s="32"/>
      <c r="G147" s="32"/>
      <c r="L147" s="35"/>
      <c r="M147" s="35"/>
      <c r="AL147" s="32"/>
    </row>
    <row r="148">
      <c r="E148" s="32"/>
      <c r="F148" s="32"/>
      <c r="G148" s="32"/>
      <c r="L148" s="35"/>
      <c r="M148" s="35"/>
      <c r="AL148" s="32"/>
    </row>
    <row r="149">
      <c r="E149" s="32"/>
      <c r="F149" s="32"/>
      <c r="G149" s="32"/>
      <c r="L149" s="35"/>
      <c r="M149" s="35"/>
      <c r="AL149" s="32"/>
    </row>
    <row r="150">
      <c r="E150" s="32"/>
      <c r="F150" s="32"/>
      <c r="G150" s="32"/>
      <c r="L150" s="35"/>
      <c r="M150" s="35"/>
      <c r="AL150" s="32"/>
    </row>
    <row r="151">
      <c r="E151" s="32"/>
      <c r="F151" s="32"/>
      <c r="G151" s="32"/>
      <c r="L151" s="35"/>
      <c r="M151" s="35"/>
      <c r="AL151" s="32"/>
    </row>
    <row r="152">
      <c r="E152" s="32"/>
      <c r="F152" s="32"/>
      <c r="G152" s="32"/>
      <c r="L152" s="35"/>
      <c r="M152" s="35"/>
      <c r="AL152" s="32"/>
    </row>
    <row r="153">
      <c r="E153" s="32"/>
      <c r="F153" s="32"/>
      <c r="G153" s="32"/>
      <c r="L153" s="35"/>
      <c r="M153" s="35"/>
      <c r="AL153" s="32"/>
    </row>
    <row r="154">
      <c r="E154" s="32"/>
      <c r="F154" s="32"/>
      <c r="G154" s="32"/>
      <c r="L154" s="35"/>
      <c r="M154" s="35"/>
      <c r="AL154" s="32"/>
    </row>
    <row r="155">
      <c r="E155" s="32"/>
      <c r="F155" s="32"/>
      <c r="G155" s="32"/>
      <c r="L155" s="35"/>
      <c r="M155" s="35"/>
      <c r="AL155" s="32"/>
    </row>
    <row r="156">
      <c r="E156" s="32"/>
      <c r="F156" s="32"/>
      <c r="G156" s="32"/>
      <c r="L156" s="35"/>
      <c r="M156" s="35"/>
      <c r="AL156" s="32"/>
    </row>
    <row r="157">
      <c r="E157" s="32"/>
      <c r="F157" s="32"/>
      <c r="G157" s="32"/>
      <c r="L157" s="35"/>
      <c r="M157" s="35"/>
      <c r="AL157" s="32"/>
    </row>
    <row r="158">
      <c r="E158" s="32"/>
      <c r="F158" s="32"/>
      <c r="G158" s="32"/>
      <c r="L158" s="35"/>
      <c r="M158" s="35"/>
      <c r="AL158" s="32"/>
    </row>
    <row r="159">
      <c r="E159" s="32"/>
      <c r="F159" s="32"/>
      <c r="G159" s="32"/>
      <c r="L159" s="35"/>
      <c r="M159" s="35"/>
      <c r="AL159" s="32"/>
    </row>
    <row r="160">
      <c r="E160" s="32"/>
      <c r="F160" s="32"/>
      <c r="G160" s="32"/>
      <c r="L160" s="35"/>
      <c r="M160" s="35"/>
      <c r="AL160" s="32"/>
    </row>
    <row r="161">
      <c r="E161" s="32"/>
      <c r="F161" s="32"/>
      <c r="G161" s="32"/>
      <c r="L161" s="35"/>
      <c r="M161" s="35"/>
      <c r="AL161" s="32"/>
    </row>
    <row r="162">
      <c r="E162" s="32"/>
      <c r="F162" s="32"/>
      <c r="G162" s="32"/>
      <c r="L162" s="35"/>
      <c r="M162" s="35"/>
      <c r="AL162" s="32"/>
    </row>
    <row r="163">
      <c r="E163" s="32"/>
      <c r="F163" s="32"/>
      <c r="G163" s="32"/>
      <c r="L163" s="35"/>
      <c r="M163" s="35"/>
      <c r="AL163" s="32"/>
    </row>
    <row r="164">
      <c r="E164" s="32"/>
      <c r="F164" s="32"/>
      <c r="G164" s="32"/>
      <c r="L164" s="35"/>
      <c r="M164" s="35"/>
      <c r="AL164" s="32"/>
    </row>
    <row r="165">
      <c r="E165" s="32"/>
      <c r="F165" s="32"/>
      <c r="G165" s="32"/>
      <c r="L165" s="35"/>
      <c r="M165" s="35"/>
      <c r="AL165" s="32"/>
    </row>
    <row r="166">
      <c r="E166" s="32"/>
      <c r="F166" s="32"/>
      <c r="G166" s="32"/>
      <c r="L166" s="35"/>
      <c r="M166" s="35"/>
      <c r="AL166" s="32"/>
    </row>
    <row r="167">
      <c r="E167" s="32"/>
      <c r="F167" s="32"/>
      <c r="G167" s="32"/>
      <c r="L167" s="35"/>
      <c r="M167" s="35"/>
      <c r="AL167" s="32"/>
    </row>
    <row r="168">
      <c r="E168" s="32"/>
      <c r="F168" s="32"/>
      <c r="G168" s="32"/>
      <c r="L168" s="35"/>
      <c r="M168" s="35"/>
      <c r="AL168" s="32"/>
    </row>
    <row r="169">
      <c r="E169" s="32"/>
      <c r="F169" s="32"/>
      <c r="G169" s="32"/>
      <c r="L169" s="35"/>
      <c r="M169" s="35"/>
      <c r="AL169" s="32"/>
    </row>
    <row r="170">
      <c r="E170" s="32"/>
      <c r="F170" s="32"/>
      <c r="G170" s="32"/>
      <c r="L170" s="35"/>
      <c r="M170" s="35"/>
      <c r="AL170" s="32"/>
    </row>
    <row r="171">
      <c r="E171" s="32"/>
      <c r="F171" s="32"/>
      <c r="G171" s="32"/>
      <c r="L171" s="35"/>
      <c r="M171" s="35"/>
      <c r="AL171" s="32"/>
    </row>
    <row r="172">
      <c r="E172" s="32"/>
      <c r="F172" s="32"/>
      <c r="G172" s="32"/>
      <c r="L172" s="35"/>
      <c r="M172" s="35"/>
      <c r="AL172" s="32"/>
    </row>
    <row r="173">
      <c r="E173" s="32"/>
      <c r="F173" s="32"/>
      <c r="G173" s="32"/>
      <c r="L173" s="35"/>
      <c r="M173" s="35"/>
      <c r="AL173" s="32"/>
    </row>
    <row r="174">
      <c r="E174" s="32"/>
      <c r="F174" s="32"/>
      <c r="G174" s="32"/>
      <c r="L174" s="35"/>
      <c r="M174" s="35"/>
      <c r="AL174" s="32"/>
    </row>
    <row r="175">
      <c r="E175" s="32"/>
      <c r="F175" s="32"/>
      <c r="G175" s="32"/>
      <c r="L175" s="35"/>
      <c r="M175" s="35"/>
      <c r="AL175" s="32"/>
    </row>
    <row r="176">
      <c r="E176" s="32"/>
      <c r="F176" s="32"/>
      <c r="G176" s="32"/>
      <c r="L176" s="35"/>
      <c r="M176" s="35"/>
      <c r="AL176" s="32"/>
    </row>
    <row r="177">
      <c r="E177" s="32"/>
      <c r="F177" s="32"/>
      <c r="G177" s="32"/>
      <c r="L177" s="35"/>
      <c r="M177" s="35"/>
      <c r="AL177" s="32"/>
    </row>
    <row r="178">
      <c r="E178" s="32"/>
      <c r="F178" s="32"/>
      <c r="G178" s="32"/>
      <c r="L178" s="35"/>
      <c r="M178" s="35"/>
      <c r="AL178" s="32"/>
    </row>
    <row r="179">
      <c r="E179" s="32"/>
      <c r="F179" s="32"/>
      <c r="G179" s="32"/>
      <c r="L179" s="35"/>
      <c r="M179" s="35"/>
      <c r="AL179" s="32"/>
    </row>
    <row r="180">
      <c r="E180" s="32"/>
      <c r="F180" s="32"/>
      <c r="G180" s="32"/>
      <c r="L180" s="35"/>
      <c r="M180" s="35"/>
      <c r="AL180" s="32"/>
    </row>
    <row r="181">
      <c r="E181" s="32"/>
      <c r="F181" s="32"/>
      <c r="G181" s="32"/>
      <c r="L181" s="35"/>
      <c r="M181" s="35"/>
      <c r="AL181" s="32"/>
    </row>
    <row r="182">
      <c r="E182" s="32"/>
      <c r="F182" s="32"/>
      <c r="G182" s="32"/>
      <c r="L182" s="35"/>
      <c r="M182" s="35"/>
      <c r="AL182" s="32"/>
    </row>
    <row r="183">
      <c r="E183" s="32"/>
      <c r="F183" s="32"/>
      <c r="G183" s="32"/>
      <c r="L183" s="35"/>
      <c r="M183" s="35"/>
      <c r="AL183" s="32"/>
    </row>
    <row r="184">
      <c r="E184" s="32"/>
      <c r="F184" s="32"/>
      <c r="G184" s="32"/>
      <c r="L184" s="35"/>
      <c r="M184" s="35"/>
      <c r="AL184" s="32"/>
    </row>
    <row r="185">
      <c r="E185" s="32"/>
      <c r="F185" s="32"/>
      <c r="G185" s="32"/>
      <c r="L185" s="35"/>
      <c r="M185" s="35"/>
      <c r="AL185" s="32"/>
    </row>
    <row r="186">
      <c r="E186" s="32"/>
      <c r="F186" s="32"/>
      <c r="G186" s="32"/>
      <c r="L186" s="35"/>
      <c r="M186" s="35"/>
      <c r="AL186" s="32"/>
    </row>
    <row r="187">
      <c r="E187" s="32"/>
      <c r="F187" s="32"/>
      <c r="G187" s="32"/>
      <c r="L187" s="35"/>
      <c r="M187" s="35"/>
      <c r="AL187" s="32"/>
    </row>
    <row r="188">
      <c r="E188" s="32"/>
      <c r="F188" s="32"/>
      <c r="G188" s="32"/>
      <c r="L188" s="35"/>
      <c r="M188" s="35"/>
      <c r="AL188" s="32"/>
    </row>
    <row r="189">
      <c r="E189" s="32"/>
      <c r="F189" s="32"/>
      <c r="G189" s="32"/>
      <c r="L189" s="35"/>
      <c r="M189" s="35"/>
      <c r="AL189" s="32"/>
    </row>
    <row r="190">
      <c r="E190" s="32"/>
      <c r="F190" s="32"/>
      <c r="G190" s="32"/>
      <c r="L190" s="35"/>
      <c r="M190" s="35"/>
      <c r="AL190" s="32"/>
    </row>
    <row r="191">
      <c r="E191" s="32"/>
      <c r="F191" s="32"/>
      <c r="G191" s="32"/>
      <c r="L191" s="35"/>
      <c r="M191" s="35"/>
      <c r="AL191" s="32"/>
    </row>
    <row r="192">
      <c r="E192" s="32"/>
      <c r="F192" s="32"/>
      <c r="G192" s="32"/>
      <c r="L192" s="35"/>
      <c r="M192" s="35"/>
      <c r="AL192" s="32"/>
    </row>
    <row r="193">
      <c r="E193" s="32"/>
      <c r="F193" s="32"/>
      <c r="G193" s="32"/>
      <c r="L193" s="35"/>
      <c r="M193" s="35"/>
      <c r="AL193" s="32"/>
    </row>
    <row r="194">
      <c r="E194" s="32"/>
      <c r="F194" s="32"/>
      <c r="G194" s="32"/>
      <c r="L194" s="35"/>
      <c r="M194" s="35"/>
      <c r="AL194" s="32"/>
    </row>
    <row r="195">
      <c r="E195" s="32"/>
      <c r="F195" s="32"/>
      <c r="G195" s="32"/>
      <c r="L195" s="35"/>
      <c r="M195" s="35"/>
      <c r="AL195" s="32"/>
    </row>
    <row r="196">
      <c r="E196" s="32"/>
      <c r="F196" s="32"/>
      <c r="G196" s="32"/>
      <c r="L196" s="35"/>
      <c r="M196" s="35"/>
      <c r="AL196" s="32"/>
    </row>
    <row r="197">
      <c r="E197" s="32"/>
      <c r="F197" s="32"/>
      <c r="G197" s="32"/>
      <c r="L197" s="35"/>
      <c r="M197" s="35"/>
      <c r="AL197" s="32"/>
    </row>
    <row r="198">
      <c r="E198" s="32"/>
      <c r="F198" s="32"/>
      <c r="G198" s="32"/>
      <c r="L198" s="35"/>
      <c r="M198" s="35"/>
      <c r="AL198" s="32"/>
    </row>
    <row r="199">
      <c r="E199" s="32"/>
      <c r="F199" s="32"/>
      <c r="G199" s="32"/>
      <c r="L199" s="35"/>
      <c r="M199" s="35"/>
      <c r="AL199" s="32"/>
    </row>
    <row r="200">
      <c r="E200" s="32"/>
      <c r="F200" s="32"/>
      <c r="G200" s="32"/>
      <c r="L200" s="35"/>
      <c r="M200" s="35"/>
      <c r="AL200" s="32"/>
    </row>
    <row r="201">
      <c r="E201" s="32"/>
      <c r="F201" s="32"/>
      <c r="G201" s="32"/>
      <c r="L201" s="35"/>
      <c r="M201" s="35"/>
      <c r="AL201" s="32"/>
    </row>
    <row r="202">
      <c r="E202" s="32"/>
      <c r="F202" s="32"/>
      <c r="G202" s="32"/>
      <c r="L202" s="35"/>
      <c r="M202" s="35"/>
      <c r="AL202" s="32"/>
    </row>
    <row r="203">
      <c r="E203" s="32"/>
      <c r="F203" s="32"/>
      <c r="G203" s="32"/>
      <c r="L203" s="35"/>
      <c r="M203" s="35"/>
      <c r="AL203" s="32"/>
    </row>
    <row r="204">
      <c r="E204" s="32"/>
      <c r="F204" s="32"/>
      <c r="G204" s="32"/>
      <c r="L204" s="35"/>
      <c r="M204" s="35"/>
      <c r="AL204" s="32"/>
    </row>
    <row r="205">
      <c r="E205" s="32"/>
      <c r="F205" s="32"/>
      <c r="G205" s="32"/>
      <c r="L205" s="35"/>
      <c r="M205" s="35"/>
      <c r="AL205" s="32"/>
    </row>
    <row r="206">
      <c r="E206" s="32"/>
      <c r="F206" s="32"/>
      <c r="G206" s="32"/>
      <c r="L206" s="35"/>
      <c r="M206" s="35"/>
      <c r="AL206" s="32"/>
    </row>
    <row r="207">
      <c r="E207" s="32"/>
      <c r="F207" s="32"/>
      <c r="G207" s="32"/>
      <c r="L207" s="35"/>
      <c r="M207" s="35"/>
      <c r="AL207" s="32"/>
    </row>
    <row r="208">
      <c r="E208" s="32"/>
      <c r="F208" s="32"/>
      <c r="G208" s="32"/>
      <c r="L208" s="35"/>
      <c r="M208" s="35"/>
      <c r="AL208" s="32"/>
    </row>
    <row r="209">
      <c r="E209" s="32"/>
      <c r="F209" s="32"/>
      <c r="G209" s="32"/>
      <c r="L209" s="35"/>
      <c r="M209" s="35"/>
      <c r="AL209" s="32"/>
    </row>
    <row r="210">
      <c r="E210" s="32"/>
      <c r="F210" s="32"/>
      <c r="G210" s="32"/>
      <c r="L210" s="35"/>
      <c r="M210" s="35"/>
      <c r="AL210" s="32"/>
    </row>
    <row r="211">
      <c r="E211" s="32"/>
      <c r="F211" s="32"/>
      <c r="G211" s="32"/>
      <c r="L211" s="35"/>
      <c r="M211" s="35"/>
      <c r="AL211" s="32"/>
    </row>
    <row r="212">
      <c r="E212" s="32"/>
      <c r="F212" s="32"/>
      <c r="G212" s="32"/>
      <c r="L212" s="35"/>
      <c r="M212" s="35"/>
      <c r="AL212" s="32"/>
    </row>
    <row r="213">
      <c r="E213" s="32"/>
      <c r="F213" s="32"/>
      <c r="G213" s="32"/>
      <c r="L213" s="35"/>
      <c r="M213" s="35"/>
      <c r="AL213" s="32"/>
    </row>
    <row r="214">
      <c r="E214" s="32"/>
      <c r="F214" s="32"/>
      <c r="G214" s="32"/>
      <c r="L214" s="35"/>
      <c r="M214" s="35"/>
      <c r="AL214" s="32"/>
    </row>
    <row r="215">
      <c r="E215" s="32"/>
      <c r="F215" s="32"/>
      <c r="G215" s="32"/>
      <c r="L215" s="35"/>
      <c r="M215" s="35"/>
      <c r="AL215" s="32"/>
    </row>
    <row r="216">
      <c r="E216" s="32"/>
      <c r="F216" s="32"/>
      <c r="G216" s="32"/>
      <c r="L216" s="35"/>
      <c r="M216" s="35"/>
      <c r="AL216" s="32"/>
    </row>
    <row r="217">
      <c r="E217" s="32"/>
      <c r="F217" s="32"/>
      <c r="G217" s="32"/>
      <c r="L217" s="35"/>
      <c r="M217" s="35"/>
      <c r="AL217" s="32"/>
    </row>
    <row r="218">
      <c r="E218" s="32"/>
      <c r="F218" s="32"/>
      <c r="G218" s="32"/>
      <c r="L218" s="35"/>
      <c r="M218" s="35"/>
      <c r="AL218" s="32"/>
    </row>
    <row r="219">
      <c r="E219" s="32"/>
      <c r="F219" s="32"/>
      <c r="G219" s="32"/>
      <c r="L219" s="35"/>
      <c r="M219" s="35"/>
      <c r="AL219" s="32"/>
    </row>
    <row r="220">
      <c r="E220" s="32"/>
      <c r="F220" s="32"/>
      <c r="G220" s="32"/>
      <c r="L220" s="35"/>
      <c r="M220" s="35"/>
      <c r="AL220" s="32"/>
    </row>
    <row r="221">
      <c r="E221" s="32"/>
      <c r="F221" s="32"/>
      <c r="G221" s="32"/>
      <c r="L221" s="35"/>
      <c r="M221" s="35"/>
      <c r="AL221" s="32"/>
    </row>
    <row r="222">
      <c r="E222" s="32"/>
      <c r="F222" s="32"/>
      <c r="G222" s="32"/>
      <c r="L222" s="35"/>
      <c r="M222" s="35"/>
      <c r="AL222" s="32"/>
    </row>
    <row r="223">
      <c r="E223" s="32"/>
      <c r="F223" s="32"/>
      <c r="G223" s="32"/>
      <c r="L223" s="35"/>
      <c r="M223" s="35"/>
      <c r="AL223" s="32"/>
    </row>
    <row r="224">
      <c r="E224" s="32"/>
      <c r="F224" s="32"/>
      <c r="G224" s="32"/>
      <c r="L224" s="35"/>
      <c r="M224" s="35"/>
      <c r="AL224" s="32"/>
    </row>
    <row r="225">
      <c r="E225" s="32"/>
      <c r="F225" s="32"/>
      <c r="G225" s="32"/>
      <c r="L225" s="35"/>
      <c r="M225" s="35"/>
      <c r="AL225" s="32"/>
    </row>
    <row r="226">
      <c r="E226" s="32"/>
      <c r="F226" s="32"/>
      <c r="G226" s="32"/>
      <c r="L226" s="35"/>
      <c r="M226" s="35"/>
      <c r="AL226" s="32"/>
    </row>
    <row r="227">
      <c r="E227" s="32"/>
      <c r="F227" s="32"/>
      <c r="G227" s="32"/>
      <c r="L227" s="35"/>
      <c r="M227" s="35"/>
      <c r="AL227" s="32"/>
    </row>
    <row r="228">
      <c r="E228" s="32"/>
      <c r="F228" s="32"/>
      <c r="G228" s="32"/>
      <c r="L228" s="35"/>
      <c r="M228" s="35"/>
      <c r="AL228" s="32"/>
    </row>
    <row r="229">
      <c r="E229" s="32"/>
      <c r="F229" s="32"/>
      <c r="G229" s="32"/>
      <c r="L229" s="35"/>
      <c r="M229" s="35"/>
      <c r="AL229" s="32"/>
    </row>
    <row r="230">
      <c r="E230" s="32"/>
      <c r="F230" s="32"/>
      <c r="G230" s="32"/>
      <c r="L230" s="35"/>
      <c r="M230" s="35"/>
      <c r="AL230" s="32"/>
    </row>
    <row r="231">
      <c r="E231" s="32"/>
      <c r="F231" s="32"/>
      <c r="G231" s="32"/>
      <c r="L231" s="35"/>
      <c r="M231" s="35"/>
      <c r="AL231" s="32"/>
    </row>
    <row r="232">
      <c r="E232" s="32"/>
      <c r="F232" s="32"/>
      <c r="G232" s="32"/>
      <c r="L232" s="35"/>
      <c r="M232" s="35"/>
      <c r="AL232" s="32"/>
    </row>
    <row r="233">
      <c r="E233" s="32"/>
      <c r="F233" s="32"/>
      <c r="G233" s="32"/>
      <c r="L233" s="35"/>
      <c r="M233" s="35"/>
      <c r="AL233" s="32"/>
    </row>
    <row r="234">
      <c r="E234" s="32"/>
      <c r="F234" s="32"/>
      <c r="G234" s="32"/>
      <c r="L234" s="35"/>
      <c r="M234" s="35"/>
      <c r="AL234" s="32"/>
    </row>
    <row r="235">
      <c r="E235" s="32"/>
      <c r="F235" s="32"/>
      <c r="G235" s="32"/>
      <c r="L235" s="35"/>
      <c r="M235" s="35"/>
      <c r="AL235" s="32"/>
    </row>
    <row r="236">
      <c r="E236" s="32"/>
      <c r="F236" s="32"/>
      <c r="G236" s="32"/>
      <c r="L236" s="35"/>
      <c r="M236" s="35"/>
      <c r="AL236" s="32"/>
    </row>
    <row r="237">
      <c r="E237" s="32"/>
      <c r="F237" s="32"/>
      <c r="G237" s="32"/>
      <c r="L237" s="35"/>
      <c r="M237" s="35"/>
      <c r="AL237" s="32"/>
    </row>
    <row r="238">
      <c r="E238" s="32"/>
      <c r="F238" s="32"/>
      <c r="G238" s="32"/>
      <c r="L238" s="35"/>
      <c r="M238" s="35"/>
      <c r="AL238" s="32"/>
    </row>
    <row r="239">
      <c r="E239" s="32"/>
      <c r="F239" s="32"/>
      <c r="G239" s="32"/>
      <c r="L239" s="35"/>
      <c r="M239" s="35"/>
      <c r="AL239" s="32"/>
    </row>
    <row r="240">
      <c r="E240" s="32"/>
      <c r="F240" s="32"/>
      <c r="G240" s="32"/>
      <c r="L240" s="35"/>
      <c r="M240" s="35"/>
      <c r="AL240" s="32"/>
    </row>
    <row r="241">
      <c r="E241" s="32"/>
      <c r="F241" s="32"/>
      <c r="G241" s="32"/>
      <c r="L241" s="35"/>
      <c r="M241" s="35"/>
      <c r="AL241" s="32"/>
    </row>
    <row r="242">
      <c r="E242" s="32"/>
      <c r="F242" s="32"/>
      <c r="G242" s="32"/>
      <c r="L242" s="35"/>
      <c r="M242" s="35"/>
      <c r="AL242" s="32"/>
    </row>
    <row r="243">
      <c r="E243" s="32"/>
      <c r="F243" s="32"/>
      <c r="G243" s="32"/>
      <c r="L243" s="35"/>
      <c r="M243" s="35"/>
      <c r="AL243" s="32"/>
    </row>
    <row r="244">
      <c r="E244" s="32"/>
      <c r="F244" s="32"/>
      <c r="G244" s="32"/>
      <c r="L244" s="35"/>
      <c r="M244" s="35"/>
      <c r="AL244" s="32"/>
    </row>
    <row r="245">
      <c r="E245" s="32"/>
      <c r="F245" s="32"/>
      <c r="G245" s="32"/>
      <c r="L245" s="35"/>
      <c r="M245" s="35"/>
      <c r="AL245" s="32"/>
    </row>
    <row r="246">
      <c r="E246" s="32"/>
      <c r="F246" s="32"/>
      <c r="G246" s="32"/>
      <c r="L246" s="35"/>
      <c r="M246" s="35"/>
      <c r="AL246" s="32"/>
    </row>
    <row r="247">
      <c r="E247" s="32"/>
      <c r="F247" s="32"/>
      <c r="G247" s="32"/>
      <c r="L247" s="35"/>
      <c r="M247" s="35"/>
      <c r="AL247" s="32"/>
    </row>
    <row r="248">
      <c r="E248" s="32"/>
      <c r="F248" s="32"/>
      <c r="G248" s="32"/>
      <c r="L248" s="35"/>
      <c r="M248" s="35"/>
      <c r="AL248" s="32"/>
    </row>
    <row r="249">
      <c r="E249" s="32"/>
      <c r="F249" s="32"/>
      <c r="G249" s="32"/>
      <c r="L249" s="35"/>
      <c r="M249" s="35"/>
      <c r="AL249" s="32"/>
    </row>
    <row r="250">
      <c r="E250" s="32"/>
      <c r="F250" s="32"/>
      <c r="G250" s="32"/>
      <c r="L250" s="35"/>
      <c r="M250" s="35"/>
      <c r="AL250" s="32"/>
    </row>
    <row r="251">
      <c r="E251" s="32"/>
      <c r="F251" s="32"/>
      <c r="G251" s="32"/>
      <c r="L251" s="35"/>
      <c r="M251" s="35"/>
      <c r="AL251" s="32"/>
    </row>
    <row r="252">
      <c r="E252" s="32"/>
      <c r="F252" s="32"/>
      <c r="G252" s="32"/>
      <c r="L252" s="35"/>
      <c r="M252" s="35"/>
      <c r="AL252" s="32"/>
    </row>
    <row r="253">
      <c r="E253" s="32"/>
      <c r="F253" s="32"/>
      <c r="G253" s="32"/>
      <c r="L253" s="35"/>
      <c r="M253" s="35"/>
      <c r="AL253" s="32"/>
    </row>
    <row r="254">
      <c r="E254" s="32"/>
      <c r="F254" s="32"/>
      <c r="G254" s="32"/>
      <c r="L254" s="35"/>
      <c r="M254" s="35"/>
      <c r="AL254" s="32"/>
    </row>
    <row r="255">
      <c r="E255" s="32"/>
      <c r="F255" s="32"/>
      <c r="G255" s="32"/>
      <c r="L255" s="35"/>
      <c r="M255" s="35"/>
      <c r="AL255" s="32"/>
    </row>
    <row r="256">
      <c r="E256" s="32"/>
      <c r="F256" s="32"/>
      <c r="G256" s="32"/>
      <c r="L256" s="35"/>
      <c r="M256" s="35"/>
      <c r="AL256" s="32"/>
    </row>
    <row r="257">
      <c r="E257" s="32"/>
      <c r="F257" s="32"/>
      <c r="G257" s="32"/>
      <c r="L257" s="35"/>
      <c r="M257" s="35"/>
      <c r="AL257" s="32"/>
    </row>
    <row r="258">
      <c r="E258" s="32"/>
      <c r="F258" s="32"/>
      <c r="G258" s="32"/>
      <c r="L258" s="35"/>
      <c r="M258" s="35"/>
      <c r="AL258" s="32"/>
    </row>
    <row r="259">
      <c r="E259" s="32"/>
      <c r="F259" s="32"/>
      <c r="G259" s="32"/>
      <c r="L259" s="35"/>
      <c r="M259" s="35"/>
      <c r="AL259" s="32"/>
    </row>
    <row r="260">
      <c r="E260" s="32"/>
      <c r="F260" s="32"/>
      <c r="G260" s="32"/>
      <c r="L260" s="35"/>
      <c r="M260" s="35"/>
      <c r="AL260" s="32"/>
    </row>
    <row r="261">
      <c r="E261" s="32"/>
      <c r="F261" s="32"/>
      <c r="G261" s="32"/>
      <c r="L261" s="35"/>
      <c r="M261" s="35"/>
      <c r="AL261" s="32"/>
    </row>
    <row r="262">
      <c r="E262" s="32"/>
      <c r="F262" s="32"/>
      <c r="G262" s="32"/>
      <c r="L262" s="35"/>
      <c r="M262" s="35"/>
      <c r="AL262" s="32"/>
    </row>
    <row r="263">
      <c r="E263" s="32"/>
      <c r="F263" s="32"/>
      <c r="G263" s="32"/>
      <c r="L263" s="35"/>
      <c r="M263" s="35"/>
      <c r="AL263" s="32"/>
    </row>
    <row r="264">
      <c r="E264" s="32"/>
      <c r="F264" s="32"/>
      <c r="G264" s="32"/>
      <c r="L264" s="35"/>
      <c r="M264" s="35"/>
      <c r="AL264" s="32"/>
    </row>
    <row r="265">
      <c r="E265" s="32"/>
      <c r="F265" s="32"/>
      <c r="G265" s="32"/>
      <c r="L265" s="35"/>
      <c r="M265" s="35"/>
      <c r="AL265" s="32"/>
    </row>
    <row r="266">
      <c r="E266" s="32"/>
      <c r="F266" s="32"/>
      <c r="G266" s="32"/>
      <c r="L266" s="35"/>
      <c r="M266" s="35"/>
      <c r="AL266" s="32"/>
    </row>
    <row r="267">
      <c r="E267" s="32"/>
      <c r="F267" s="32"/>
      <c r="G267" s="32"/>
      <c r="L267" s="35"/>
      <c r="M267" s="35"/>
      <c r="AL267" s="32"/>
    </row>
    <row r="268">
      <c r="E268" s="32"/>
      <c r="F268" s="32"/>
      <c r="G268" s="32"/>
      <c r="L268" s="35"/>
      <c r="M268" s="35"/>
      <c r="AL268" s="32"/>
    </row>
    <row r="269">
      <c r="E269" s="32"/>
      <c r="F269" s="32"/>
      <c r="G269" s="32"/>
      <c r="L269" s="35"/>
      <c r="M269" s="35"/>
      <c r="AL269" s="32"/>
    </row>
    <row r="270">
      <c r="E270" s="32"/>
      <c r="F270" s="32"/>
      <c r="G270" s="32"/>
      <c r="L270" s="35"/>
      <c r="M270" s="35"/>
      <c r="AL270" s="32"/>
    </row>
    <row r="271">
      <c r="E271" s="32"/>
      <c r="F271" s="32"/>
      <c r="G271" s="32"/>
      <c r="L271" s="35"/>
      <c r="M271" s="35"/>
      <c r="AL271" s="32"/>
    </row>
    <row r="272">
      <c r="E272" s="32"/>
      <c r="F272" s="32"/>
      <c r="G272" s="32"/>
      <c r="L272" s="35"/>
      <c r="M272" s="35"/>
      <c r="AL272" s="32"/>
    </row>
    <row r="273">
      <c r="E273" s="32"/>
      <c r="F273" s="32"/>
      <c r="G273" s="32"/>
      <c r="L273" s="35"/>
      <c r="M273" s="35"/>
      <c r="AL273" s="32"/>
    </row>
    <row r="274">
      <c r="E274" s="32"/>
      <c r="F274" s="32"/>
      <c r="G274" s="32"/>
      <c r="L274" s="35"/>
      <c r="M274" s="35"/>
      <c r="AL274" s="32"/>
    </row>
    <row r="275">
      <c r="E275" s="32"/>
      <c r="F275" s="32"/>
      <c r="G275" s="32"/>
      <c r="L275" s="35"/>
      <c r="M275" s="35"/>
      <c r="AL275" s="32"/>
    </row>
    <row r="276">
      <c r="E276" s="32"/>
      <c r="F276" s="32"/>
      <c r="G276" s="32"/>
      <c r="L276" s="35"/>
      <c r="M276" s="35"/>
      <c r="AL276" s="32"/>
    </row>
    <row r="277">
      <c r="E277" s="32"/>
      <c r="F277" s="32"/>
      <c r="G277" s="32"/>
      <c r="L277" s="35"/>
      <c r="M277" s="35"/>
      <c r="AL277" s="32"/>
    </row>
    <row r="278">
      <c r="E278" s="32"/>
      <c r="F278" s="32"/>
      <c r="G278" s="32"/>
      <c r="L278" s="35"/>
      <c r="M278" s="35"/>
      <c r="AL278" s="32"/>
    </row>
    <row r="279">
      <c r="E279" s="32"/>
      <c r="F279" s="32"/>
      <c r="G279" s="32"/>
      <c r="L279" s="35"/>
      <c r="M279" s="35"/>
      <c r="AL279" s="32"/>
    </row>
    <row r="280">
      <c r="E280" s="32"/>
      <c r="F280" s="32"/>
      <c r="G280" s="32"/>
      <c r="L280" s="35"/>
      <c r="M280" s="35"/>
      <c r="AL280" s="32"/>
    </row>
    <row r="281">
      <c r="E281" s="32"/>
      <c r="F281" s="32"/>
      <c r="G281" s="32"/>
      <c r="L281" s="35"/>
      <c r="M281" s="35"/>
      <c r="AL281" s="32"/>
    </row>
    <row r="282">
      <c r="E282" s="32"/>
      <c r="F282" s="32"/>
      <c r="G282" s="32"/>
      <c r="L282" s="35"/>
      <c r="M282" s="35"/>
      <c r="AL282" s="32"/>
    </row>
    <row r="283">
      <c r="E283" s="32"/>
      <c r="F283" s="32"/>
      <c r="G283" s="32"/>
      <c r="L283" s="35"/>
      <c r="M283" s="35"/>
      <c r="AL283" s="32"/>
    </row>
    <row r="284">
      <c r="E284" s="32"/>
      <c r="F284" s="32"/>
      <c r="G284" s="32"/>
      <c r="L284" s="35"/>
      <c r="M284" s="35"/>
      <c r="AL284" s="32"/>
    </row>
    <row r="285">
      <c r="E285" s="32"/>
      <c r="F285" s="32"/>
      <c r="G285" s="32"/>
      <c r="L285" s="35"/>
      <c r="M285" s="35"/>
      <c r="AL285" s="32"/>
    </row>
    <row r="286">
      <c r="E286" s="32"/>
      <c r="F286" s="32"/>
      <c r="G286" s="32"/>
      <c r="L286" s="35"/>
      <c r="M286" s="35"/>
      <c r="AL286" s="32"/>
    </row>
    <row r="287">
      <c r="E287" s="32"/>
      <c r="F287" s="32"/>
      <c r="G287" s="32"/>
      <c r="L287" s="35"/>
      <c r="M287" s="35"/>
      <c r="AL287" s="32"/>
    </row>
    <row r="288">
      <c r="E288" s="32"/>
      <c r="F288" s="32"/>
      <c r="G288" s="32"/>
      <c r="L288" s="35"/>
      <c r="M288" s="35"/>
      <c r="AL288" s="32"/>
    </row>
    <row r="289">
      <c r="E289" s="32"/>
      <c r="F289" s="32"/>
      <c r="G289" s="32"/>
      <c r="L289" s="35"/>
      <c r="M289" s="35"/>
      <c r="AL289" s="32"/>
    </row>
    <row r="290">
      <c r="E290" s="32"/>
      <c r="F290" s="32"/>
      <c r="G290" s="32"/>
      <c r="L290" s="35"/>
      <c r="M290" s="35"/>
      <c r="AL290" s="32"/>
    </row>
    <row r="291">
      <c r="E291" s="32"/>
      <c r="F291" s="32"/>
      <c r="G291" s="32"/>
      <c r="L291" s="35"/>
      <c r="M291" s="35"/>
      <c r="AL291" s="32"/>
    </row>
    <row r="292">
      <c r="E292" s="32"/>
      <c r="F292" s="32"/>
      <c r="G292" s="32"/>
      <c r="L292" s="35"/>
      <c r="M292" s="35"/>
      <c r="AL292" s="32"/>
    </row>
    <row r="293">
      <c r="E293" s="32"/>
      <c r="F293" s="32"/>
      <c r="G293" s="32"/>
      <c r="L293" s="35"/>
      <c r="M293" s="35"/>
      <c r="AL293" s="32"/>
    </row>
    <row r="294">
      <c r="E294" s="32"/>
      <c r="F294" s="32"/>
      <c r="G294" s="32"/>
      <c r="L294" s="35"/>
      <c r="M294" s="35"/>
      <c r="AL294" s="32"/>
    </row>
    <row r="295">
      <c r="E295" s="32"/>
      <c r="F295" s="32"/>
      <c r="G295" s="32"/>
      <c r="L295" s="35"/>
      <c r="M295" s="35"/>
      <c r="AL295" s="32"/>
    </row>
    <row r="296">
      <c r="E296" s="32"/>
      <c r="F296" s="32"/>
      <c r="G296" s="32"/>
      <c r="L296" s="35"/>
      <c r="M296" s="35"/>
      <c r="AL296" s="32"/>
    </row>
    <row r="297">
      <c r="E297" s="32"/>
      <c r="F297" s="32"/>
      <c r="G297" s="32"/>
      <c r="L297" s="35"/>
      <c r="M297" s="35"/>
      <c r="AL297" s="32"/>
    </row>
    <row r="298">
      <c r="E298" s="32"/>
      <c r="F298" s="32"/>
      <c r="G298" s="32"/>
      <c r="L298" s="35"/>
      <c r="M298" s="35"/>
      <c r="AL298" s="32"/>
    </row>
    <row r="299">
      <c r="E299" s="32"/>
      <c r="F299" s="32"/>
      <c r="G299" s="32"/>
      <c r="L299" s="35"/>
      <c r="M299" s="35"/>
      <c r="AL299" s="32"/>
    </row>
    <row r="300">
      <c r="E300" s="32"/>
      <c r="F300" s="32"/>
      <c r="G300" s="32"/>
      <c r="L300" s="35"/>
      <c r="M300" s="35"/>
      <c r="AL300" s="32"/>
    </row>
    <row r="301">
      <c r="E301" s="32"/>
      <c r="F301" s="32"/>
      <c r="G301" s="32"/>
      <c r="L301" s="35"/>
      <c r="M301" s="35"/>
      <c r="AL301" s="32"/>
    </row>
    <row r="302">
      <c r="E302" s="32"/>
      <c r="F302" s="32"/>
      <c r="G302" s="32"/>
      <c r="L302" s="35"/>
      <c r="M302" s="35"/>
      <c r="AL302" s="32"/>
    </row>
    <row r="303">
      <c r="E303" s="32"/>
      <c r="F303" s="32"/>
      <c r="G303" s="32"/>
      <c r="L303" s="35"/>
      <c r="M303" s="35"/>
      <c r="AL303" s="32"/>
    </row>
    <row r="304">
      <c r="E304" s="32"/>
      <c r="F304" s="32"/>
      <c r="G304" s="32"/>
      <c r="L304" s="35"/>
      <c r="M304" s="35"/>
      <c r="AL304" s="32"/>
    </row>
    <row r="305">
      <c r="E305" s="32"/>
      <c r="F305" s="32"/>
      <c r="G305" s="32"/>
      <c r="L305" s="35"/>
      <c r="M305" s="35"/>
      <c r="AL305" s="32"/>
    </row>
    <row r="306">
      <c r="E306" s="32"/>
      <c r="F306" s="32"/>
      <c r="G306" s="32"/>
      <c r="L306" s="35"/>
      <c r="M306" s="35"/>
      <c r="AL306" s="32"/>
    </row>
    <row r="307">
      <c r="E307" s="32"/>
      <c r="F307" s="32"/>
      <c r="G307" s="32"/>
      <c r="L307" s="35"/>
      <c r="M307" s="35"/>
      <c r="AL307" s="32"/>
    </row>
    <row r="308">
      <c r="E308" s="32"/>
      <c r="F308" s="32"/>
      <c r="G308" s="32"/>
      <c r="L308" s="35"/>
      <c r="M308" s="35"/>
      <c r="AL308" s="32"/>
    </row>
    <row r="309">
      <c r="E309" s="32"/>
      <c r="F309" s="32"/>
      <c r="G309" s="32"/>
      <c r="L309" s="35"/>
      <c r="M309" s="35"/>
      <c r="AL309" s="32"/>
    </row>
    <row r="310">
      <c r="E310" s="32"/>
      <c r="F310" s="32"/>
      <c r="G310" s="32"/>
      <c r="L310" s="35"/>
      <c r="M310" s="35"/>
      <c r="AL310" s="32"/>
    </row>
    <row r="311">
      <c r="E311" s="32"/>
      <c r="F311" s="32"/>
      <c r="G311" s="32"/>
      <c r="L311" s="35"/>
      <c r="M311" s="35"/>
      <c r="AL311" s="32"/>
    </row>
    <row r="312">
      <c r="E312" s="32"/>
      <c r="F312" s="32"/>
      <c r="G312" s="32"/>
      <c r="L312" s="35"/>
      <c r="M312" s="35"/>
      <c r="AL312" s="32"/>
    </row>
    <row r="313">
      <c r="E313" s="32"/>
      <c r="F313" s="32"/>
      <c r="G313" s="32"/>
      <c r="L313" s="35"/>
      <c r="M313" s="35"/>
      <c r="AL313" s="32"/>
    </row>
    <row r="314">
      <c r="E314" s="32"/>
      <c r="F314" s="32"/>
      <c r="G314" s="32"/>
      <c r="L314" s="35"/>
      <c r="M314" s="35"/>
      <c r="AL314" s="32"/>
    </row>
    <row r="315">
      <c r="E315" s="32"/>
      <c r="F315" s="32"/>
      <c r="G315" s="32"/>
      <c r="L315" s="35"/>
      <c r="M315" s="35"/>
      <c r="AL315" s="32"/>
    </row>
    <row r="316">
      <c r="E316" s="32"/>
      <c r="F316" s="32"/>
      <c r="G316" s="32"/>
      <c r="L316" s="35"/>
      <c r="M316" s="35"/>
      <c r="AL316" s="32"/>
    </row>
    <row r="317">
      <c r="E317" s="32"/>
      <c r="F317" s="32"/>
      <c r="G317" s="32"/>
      <c r="L317" s="35"/>
      <c r="M317" s="35"/>
      <c r="AL317" s="32"/>
    </row>
    <row r="318">
      <c r="E318" s="32"/>
      <c r="F318" s="32"/>
      <c r="G318" s="32"/>
      <c r="L318" s="35"/>
      <c r="M318" s="35"/>
      <c r="AL318" s="32"/>
    </row>
    <row r="319">
      <c r="E319" s="32"/>
      <c r="F319" s="32"/>
      <c r="G319" s="32"/>
      <c r="L319" s="35"/>
      <c r="M319" s="35"/>
      <c r="AL319" s="32"/>
    </row>
    <row r="320">
      <c r="E320" s="32"/>
      <c r="F320" s="32"/>
      <c r="G320" s="32"/>
      <c r="L320" s="35"/>
      <c r="M320" s="35"/>
      <c r="AL320" s="32"/>
    </row>
    <row r="321">
      <c r="E321" s="32"/>
      <c r="F321" s="32"/>
      <c r="G321" s="32"/>
      <c r="L321" s="35"/>
      <c r="M321" s="35"/>
      <c r="AL321" s="32"/>
    </row>
    <row r="322">
      <c r="E322" s="32"/>
      <c r="F322" s="32"/>
      <c r="G322" s="32"/>
      <c r="L322" s="35"/>
      <c r="M322" s="35"/>
      <c r="AL322" s="32"/>
    </row>
    <row r="323">
      <c r="E323" s="32"/>
      <c r="F323" s="32"/>
      <c r="G323" s="32"/>
      <c r="L323" s="35"/>
      <c r="M323" s="35"/>
      <c r="AL323" s="32"/>
    </row>
    <row r="324">
      <c r="E324" s="32"/>
      <c r="F324" s="32"/>
      <c r="G324" s="32"/>
      <c r="L324" s="35"/>
      <c r="M324" s="35"/>
      <c r="AL324" s="32"/>
    </row>
    <row r="325">
      <c r="E325" s="32"/>
      <c r="F325" s="32"/>
      <c r="G325" s="32"/>
      <c r="L325" s="35"/>
      <c r="M325" s="35"/>
      <c r="AL325" s="32"/>
    </row>
    <row r="326">
      <c r="E326" s="32"/>
      <c r="F326" s="32"/>
      <c r="G326" s="32"/>
      <c r="L326" s="35"/>
      <c r="M326" s="35"/>
      <c r="AL326" s="32"/>
    </row>
    <row r="327">
      <c r="E327" s="32"/>
      <c r="F327" s="32"/>
      <c r="G327" s="32"/>
      <c r="L327" s="35"/>
      <c r="M327" s="35"/>
      <c r="AL327" s="32"/>
    </row>
    <row r="328">
      <c r="E328" s="32"/>
      <c r="F328" s="32"/>
      <c r="G328" s="32"/>
      <c r="L328" s="35"/>
      <c r="M328" s="35"/>
      <c r="AL328" s="32"/>
    </row>
    <row r="329">
      <c r="E329" s="32"/>
      <c r="F329" s="32"/>
      <c r="G329" s="32"/>
      <c r="L329" s="35"/>
      <c r="M329" s="35"/>
      <c r="AL329" s="32"/>
    </row>
    <row r="330">
      <c r="E330" s="32"/>
      <c r="F330" s="32"/>
      <c r="G330" s="32"/>
      <c r="L330" s="35"/>
      <c r="M330" s="35"/>
      <c r="AL330" s="32"/>
    </row>
    <row r="331">
      <c r="E331" s="32"/>
      <c r="F331" s="32"/>
      <c r="G331" s="32"/>
      <c r="L331" s="35"/>
      <c r="M331" s="35"/>
      <c r="AL331" s="32"/>
    </row>
    <row r="332">
      <c r="E332" s="32"/>
      <c r="F332" s="32"/>
      <c r="G332" s="32"/>
      <c r="L332" s="35"/>
      <c r="M332" s="35"/>
      <c r="AL332" s="32"/>
    </row>
    <row r="333">
      <c r="E333" s="32"/>
      <c r="F333" s="32"/>
      <c r="G333" s="32"/>
      <c r="L333" s="35"/>
      <c r="M333" s="35"/>
      <c r="AL333" s="32"/>
    </row>
    <row r="334">
      <c r="E334" s="32"/>
      <c r="F334" s="32"/>
      <c r="G334" s="32"/>
      <c r="L334" s="35"/>
      <c r="M334" s="35"/>
      <c r="AL334" s="32"/>
    </row>
    <row r="335">
      <c r="E335" s="32"/>
      <c r="F335" s="32"/>
      <c r="G335" s="32"/>
      <c r="L335" s="35"/>
      <c r="M335" s="35"/>
      <c r="AL335" s="32"/>
    </row>
    <row r="336">
      <c r="E336" s="32"/>
      <c r="F336" s="32"/>
      <c r="G336" s="32"/>
      <c r="L336" s="35"/>
      <c r="M336" s="35"/>
      <c r="AL336" s="32"/>
    </row>
    <row r="337">
      <c r="E337" s="32"/>
      <c r="F337" s="32"/>
      <c r="G337" s="32"/>
      <c r="L337" s="35"/>
      <c r="M337" s="35"/>
      <c r="AL337" s="32"/>
    </row>
    <row r="338">
      <c r="E338" s="32"/>
      <c r="F338" s="32"/>
      <c r="G338" s="32"/>
      <c r="L338" s="35"/>
      <c r="M338" s="35"/>
      <c r="AL338" s="32"/>
    </row>
    <row r="339">
      <c r="E339" s="32"/>
      <c r="F339" s="32"/>
      <c r="G339" s="32"/>
      <c r="L339" s="35"/>
      <c r="M339" s="35"/>
      <c r="AL339" s="32"/>
    </row>
    <row r="340">
      <c r="E340" s="32"/>
      <c r="F340" s="32"/>
      <c r="G340" s="32"/>
      <c r="L340" s="35"/>
      <c r="M340" s="35"/>
      <c r="AL340" s="32"/>
    </row>
    <row r="341">
      <c r="E341" s="32"/>
      <c r="F341" s="32"/>
      <c r="G341" s="32"/>
      <c r="L341" s="35"/>
      <c r="M341" s="35"/>
      <c r="AL341" s="32"/>
    </row>
    <row r="342">
      <c r="E342" s="32"/>
      <c r="F342" s="32"/>
      <c r="G342" s="32"/>
      <c r="L342" s="35"/>
      <c r="M342" s="35"/>
      <c r="AL342" s="32"/>
    </row>
    <row r="343">
      <c r="E343" s="32"/>
      <c r="F343" s="32"/>
      <c r="G343" s="32"/>
      <c r="L343" s="35"/>
      <c r="M343" s="35"/>
      <c r="AL343" s="32"/>
    </row>
    <row r="344">
      <c r="E344" s="32"/>
      <c r="F344" s="32"/>
      <c r="G344" s="32"/>
      <c r="L344" s="35"/>
      <c r="M344" s="35"/>
      <c r="AL344" s="32"/>
    </row>
    <row r="345">
      <c r="E345" s="32"/>
      <c r="F345" s="32"/>
      <c r="G345" s="32"/>
      <c r="L345" s="35"/>
      <c r="M345" s="35"/>
      <c r="AL345" s="32"/>
    </row>
    <row r="346">
      <c r="E346" s="32"/>
      <c r="F346" s="32"/>
      <c r="G346" s="32"/>
      <c r="L346" s="35"/>
      <c r="M346" s="35"/>
      <c r="AL346" s="32"/>
    </row>
    <row r="347">
      <c r="E347" s="32"/>
      <c r="F347" s="32"/>
      <c r="G347" s="32"/>
      <c r="L347" s="35"/>
      <c r="M347" s="35"/>
      <c r="AL347" s="32"/>
    </row>
    <row r="348">
      <c r="E348" s="32"/>
      <c r="F348" s="32"/>
      <c r="G348" s="32"/>
      <c r="L348" s="35"/>
      <c r="M348" s="35"/>
      <c r="AL348" s="32"/>
    </row>
    <row r="349">
      <c r="E349" s="32"/>
      <c r="F349" s="32"/>
      <c r="G349" s="32"/>
      <c r="L349" s="35"/>
      <c r="M349" s="35"/>
      <c r="AL349" s="32"/>
    </row>
    <row r="350">
      <c r="E350" s="32"/>
      <c r="F350" s="32"/>
      <c r="G350" s="32"/>
      <c r="L350" s="35"/>
      <c r="M350" s="35"/>
      <c r="AL350" s="32"/>
    </row>
    <row r="351">
      <c r="E351" s="32"/>
      <c r="F351" s="32"/>
      <c r="G351" s="32"/>
      <c r="L351" s="35"/>
      <c r="M351" s="35"/>
      <c r="AL351" s="32"/>
    </row>
    <row r="352">
      <c r="E352" s="32"/>
      <c r="F352" s="32"/>
      <c r="G352" s="32"/>
      <c r="L352" s="35"/>
      <c r="M352" s="35"/>
      <c r="AL352" s="32"/>
    </row>
    <row r="353">
      <c r="E353" s="32"/>
      <c r="F353" s="32"/>
      <c r="G353" s="32"/>
      <c r="L353" s="35"/>
      <c r="M353" s="35"/>
      <c r="AL353" s="32"/>
    </row>
    <row r="354">
      <c r="E354" s="32"/>
      <c r="F354" s="32"/>
      <c r="G354" s="32"/>
      <c r="L354" s="35"/>
      <c r="M354" s="35"/>
      <c r="AL354" s="32"/>
    </row>
    <row r="355">
      <c r="E355" s="32"/>
      <c r="F355" s="32"/>
      <c r="G355" s="32"/>
      <c r="L355" s="35"/>
      <c r="M355" s="35"/>
      <c r="AL355" s="32"/>
    </row>
    <row r="356">
      <c r="E356" s="32"/>
      <c r="F356" s="32"/>
      <c r="G356" s="32"/>
      <c r="L356" s="35"/>
      <c r="M356" s="35"/>
      <c r="AL356" s="32"/>
    </row>
    <row r="357">
      <c r="E357" s="32"/>
      <c r="F357" s="32"/>
      <c r="G357" s="32"/>
      <c r="L357" s="35"/>
      <c r="M357" s="35"/>
      <c r="AL357" s="32"/>
    </row>
    <row r="358">
      <c r="E358" s="32"/>
      <c r="F358" s="32"/>
      <c r="G358" s="32"/>
      <c r="L358" s="35"/>
      <c r="M358" s="35"/>
      <c r="AL358" s="32"/>
    </row>
    <row r="359">
      <c r="E359" s="32"/>
      <c r="F359" s="32"/>
      <c r="G359" s="32"/>
      <c r="L359" s="35"/>
      <c r="M359" s="35"/>
      <c r="AL359" s="32"/>
    </row>
    <row r="360">
      <c r="E360" s="32"/>
      <c r="F360" s="32"/>
      <c r="G360" s="32"/>
      <c r="L360" s="35"/>
      <c r="M360" s="35"/>
      <c r="AL360" s="32"/>
    </row>
    <row r="361">
      <c r="E361" s="32"/>
      <c r="F361" s="32"/>
      <c r="G361" s="32"/>
      <c r="L361" s="35"/>
      <c r="M361" s="35"/>
      <c r="AL361" s="32"/>
    </row>
    <row r="362">
      <c r="E362" s="32"/>
      <c r="F362" s="32"/>
      <c r="G362" s="32"/>
      <c r="L362" s="35"/>
      <c r="M362" s="35"/>
      <c r="AL362" s="32"/>
    </row>
    <row r="363">
      <c r="E363" s="32"/>
      <c r="F363" s="32"/>
      <c r="G363" s="32"/>
      <c r="L363" s="35"/>
      <c r="M363" s="35"/>
      <c r="AL363" s="32"/>
    </row>
    <row r="364">
      <c r="E364" s="32"/>
      <c r="F364" s="32"/>
      <c r="G364" s="32"/>
      <c r="L364" s="35"/>
      <c r="M364" s="35"/>
      <c r="AL364" s="32"/>
    </row>
    <row r="365">
      <c r="E365" s="32"/>
      <c r="F365" s="32"/>
      <c r="G365" s="32"/>
      <c r="L365" s="35"/>
      <c r="M365" s="35"/>
      <c r="AL365" s="32"/>
    </row>
    <row r="366">
      <c r="E366" s="32"/>
      <c r="F366" s="32"/>
      <c r="G366" s="32"/>
      <c r="L366" s="35"/>
      <c r="M366" s="35"/>
      <c r="AL366" s="32"/>
    </row>
    <row r="367">
      <c r="E367" s="32"/>
      <c r="F367" s="32"/>
      <c r="G367" s="32"/>
      <c r="L367" s="35"/>
      <c r="M367" s="35"/>
      <c r="AL367" s="32"/>
    </row>
    <row r="368">
      <c r="E368" s="32"/>
      <c r="F368" s="32"/>
      <c r="G368" s="32"/>
      <c r="L368" s="35"/>
      <c r="M368" s="35"/>
      <c r="AL368" s="32"/>
    </row>
    <row r="369">
      <c r="E369" s="32"/>
      <c r="F369" s="32"/>
      <c r="G369" s="32"/>
      <c r="L369" s="35"/>
      <c r="M369" s="35"/>
      <c r="AL369" s="32"/>
    </row>
    <row r="370">
      <c r="E370" s="32"/>
      <c r="F370" s="32"/>
      <c r="G370" s="32"/>
      <c r="L370" s="35"/>
      <c r="M370" s="35"/>
      <c r="AL370" s="32"/>
    </row>
    <row r="371">
      <c r="E371" s="32"/>
      <c r="F371" s="32"/>
      <c r="G371" s="32"/>
      <c r="L371" s="35"/>
      <c r="M371" s="35"/>
      <c r="AL371" s="32"/>
    </row>
    <row r="372">
      <c r="E372" s="32"/>
      <c r="F372" s="32"/>
      <c r="G372" s="32"/>
      <c r="L372" s="35"/>
      <c r="M372" s="35"/>
      <c r="AL372" s="32"/>
    </row>
    <row r="373">
      <c r="E373" s="32"/>
      <c r="F373" s="32"/>
      <c r="G373" s="32"/>
      <c r="L373" s="35"/>
      <c r="M373" s="35"/>
      <c r="AL373" s="32"/>
    </row>
    <row r="374">
      <c r="E374" s="32"/>
      <c r="F374" s="32"/>
      <c r="G374" s="32"/>
      <c r="L374" s="35"/>
      <c r="M374" s="35"/>
      <c r="AL374" s="32"/>
    </row>
    <row r="375">
      <c r="E375" s="32"/>
      <c r="F375" s="32"/>
      <c r="G375" s="32"/>
      <c r="L375" s="35"/>
      <c r="M375" s="35"/>
      <c r="AL375" s="32"/>
    </row>
    <row r="376">
      <c r="E376" s="32"/>
      <c r="F376" s="32"/>
      <c r="G376" s="32"/>
      <c r="L376" s="35"/>
      <c r="M376" s="35"/>
      <c r="AL376" s="32"/>
    </row>
    <row r="377">
      <c r="E377" s="32"/>
      <c r="F377" s="32"/>
      <c r="G377" s="32"/>
      <c r="L377" s="35"/>
      <c r="M377" s="35"/>
      <c r="AL377" s="32"/>
    </row>
    <row r="378">
      <c r="E378" s="32"/>
      <c r="F378" s="32"/>
      <c r="G378" s="32"/>
      <c r="L378" s="35"/>
      <c r="M378" s="35"/>
      <c r="AL378" s="32"/>
    </row>
    <row r="379">
      <c r="E379" s="32"/>
      <c r="F379" s="32"/>
      <c r="G379" s="32"/>
      <c r="L379" s="35"/>
      <c r="M379" s="35"/>
      <c r="AL379" s="32"/>
    </row>
    <row r="380">
      <c r="E380" s="32"/>
      <c r="F380" s="32"/>
      <c r="G380" s="32"/>
      <c r="L380" s="35"/>
      <c r="M380" s="35"/>
      <c r="AL380" s="32"/>
    </row>
    <row r="381">
      <c r="E381" s="32"/>
      <c r="F381" s="32"/>
      <c r="G381" s="32"/>
      <c r="L381" s="35"/>
      <c r="M381" s="35"/>
      <c r="AL381" s="32"/>
    </row>
    <row r="382">
      <c r="E382" s="32"/>
      <c r="F382" s="32"/>
      <c r="G382" s="32"/>
      <c r="L382" s="35"/>
      <c r="M382" s="35"/>
      <c r="AL382" s="32"/>
    </row>
    <row r="383">
      <c r="E383" s="32"/>
      <c r="F383" s="32"/>
      <c r="G383" s="32"/>
      <c r="L383" s="35"/>
      <c r="M383" s="35"/>
      <c r="AL383" s="32"/>
    </row>
    <row r="384">
      <c r="E384" s="32"/>
      <c r="F384" s="32"/>
      <c r="G384" s="32"/>
      <c r="L384" s="35"/>
      <c r="M384" s="35"/>
      <c r="AL384" s="32"/>
    </row>
    <row r="385">
      <c r="E385" s="32"/>
      <c r="F385" s="32"/>
      <c r="G385" s="32"/>
      <c r="L385" s="35"/>
      <c r="M385" s="35"/>
      <c r="AL385" s="32"/>
    </row>
    <row r="386">
      <c r="E386" s="32"/>
      <c r="F386" s="32"/>
      <c r="G386" s="32"/>
      <c r="L386" s="35"/>
      <c r="M386" s="35"/>
      <c r="AL386" s="32"/>
    </row>
    <row r="387">
      <c r="E387" s="32"/>
      <c r="F387" s="32"/>
      <c r="G387" s="32"/>
      <c r="L387" s="35"/>
      <c r="M387" s="35"/>
      <c r="AL387" s="32"/>
    </row>
    <row r="388">
      <c r="E388" s="32"/>
      <c r="F388" s="32"/>
      <c r="G388" s="32"/>
      <c r="L388" s="35"/>
      <c r="M388" s="35"/>
      <c r="AL388" s="32"/>
    </row>
    <row r="389">
      <c r="E389" s="32"/>
      <c r="F389" s="32"/>
      <c r="G389" s="32"/>
      <c r="L389" s="35"/>
      <c r="M389" s="35"/>
      <c r="AL389" s="32"/>
    </row>
    <row r="390">
      <c r="E390" s="32"/>
      <c r="F390" s="32"/>
      <c r="G390" s="32"/>
      <c r="L390" s="35"/>
      <c r="M390" s="35"/>
      <c r="AL390" s="32"/>
    </row>
    <row r="391">
      <c r="E391" s="32"/>
      <c r="F391" s="32"/>
      <c r="G391" s="32"/>
      <c r="L391" s="35"/>
      <c r="M391" s="35"/>
      <c r="AL391" s="32"/>
    </row>
    <row r="392">
      <c r="E392" s="32"/>
      <c r="F392" s="32"/>
      <c r="G392" s="32"/>
      <c r="L392" s="35"/>
      <c r="M392" s="35"/>
      <c r="AL392" s="32"/>
    </row>
    <row r="393">
      <c r="E393" s="32"/>
      <c r="F393" s="32"/>
      <c r="G393" s="32"/>
      <c r="L393" s="35"/>
      <c r="M393" s="35"/>
      <c r="AL393" s="32"/>
    </row>
    <row r="394">
      <c r="E394" s="32"/>
      <c r="F394" s="32"/>
      <c r="G394" s="32"/>
      <c r="L394" s="35"/>
      <c r="M394" s="35"/>
      <c r="AL394" s="32"/>
    </row>
    <row r="395">
      <c r="E395" s="32"/>
      <c r="F395" s="32"/>
      <c r="G395" s="32"/>
      <c r="L395" s="35"/>
      <c r="M395" s="35"/>
      <c r="AL395" s="32"/>
    </row>
    <row r="396">
      <c r="E396" s="32"/>
      <c r="F396" s="32"/>
      <c r="G396" s="32"/>
      <c r="L396" s="35"/>
      <c r="M396" s="35"/>
      <c r="AL396" s="32"/>
    </row>
    <row r="397">
      <c r="E397" s="32"/>
      <c r="F397" s="32"/>
      <c r="G397" s="32"/>
      <c r="L397" s="35"/>
      <c r="M397" s="35"/>
      <c r="AL397" s="32"/>
    </row>
    <row r="398">
      <c r="E398" s="32"/>
      <c r="F398" s="32"/>
      <c r="G398" s="32"/>
      <c r="L398" s="35"/>
      <c r="M398" s="35"/>
      <c r="AL398" s="32"/>
    </row>
    <row r="399">
      <c r="E399" s="32"/>
      <c r="F399" s="32"/>
      <c r="G399" s="32"/>
      <c r="L399" s="35"/>
      <c r="M399" s="35"/>
      <c r="AL399" s="32"/>
    </row>
    <row r="400">
      <c r="E400" s="32"/>
      <c r="F400" s="32"/>
      <c r="G400" s="32"/>
      <c r="L400" s="35"/>
      <c r="M400" s="35"/>
      <c r="AL400" s="32"/>
    </row>
    <row r="401">
      <c r="E401" s="32"/>
      <c r="F401" s="32"/>
      <c r="G401" s="32"/>
      <c r="L401" s="35"/>
      <c r="M401" s="35"/>
      <c r="AL401" s="32"/>
    </row>
    <row r="402">
      <c r="E402" s="32"/>
      <c r="F402" s="32"/>
      <c r="G402" s="32"/>
      <c r="L402" s="35"/>
      <c r="M402" s="35"/>
      <c r="AL402" s="32"/>
    </row>
    <row r="403">
      <c r="E403" s="32"/>
      <c r="F403" s="32"/>
      <c r="G403" s="32"/>
      <c r="L403" s="35"/>
      <c r="M403" s="35"/>
      <c r="AL403" s="32"/>
    </row>
    <row r="404">
      <c r="E404" s="32"/>
      <c r="F404" s="32"/>
      <c r="G404" s="32"/>
      <c r="L404" s="35"/>
      <c r="M404" s="35"/>
      <c r="AL404" s="32"/>
    </row>
    <row r="405">
      <c r="E405" s="32"/>
      <c r="F405" s="32"/>
      <c r="G405" s="32"/>
      <c r="L405" s="35"/>
      <c r="M405" s="35"/>
      <c r="AL405" s="32"/>
    </row>
    <row r="406">
      <c r="E406" s="32"/>
      <c r="F406" s="32"/>
      <c r="G406" s="32"/>
      <c r="L406" s="35"/>
      <c r="M406" s="35"/>
      <c r="AL406" s="32"/>
    </row>
    <row r="407">
      <c r="E407" s="32"/>
      <c r="F407" s="32"/>
      <c r="G407" s="32"/>
      <c r="L407" s="35"/>
      <c r="M407" s="35"/>
      <c r="AL407" s="32"/>
    </row>
    <row r="408">
      <c r="E408" s="32"/>
      <c r="F408" s="32"/>
      <c r="G408" s="32"/>
      <c r="L408" s="35"/>
      <c r="M408" s="35"/>
      <c r="AL408" s="32"/>
    </row>
    <row r="409">
      <c r="E409" s="32"/>
      <c r="F409" s="32"/>
      <c r="G409" s="32"/>
      <c r="L409" s="35"/>
      <c r="M409" s="35"/>
      <c r="AL409" s="32"/>
    </row>
    <row r="410">
      <c r="E410" s="32"/>
      <c r="F410" s="32"/>
      <c r="G410" s="32"/>
      <c r="L410" s="35"/>
      <c r="M410" s="35"/>
      <c r="AL410" s="32"/>
    </row>
    <row r="411">
      <c r="E411" s="32"/>
      <c r="F411" s="32"/>
      <c r="G411" s="32"/>
      <c r="L411" s="35"/>
      <c r="M411" s="35"/>
      <c r="AL411" s="32"/>
    </row>
    <row r="412">
      <c r="E412" s="32"/>
      <c r="F412" s="32"/>
      <c r="G412" s="32"/>
      <c r="L412" s="35"/>
      <c r="M412" s="35"/>
      <c r="AL412" s="32"/>
    </row>
    <row r="413">
      <c r="E413" s="32"/>
      <c r="F413" s="32"/>
      <c r="G413" s="32"/>
      <c r="L413" s="35"/>
      <c r="M413" s="35"/>
      <c r="AL413" s="32"/>
    </row>
    <row r="414">
      <c r="E414" s="32"/>
      <c r="F414" s="32"/>
      <c r="G414" s="32"/>
      <c r="L414" s="35"/>
      <c r="M414" s="35"/>
      <c r="AL414" s="32"/>
    </row>
    <row r="415">
      <c r="E415" s="32"/>
      <c r="F415" s="32"/>
      <c r="G415" s="32"/>
      <c r="L415" s="35"/>
      <c r="M415" s="35"/>
      <c r="AL415" s="32"/>
    </row>
    <row r="416">
      <c r="E416" s="32"/>
      <c r="F416" s="32"/>
      <c r="G416" s="32"/>
      <c r="L416" s="35"/>
      <c r="M416" s="35"/>
      <c r="AL416" s="32"/>
    </row>
    <row r="417">
      <c r="E417" s="32"/>
      <c r="F417" s="32"/>
      <c r="G417" s="32"/>
      <c r="L417" s="35"/>
      <c r="M417" s="35"/>
      <c r="AL417" s="32"/>
    </row>
    <row r="418">
      <c r="E418" s="32"/>
      <c r="F418" s="32"/>
      <c r="G418" s="32"/>
      <c r="L418" s="35"/>
      <c r="M418" s="35"/>
      <c r="AL418" s="32"/>
    </row>
    <row r="419">
      <c r="E419" s="32"/>
      <c r="F419" s="32"/>
      <c r="G419" s="32"/>
      <c r="L419" s="35"/>
      <c r="M419" s="35"/>
      <c r="AL419" s="32"/>
    </row>
    <row r="420">
      <c r="E420" s="32"/>
      <c r="F420" s="32"/>
      <c r="G420" s="32"/>
      <c r="L420" s="35"/>
      <c r="M420" s="35"/>
      <c r="AL420" s="32"/>
    </row>
    <row r="421">
      <c r="E421" s="32"/>
      <c r="F421" s="32"/>
      <c r="G421" s="32"/>
      <c r="L421" s="35"/>
      <c r="M421" s="35"/>
      <c r="AL421" s="32"/>
    </row>
    <row r="422">
      <c r="E422" s="32"/>
      <c r="F422" s="32"/>
      <c r="G422" s="32"/>
      <c r="L422" s="35"/>
      <c r="M422" s="35"/>
      <c r="AL422" s="32"/>
    </row>
    <row r="423">
      <c r="E423" s="32"/>
      <c r="F423" s="32"/>
      <c r="G423" s="32"/>
      <c r="L423" s="35"/>
      <c r="M423" s="35"/>
      <c r="AL423" s="32"/>
    </row>
    <row r="424">
      <c r="E424" s="32"/>
      <c r="F424" s="32"/>
      <c r="G424" s="32"/>
      <c r="L424" s="35"/>
      <c r="M424" s="35"/>
      <c r="AL424" s="32"/>
    </row>
    <row r="425">
      <c r="E425" s="32"/>
      <c r="F425" s="32"/>
      <c r="G425" s="32"/>
      <c r="L425" s="35"/>
      <c r="M425" s="35"/>
      <c r="AL425" s="32"/>
    </row>
    <row r="426">
      <c r="E426" s="32"/>
      <c r="F426" s="32"/>
      <c r="G426" s="32"/>
      <c r="L426" s="35"/>
      <c r="M426" s="35"/>
      <c r="AL426" s="32"/>
    </row>
    <row r="427">
      <c r="E427" s="32"/>
      <c r="F427" s="32"/>
      <c r="G427" s="32"/>
      <c r="L427" s="35"/>
      <c r="M427" s="35"/>
      <c r="AL427" s="32"/>
    </row>
    <row r="428">
      <c r="E428" s="32"/>
      <c r="F428" s="32"/>
      <c r="G428" s="32"/>
      <c r="L428" s="35"/>
      <c r="M428" s="35"/>
      <c r="AL428" s="32"/>
    </row>
    <row r="429">
      <c r="E429" s="32"/>
      <c r="F429" s="32"/>
      <c r="G429" s="32"/>
      <c r="L429" s="35"/>
      <c r="M429" s="35"/>
      <c r="AL429" s="32"/>
    </row>
    <row r="430">
      <c r="E430" s="32"/>
      <c r="F430" s="32"/>
      <c r="G430" s="32"/>
      <c r="L430" s="35"/>
      <c r="M430" s="35"/>
      <c r="AL430" s="32"/>
    </row>
    <row r="431">
      <c r="E431" s="32"/>
      <c r="F431" s="32"/>
      <c r="G431" s="32"/>
      <c r="L431" s="35"/>
      <c r="M431" s="35"/>
      <c r="AL431" s="32"/>
    </row>
    <row r="432">
      <c r="E432" s="32"/>
      <c r="F432" s="32"/>
      <c r="G432" s="32"/>
      <c r="L432" s="35"/>
      <c r="M432" s="35"/>
      <c r="AL432" s="32"/>
    </row>
    <row r="433">
      <c r="E433" s="32"/>
      <c r="F433" s="32"/>
      <c r="G433" s="32"/>
      <c r="L433" s="35"/>
      <c r="M433" s="35"/>
      <c r="AL433" s="32"/>
    </row>
    <row r="434">
      <c r="E434" s="32"/>
      <c r="F434" s="32"/>
      <c r="G434" s="32"/>
      <c r="L434" s="35"/>
      <c r="M434" s="35"/>
      <c r="AL434" s="32"/>
    </row>
    <row r="435">
      <c r="E435" s="32"/>
      <c r="F435" s="32"/>
      <c r="G435" s="32"/>
      <c r="L435" s="35"/>
      <c r="M435" s="35"/>
      <c r="AL435" s="32"/>
    </row>
    <row r="436">
      <c r="E436" s="32"/>
      <c r="F436" s="32"/>
      <c r="G436" s="32"/>
      <c r="L436" s="35"/>
      <c r="M436" s="35"/>
      <c r="AL436" s="32"/>
    </row>
    <row r="437">
      <c r="E437" s="32"/>
      <c r="F437" s="32"/>
      <c r="G437" s="32"/>
      <c r="L437" s="35"/>
      <c r="M437" s="35"/>
      <c r="AL437" s="32"/>
    </row>
    <row r="438">
      <c r="E438" s="32"/>
      <c r="F438" s="32"/>
      <c r="G438" s="32"/>
      <c r="L438" s="35"/>
      <c r="M438" s="35"/>
      <c r="AL438" s="32"/>
    </row>
    <row r="439">
      <c r="E439" s="32"/>
      <c r="F439" s="32"/>
      <c r="G439" s="32"/>
      <c r="L439" s="35"/>
      <c r="M439" s="35"/>
      <c r="AL439" s="32"/>
    </row>
    <row r="440">
      <c r="E440" s="32"/>
      <c r="F440" s="32"/>
      <c r="G440" s="32"/>
      <c r="L440" s="35"/>
      <c r="M440" s="35"/>
      <c r="AL440" s="32"/>
    </row>
    <row r="441">
      <c r="E441" s="32"/>
      <c r="F441" s="32"/>
      <c r="G441" s="32"/>
      <c r="L441" s="35"/>
      <c r="M441" s="35"/>
      <c r="AL441" s="32"/>
    </row>
    <row r="442">
      <c r="E442" s="32"/>
      <c r="F442" s="32"/>
      <c r="G442" s="32"/>
      <c r="L442" s="35"/>
      <c r="M442" s="35"/>
      <c r="AL442" s="32"/>
    </row>
    <row r="443">
      <c r="E443" s="32"/>
      <c r="F443" s="32"/>
      <c r="G443" s="32"/>
      <c r="L443" s="35"/>
      <c r="M443" s="35"/>
      <c r="AL443" s="32"/>
    </row>
    <row r="444">
      <c r="E444" s="32"/>
      <c r="F444" s="32"/>
      <c r="G444" s="32"/>
      <c r="L444" s="35"/>
      <c r="M444" s="35"/>
      <c r="AL444" s="32"/>
    </row>
    <row r="445">
      <c r="E445" s="32"/>
      <c r="F445" s="32"/>
      <c r="G445" s="32"/>
      <c r="L445" s="35"/>
      <c r="M445" s="35"/>
      <c r="AL445" s="32"/>
    </row>
    <row r="446">
      <c r="E446" s="32"/>
      <c r="F446" s="32"/>
      <c r="G446" s="32"/>
      <c r="L446" s="35"/>
      <c r="M446" s="35"/>
      <c r="AL446" s="32"/>
    </row>
    <row r="447">
      <c r="E447" s="32"/>
      <c r="F447" s="32"/>
      <c r="G447" s="32"/>
      <c r="L447" s="35"/>
      <c r="M447" s="35"/>
      <c r="AL447" s="32"/>
    </row>
    <row r="448">
      <c r="E448" s="32"/>
      <c r="F448" s="32"/>
      <c r="G448" s="32"/>
      <c r="L448" s="35"/>
      <c r="M448" s="35"/>
      <c r="AL448" s="32"/>
    </row>
    <row r="449">
      <c r="E449" s="32"/>
      <c r="F449" s="32"/>
      <c r="G449" s="32"/>
      <c r="L449" s="35"/>
      <c r="M449" s="35"/>
      <c r="AL449" s="32"/>
    </row>
    <row r="450">
      <c r="E450" s="32"/>
      <c r="F450" s="32"/>
      <c r="G450" s="32"/>
      <c r="L450" s="35"/>
      <c r="M450" s="35"/>
      <c r="AL450" s="32"/>
    </row>
    <row r="451">
      <c r="E451" s="32"/>
      <c r="F451" s="32"/>
      <c r="G451" s="32"/>
      <c r="L451" s="35"/>
      <c r="M451" s="35"/>
      <c r="AL451" s="32"/>
    </row>
    <row r="452">
      <c r="E452" s="32"/>
      <c r="F452" s="32"/>
      <c r="G452" s="32"/>
      <c r="L452" s="35"/>
      <c r="M452" s="35"/>
      <c r="AL452" s="32"/>
    </row>
    <row r="453">
      <c r="E453" s="32"/>
      <c r="F453" s="32"/>
      <c r="G453" s="32"/>
      <c r="L453" s="35"/>
      <c r="M453" s="35"/>
      <c r="AL453" s="32"/>
    </row>
    <row r="454">
      <c r="E454" s="32"/>
      <c r="F454" s="32"/>
      <c r="G454" s="32"/>
      <c r="L454" s="35"/>
      <c r="M454" s="35"/>
      <c r="AL454" s="32"/>
    </row>
    <row r="455">
      <c r="E455" s="32"/>
      <c r="F455" s="32"/>
      <c r="G455" s="32"/>
      <c r="L455" s="35"/>
      <c r="M455" s="35"/>
      <c r="AL455" s="32"/>
    </row>
    <row r="456">
      <c r="E456" s="32"/>
      <c r="F456" s="32"/>
      <c r="G456" s="32"/>
      <c r="L456" s="35"/>
      <c r="M456" s="35"/>
      <c r="AL456" s="32"/>
    </row>
    <row r="457">
      <c r="E457" s="32"/>
      <c r="F457" s="32"/>
      <c r="G457" s="32"/>
      <c r="L457" s="35"/>
      <c r="M457" s="35"/>
      <c r="AL457" s="32"/>
    </row>
    <row r="458">
      <c r="E458" s="32"/>
      <c r="F458" s="32"/>
      <c r="G458" s="32"/>
      <c r="L458" s="35"/>
      <c r="M458" s="35"/>
      <c r="AL458" s="32"/>
    </row>
    <row r="459">
      <c r="E459" s="32"/>
      <c r="F459" s="32"/>
      <c r="G459" s="32"/>
      <c r="L459" s="35"/>
      <c r="M459" s="35"/>
      <c r="AL459" s="32"/>
    </row>
    <row r="460">
      <c r="E460" s="32"/>
      <c r="F460" s="32"/>
      <c r="G460" s="32"/>
      <c r="L460" s="35"/>
      <c r="M460" s="35"/>
      <c r="AL460" s="32"/>
    </row>
    <row r="461">
      <c r="E461" s="32"/>
      <c r="F461" s="32"/>
      <c r="G461" s="32"/>
      <c r="L461" s="35"/>
      <c r="M461" s="35"/>
      <c r="AL461" s="32"/>
    </row>
    <row r="462">
      <c r="E462" s="32"/>
      <c r="F462" s="32"/>
      <c r="G462" s="32"/>
      <c r="L462" s="35"/>
      <c r="M462" s="35"/>
      <c r="AL462" s="32"/>
    </row>
    <row r="463">
      <c r="E463" s="32"/>
      <c r="F463" s="32"/>
      <c r="G463" s="32"/>
      <c r="L463" s="35"/>
      <c r="M463" s="35"/>
      <c r="AL463" s="32"/>
    </row>
    <row r="464">
      <c r="E464" s="32"/>
      <c r="F464" s="32"/>
      <c r="G464" s="32"/>
      <c r="L464" s="35"/>
      <c r="M464" s="35"/>
      <c r="AL464" s="32"/>
    </row>
    <row r="465">
      <c r="E465" s="32"/>
      <c r="F465" s="32"/>
      <c r="G465" s="32"/>
      <c r="L465" s="35"/>
      <c r="M465" s="35"/>
      <c r="AL465" s="32"/>
    </row>
    <row r="466">
      <c r="E466" s="32"/>
      <c r="F466" s="32"/>
      <c r="G466" s="32"/>
      <c r="L466" s="35"/>
      <c r="M466" s="35"/>
      <c r="AL466" s="32"/>
    </row>
    <row r="467">
      <c r="E467" s="32"/>
      <c r="F467" s="32"/>
      <c r="G467" s="32"/>
      <c r="L467" s="35"/>
      <c r="M467" s="35"/>
      <c r="AL467" s="32"/>
    </row>
    <row r="468">
      <c r="E468" s="32"/>
      <c r="F468" s="32"/>
      <c r="G468" s="32"/>
      <c r="L468" s="35"/>
      <c r="M468" s="35"/>
      <c r="AL468" s="32"/>
    </row>
    <row r="469">
      <c r="E469" s="32"/>
      <c r="F469" s="32"/>
      <c r="G469" s="32"/>
      <c r="L469" s="35"/>
      <c r="M469" s="35"/>
      <c r="AL469" s="32"/>
    </row>
    <row r="470">
      <c r="E470" s="32"/>
      <c r="F470" s="32"/>
      <c r="G470" s="32"/>
      <c r="L470" s="35"/>
      <c r="M470" s="35"/>
      <c r="AL470" s="32"/>
    </row>
    <row r="471">
      <c r="E471" s="32"/>
      <c r="F471" s="32"/>
      <c r="G471" s="32"/>
      <c r="L471" s="35"/>
      <c r="M471" s="35"/>
      <c r="AL471" s="32"/>
    </row>
    <row r="472">
      <c r="E472" s="32"/>
      <c r="F472" s="32"/>
      <c r="G472" s="32"/>
      <c r="L472" s="35"/>
      <c r="M472" s="35"/>
      <c r="AL472" s="32"/>
    </row>
    <row r="473">
      <c r="E473" s="32"/>
      <c r="F473" s="32"/>
      <c r="G473" s="32"/>
      <c r="L473" s="35"/>
      <c r="M473" s="35"/>
      <c r="AL473" s="32"/>
    </row>
    <row r="474">
      <c r="E474" s="32"/>
      <c r="F474" s="32"/>
      <c r="G474" s="32"/>
      <c r="L474" s="35"/>
      <c r="M474" s="35"/>
      <c r="AL474" s="32"/>
    </row>
    <row r="475">
      <c r="E475" s="32"/>
      <c r="F475" s="32"/>
      <c r="G475" s="32"/>
      <c r="L475" s="35"/>
      <c r="M475" s="35"/>
      <c r="AL475" s="32"/>
    </row>
    <row r="476">
      <c r="E476" s="32"/>
      <c r="F476" s="32"/>
      <c r="G476" s="32"/>
      <c r="L476" s="35"/>
      <c r="M476" s="35"/>
      <c r="AL476" s="32"/>
    </row>
    <row r="477">
      <c r="E477" s="32"/>
      <c r="F477" s="32"/>
      <c r="G477" s="32"/>
      <c r="L477" s="35"/>
      <c r="M477" s="35"/>
      <c r="AL477" s="32"/>
    </row>
    <row r="478">
      <c r="E478" s="32"/>
      <c r="F478" s="32"/>
      <c r="G478" s="32"/>
      <c r="L478" s="35"/>
      <c r="M478" s="35"/>
      <c r="AL478" s="32"/>
    </row>
    <row r="479">
      <c r="E479" s="32"/>
      <c r="F479" s="32"/>
      <c r="G479" s="32"/>
      <c r="L479" s="35"/>
      <c r="M479" s="35"/>
      <c r="AL479" s="32"/>
    </row>
    <row r="480">
      <c r="E480" s="32"/>
      <c r="F480" s="32"/>
      <c r="G480" s="32"/>
      <c r="L480" s="35"/>
      <c r="M480" s="35"/>
      <c r="AL480" s="32"/>
    </row>
    <row r="481">
      <c r="E481" s="32"/>
      <c r="F481" s="32"/>
      <c r="G481" s="32"/>
      <c r="L481" s="35"/>
      <c r="M481" s="35"/>
      <c r="AL481" s="32"/>
    </row>
    <row r="482">
      <c r="E482" s="32"/>
      <c r="F482" s="32"/>
      <c r="G482" s="32"/>
      <c r="L482" s="35"/>
      <c r="M482" s="35"/>
      <c r="AL482" s="32"/>
    </row>
    <row r="483">
      <c r="E483" s="32"/>
      <c r="F483" s="32"/>
      <c r="G483" s="32"/>
      <c r="L483" s="35"/>
      <c r="M483" s="35"/>
      <c r="AL483" s="32"/>
    </row>
    <row r="484">
      <c r="E484" s="32"/>
      <c r="F484" s="32"/>
      <c r="G484" s="32"/>
      <c r="L484" s="35"/>
      <c r="M484" s="35"/>
      <c r="AL484" s="32"/>
    </row>
    <row r="485">
      <c r="E485" s="32"/>
      <c r="F485" s="32"/>
      <c r="G485" s="32"/>
      <c r="L485" s="35"/>
      <c r="M485" s="35"/>
      <c r="AL485" s="32"/>
    </row>
    <row r="486">
      <c r="E486" s="32"/>
      <c r="F486" s="32"/>
      <c r="G486" s="32"/>
      <c r="L486" s="35"/>
      <c r="M486" s="35"/>
      <c r="AL486" s="32"/>
    </row>
    <row r="487">
      <c r="E487" s="32"/>
      <c r="F487" s="32"/>
      <c r="G487" s="32"/>
      <c r="L487" s="35"/>
      <c r="M487" s="35"/>
      <c r="AL487" s="32"/>
    </row>
    <row r="488">
      <c r="E488" s="32"/>
      <c r="F488" s="32"/>
      <c r="G488" s="32"/>
      <c r="L488" s="35"/>
      <c r="M488" s="35"/>
      <c r="AL488" s="32"/>
    </row>
    <row r="489">
      <c r="E489" s="32"/>
      <c r="F489" s="32"/>
      <c r="G489" s="32"/>
      <c r="L489" s="35"/>
      <c r="M489" s="35"/>
      <c r="AL489" s="32"/>
    </row>
    <row r="490">
      <c r="E490" s="32"/>
      <c r="F490" s="32"/>
      <c r="G490" s="32"/>
      <c r="L490" s="35"/>
      <c r="M490" s="35"/>
      <c r="AL490" s="32"/>
    </row>
    <row r="491">
      <c r="E491" s="32"/>
      <c r="F491" s="32"/>
      <c r="G491" s="32"/>
      <c r="L491" s="35"/>
      <c r="M491" s="35"/>
      <c r="AL491" s="32"/>
    </row>
    <row r="492">
      <c r="E492" s="32"/>
      <c r="F492" s="32"/>
      <c r="G492" s="32"/>
      <c r="L492" s="35"/>
      <c r="M492" s="35"/>
      <c r="AL492" s="32"/>
    </row>
    <row r="493">
      <c r="E493" s="32"/>
      <c r="F493" s="32"/>
      <c r="G493" s="32"/>
      <c r="L493" s="35"/>
      <c r="M493" s="35"/>
      <c r="AL493" s="32"/>
    </row>
    <row r="494">
      <c r="E494" s="32"/>
      <c r="F494" s="32"/>
      <c r="G494" s="32"/>
      <c r="L494" s="35"/>
      <c r="M494" s="35"/>
      <c r="AL494" s="32"/>
    </row>
    <row r="495">
      <c r="E495" s="32"/>
      <c r="F495" s="32"/>
      <c r="G495" s="32"/>
      <c r="L495" s="35"/>
      <c r="M495" s="35"/>
      <c r="AL495" s="32"/>
    </row>
    <row r="496">
      <c r="E496" s="32"/>
      <c r="F496" s="32"/>
      <c r="G496" s="32"/>
      <c r="L496" s="35"/>
      <c r="M496" s="35"/>
      <c r="AL496" s="32"/>
    </row>
    <row r="497">
      <c r="E497" s="32"/>
      <c r="F497" s="32"/>
      <c r="G497" s="32"/>
      <c r="L497" s="35"/>
      <c r="M497" s="35"/>
      <c r="AL497" s="32"/>
    </row>
    <row r="498">
      <c r="E498" s="32"/>
      <c r="F498" s="32"/>
      <c r="G498" s="32"/>
      <c r="L498" s="35"/>
      <c r="M498" s="35"/>
      <c r="AL498" s="32"/>
    </row>
    <row r="499">
      <c r="E499" s="32"/>
      <c r="F499" s="32"/>
      <c r="G499" s="32"/>
      <c r="L499" s="35"/>
      <c r="M499" s="35"/>
      <c r="AL499" s="32"/>
    </row>
    <row r="500">
      <c r="E500" s="32"/>
      <c r="F500" s="32"/>
      <c r="G500" s="32"/>
      <c r="L500" s="35"/>
      <c r="M500" s="35"/>
      <c r="AL500" s="32"/>
    </row>
    <row r="501">
      <c r="E501" s="32"/>
      <c r="F501" s="32"/>
      <c r="G501" s="32"/>
      <c r="L501" s="35"/>
      <c r="M501" s="35"/>
      <c r="AL501" s="32"/>
    </row>
    <row r="502">
      <c r="E502" s="32"/>
      <c r="F502" s="32"/>
      <c r="G502" s="32"/>
      <c r="L502" s="35"/>
      <c r="M502" s="35"/>
      <c r="AL502" s="32"/>
    </row>
    <row r="503">
      <c r="E503" s="32"/>
      <c r="F503" s="32"/>
      <c r="G503" s="32"/>
      <c r="L503" s="35"/>
      <c r="M503" s="35"/>
      <c r="AL503" s="32"/>
    </row>
    <row r="504">
      <c r="E504" s="32"/>
      <c r="F504" s="32"/>
      <c r="G504" s="32"/>
      <c r="L504" s="35"/>
      <c r="M504" s="35"/>
      <c r="AL504" s="32"/>
    </row>
    <row r="505">
      <c r="E505" s="32"/>
      <c r="F505" s="32"/>
      <c r="G505" s="32"/>
      <c r="L505" s="35"/>
      <c r="M505" s="35"/>
      <c r="AL505" s="32"/>
    </row>
    <row r="506">
      <c r="E506" s="32"/>
      <c r="F506" s="32"/>
      <c r="G506" s="32"/>
      <c r="L506" s="35"/>
      <c r="M506" s="35"/>
      <c r="AL506" s="32"/>
    </row>
    <row r="507">
      <c r="E507" s="32"/>
      <c r="F507" s="32"/>
      <c r="G507" s="32"/>
      <c r="L507" s="35"/>
      <c r="M507" s="35"/>
      <c r="AL507" s="32"/>
    </row>
    <row r="508">
      <c r="E508" s="32"/>
      <c r="F508" s="32"/>
      <c r="G508" s="32"/>
      <c r="L508" s="35"/>
      <c r="M508" s="35"/>
      <c r="AL508" s="32"/>
    </row>
    <row r="509">
      <c r="E509" s="32"/>
      <c r="F509" s="32"/>
      <c r="G509" s="32"/>
      <c r="L509" s="35"/>
      <c r="M509" s="35"/>
      <c r="AL509" s="32"/>
    </row>
    <row r="510">
      <c r="E510" s="32"/>
      <c r="F510" s="32"/>
      <c r="G510" s="32"/>
      <c r="L510" s="35"/>
      <c r="M510" s="35"/>
      <c r="AL510" s="32"/>
    </row>
    <row r="511">
      <c r="E511" s="32"/>
      <c r="F511" s="32"/>
      <c r="G511" s="32"/>
      <c r="L511" s="35"/>
      <c r="M511" s="35"/>
      <c r="AL511" s="32"/>
    </row>
    <row r="512">
      <c r="E512" s="32"/>
      <c r="F512" s="32"/>
      <c r="G512" s="32"/>
      <c r="L512" s="35"/>
      <c r="M512" s="35"/>
      <c r="AL512" s="32"/>
    </row>
    <row r="513">
      <c r="E513" s="32"/>
      <c r="F513" s="32"/>
      <c r="G513" s="32"/>
      <c r="L513" s="35"/>
      <c r="M513" s="35"/>
      <c r="AL513" s="32"/>
    </row>
    <row r="514">
      <c r="E514" s="32"/>
      <c r="F514" s="32"/>
      <c r="G514" s="32"/>
      <c r="L514" s="35"/>
      <c r="M514" s="35"/>
      <c r="AL514" s="32"/>
    </row>
    <row r="515">
      <c r="E515" s="32"/>
      <c r="F515" s="32"/>
      <c r="G515" s="32"/>
      <c r="L515" s="35"/>
      <c r="M515" s="35"/>
      <c r="AL515" s="32"/>
    </row>
    <row r="516">
      <c r="E516" s="32"/>
      <c r="F516" s="32"/>
      <c r="G516" s="32"/>
      <c r="L516" s="35"/>
      <c r="M516" s="35"/>
      <c r="AL516" s="32"/>
    </row>
    <row r="517">
      <c r="E517" s="32"/>
      <c r="F517" s="32"/>
      <c r="G517" s="32"/>
      <c r="L517" s="35"/>
      <c r="M517" s="35"/>
      <c r="AL517" s="32"/>
    </row>
    <row r="518">
      <c r="E518" s="32"/>
      <c r="F518" s="32"/>
      <c r="G518" s="32"/>
      <c r="L518" s="35"/>
      <c r="M518" s="35"/>
      <c r="AL518" s="32"/>
    </row>
    <row r="519">
      <c r="E519" s="32"/>
      <c r="F519" s="32"/>
      <c r="G519" s="32"/>
      <c r="L519" s="35"/>
      <c r="M519" s="35"/>
      <c r="AL519" s="32"/>
    </row>
    <row r="520">
      <c r="E520" s="32"/>
      <c r="F520" s="32"/>
      <c r="G520" s="32"/>
      <c r="L520" s="35"/>
      <c r="M520" s="35"/>
      <c r="AL520" s="32"/>
    </row>
    <row r="521">
      <c r="E521" s="32"/>
      <c r="F521" s="32"/>
      <c r="G521" s="32"/>
      <c r="L521" s="35"/>
      <c r="M521" s="35"/>
      <c r="AL521" s="32"/>
    </row>
    <row r="522">
      <c r="E522" s="32"/>
      <c r="F522" s="32"/>
      <c r="G522" s="32"/>
      <c r="L522" s="35"/>
      <c r="M522" s="35"/>
      <c r="AL522" s="32"/>
    </row>
    <row r="523">
      <c r="E523" s="32"/>
      <c r="F523" s="32"/>
      <c r="G523" s="32"/>
      <c r="L523" s="35"/>
      <c r="M523" s="35"/>
      <c r="AL523" s="32"/>
    </row>
    <row r="524">
      <c r="E524" s="32"/>
      <c r="F524" s="32"/>
      <c r="G524" s="32"/>
      <c r="L524" s="35"/>
      <c r="M524" s="35"/>
      <c r="AL524" s="32"/>
    </row>
    <row r="525">
      <c r="E525" s="32"/>
      <c r="F525" s="32"/>
      <c r="G525" s="32"/>
      <c r="L525" s="35"/>
      <c r="M525" s="35"/>
      <c r="AL525" s="32"/>
    </row>
    <row r="526">
      <c r="E526" s="32"/>
      <c r="F526" s="32"/>
      <c r="G526" s="32"/>
      <c r="L526" s="35"/>
      <c r="M526" s="35"/>
      <c r="AL526" s="32"/>
    </row>
    <row r="527">
      <c r="E527" s="32"/>
      <c r="F527" s="32"/>
      <c r="G527" s="32"/>
      <c r="L527" s="35"/>
      <c r="M527" s="35"/>
      <c r="AL527" s="32"/>
    </row>
    <row r="528">
      <c r="E528" s="32"/>
      <c r="F528" s="32"/>
      <c r="G528" s="32"/>
      <c r="L528" s="35"/>
      <c r="M528" s="35"/>
      <c r="AL528" s="32"/>
    </row>
    <row r="529">
      <c r="E529" s="32"/>
      <c r="F529" s="32"/>
      <c r="G529" s="32"/>
      <c r="L529" s="35"/>
      <c r="M529" s="35"/>
      <c r="AL529" s="32"/>
    </row>
    <row r="530">
      <c r="E530" s="32"/>
      <c r="F530" s="32"/>
      <c r="G530" s="32"/>
      <c r="L530" s="35"/>
      <c r="M530" s="35"/>
      <c r="AL530" s="32"/>
    </row>
    <row r="531">
      <c r="E531" s="32"/>
      <c r="F531" s="32"/>
      <c r="G531" s="32"/>
      <c r="L531" s="35"/>
      <c r="M531" s="35"/>
      <c r="AL531" s="32"/>
    </row>
    <row r="532">
      <c r="E532" s="32"/>
      <c r="F532" s="32"/>
      <c r="G532" s="32"/>
      <c r="L532" s="35"/>
      <c r="M532" s="35"/>
      <c r="AL532" s="32"/>
    </row>
    <row r="533">
      <c r="E533" s="32"/>
      <c r="F533" s="32"/>
      <c r="G533" s="32"/>
      <c r="L533" s="35"/>
      <c r="M533" s="35"/>
      <c r="AL533" s="32"/>
    </row>
    <row r="534">
      <c r="E534" s="32"/>
      <c r="F534" s="32"/>
      <c r="G534" s="32"/>
      <c r="L534" s="35"/>
      <c r="M534" s="35"/>
      <c r="AL534" s="32"/>
    </row>
    <row r="535">
      <c r="E535" s="32"/>
      <c r="F535" s="32"/>
      <c r="G535" s="32"/>
      <c r="L535" s="35"/>
      <c r="M535" s="35"/>
      <c r="AL535" s="32"/>
    </row>
    <row r="536">
      <c r="E536" s="32"/>
      <c r="F536" s="32"/>
      <c r="G536" s="32"/>
      <c r="L536" s="35"/>
      <c r="M536" s="35"/>
      <c r="AL536" s="32"/>
    </row>
    <row r="537">
      <c r="E537" s="32"/>
      <c r="F537" s="32"/>
      <c r="G537" s="32"/>
      <c r="L537" s="35"/>
      <c r="M537" s="35"/>
      <c r="AL537" s="32"/>
    </row>
    <row r="538">
      <c r="E538" s="32"/>
      <c r="F538" s="32"/>
      <c r="G538" s="32"/>
      <c r="L538" s="35"/>
      <c r="M538" s="35"/>
      <c r="AL538" s="32"/>
    </row>
    <row r="539">
      <c r="E539" s="32"/>
      <c r="F539" s="32"/>
      <c r="G539" s="32"/>
      <c r="L539" s="35"/>
      <c r="M539" s="35"/>
      <c r="AL539" s="32"/>
    </row>
    <row r="540">
      <c r="E540" s="32"/>
      <c r="F540" s="32"/>
      <c r="G540" s="32"/>
      <c r="L540" s="35"/>
      <c r="M540" s="35"/>
      <c r="AL540" s="32"/>
    </row>
    <row r="541">
      <c r="E541" s="32"/>
      <c r="F541" s="32"/>
      <c r="G541" s="32"/>
      <c r="L541" s="35"/>
      <c r="M541" s="35"/>
      <c r="AL541" s="32"/>
    </row>
    <row r="542">
      <c r="E542" s="32"/>
      <c r="F542" s="32"/>
      <c r="G542" s="32"/>
      <c r="L542" s="35"/>
      <c r="M542" s="35"/>
      <c r="AL542" s="32"/>
    </row>
    <row r="543">
      <c r="E543" s="32"/>
      <c r="F543" s="32"/>
      <c r="G543" s="32"/>
      <c r="L543" s="35"/>
      <c r="M543" s="35"/>
      <c r="AL543" s="32"/>
    </row>
    <row r="544">
      <c r="E544" s="32"/>
      <c r="F544" s="32"/>
      <c r="G544" s="32"/>
      <c r="L544" s="35"/>
      <c r="M544" s="35"/>
      <c r="AL544" s="32"/>
    </row>
    <row r="545">
      <c r="E545" s="32"/>
      <c r="F545" s="32"/>
      <c r="G545" s="32"/>
      <c r="L545" s="35"/>
      <c r="M545" s="35"/>
      <c r="AL545" s="32"/>
    </row>
    <row r="546">
      <c r="E546" s="32"/>
      <c r="F546" s="32"/>
      <c r="G546" s="32"/>
      <c r="L546" s="35"/>
      <c r="M546" s="35"/>
      <c r="AL546" s="32"/>
    </row>
    <row r="547">
      <c r="E547" s="32"/>
      <c r="F547" s="32"/>
      <c r="G547" s="32"/>
      <c r="L547" s="35"/>
      <c r="M547" s="35"/>
      <c r="AL547" s="32"/>
    </row>
    <row r="548">
      <c r="E548" s="32"/>
      <c r="F548" s="32"/>
      <c r="G548" s="32"/>
      <c r="L548" s="35"/>
      <c r="M548" s="35"/>
      <c r="AL548" s="32"/>
    </row>
    <row r="549">
      <c r="E549" s="32"/>
      <c r="F549" s="32"/>
      <c r="G549" s="32"/>
      <c r="L549" s="35"/>
      <c r="M549" s="35"/>
      <c r="AL549" s="32"/>
    </row>
    <row r="550">
      <c r="E550" s="32"/>
      <c r="F550" s="32"/>
      <c r="G550" s="32"/>
      <c r="L550" s="35"/>
      <c r="M550" s="35"/>
      <c r="AL550" s="32"/>
    </row>
    <row r="551">
      <c r="E551" s="32"/>
      <c r="F551" s="32"/>
      <c r="G551" s="32"/>
      <c r="L551" s="35"/>
      <c r="M551" s="35"/>
      <c r="AL551" s="32"/>
    </row>
    <row r="552">
      <c r="E552" s="32"/>
      <c r="F552" s="32"/>
      <c r="G552" s="32"/>
      <c r="L552" s="35"/>
      <c r="M552" s="35"/>
      <c r="AL552" s="32"/>
    </row>
    <row r="553">
      <c r="E553" s="32"/>
      <c r="F553" s="32"/>
      <c r="G553" s="32"/>
      <c r="L553" s="35"/>
      <c r="M553" s="35"/>
      <c r="AL553" s="32"/>
    </row>
    <row r="554">
      <c r="E554" s="32"/>
      <c r="F554" s="32"/>
      <c r="G554" s="32"/>
      <c r="L554" s="35"/>
      <c r="M554" s="35"/>
      <c r="AL554" s="32"/>
    </row>
    <row r="555">
      <c r="E555" s="32"/>
      <c r="F555" s="32"/>
      <c r="G555" s="32"/>
      <c r="L555" s="35"/>
      <c r="M555" s="35"/>
      <c r="AL555" s="32"/>
    </row>
    <row r="556">
      <c r="E556" s="32"/>
      <c r="F556" s="32"/>
      <c r="G556" s="32"/>
      <c r="L556" s="35"/>
      <c r="M556" s="35"/>
      <c r="AL556" s="32"/>
    </row>
    <row r="557">
      <c r="E557" s="32"/>
      <c r="F557" s="32"/>
      <c r="G557" s="32"/>
      <c r="L557" s="35"/>
      <c r="M557" s="35"/>
      <c r="AL557" s="32"/>
    </row>
    <row r="558">
      <c r="E558" s="32"/>
      <c r="F558" s="32"/>
      <c r="G558" s="32"/>
      <c r="L558" s="35"/>
      <c r="M558" s="35"/>
      <c r="AL558" s="32"/>
    </row>
    <row r="559">
      <c r="E559" s="32"/>
      <c r="F559" s="32"/>
      <c r="G559" s="32"/>
      <c r="L559" s="35"/>
      <c r="M559" s="35"/>
      <c r="AL559" s="32"/>
    </row>
    <row r="560">
      <c r="E560" s="32"/>
      <c r="F560" s="32"/>
      <c r="G560" s="32"/>
      <c r="L560" s="35"/>
      <c r="M560" s="35"/>
      <c r="AL560" s="32"/>
    </row>
    <row r="561">
      <c r="E561" s="32"/>
      <c r="F561" s="32"/>
      <c r="G561" s="32"/>
      <c r="L561" s="35"/>
      <c r="M561" s="35"/>
      <c r="AL561" s="32"/>
    </row>
    <row r="562">
      <c r="E562" s="32"/>
      <c r="F562" s="32"/>
      <c r="G562" s="32"/>
      <c r="L562" s="35"/>
      <c r="M562" s="35"/>
      <c r="AL562" s="32"/>
    </row>
    <row r="563">
      <c r="E563" s="32"/>
      <c r="F563" s="32"/>
      <c r="G563" s="32"/>
      <c r="L563" s="35"/>
      <c r="M563" s="35"/>
      <c r="AL563" s="32"/>
    </row>
    <row r="564">
      <c r="E564" s="32"/>
      <c r="F564" s="32"/>
      <c r="G564" s="32"/>
      <c r="L564" s="35"/>
      <c r="M564" s="35"/>
      <c r="AL564" s="32"/>
    </row>
    <row r="565">
      <c r="E565" s="32"/>
      <c r="F565" s="32"/>
      <c r="G565" s="32"/>
      <c r="L565" s="35"/>
      <c r="M565" s="35"/>
      <c r="AL565" s="32"/>
    </row>
    <row r="566">
      <c r="E566" s="32"/>
      <c r="F566" s="32"/>
      <c r="G566" s="32"/>
      <c r="L566" s="35"/>
      <c r="M566" s="35"/>
      <c r="AL566" s="32"/>
    </row>
    <row r="567">
      <c r="E567" s="32"/>
      <c r="F567" s="32"/>
      <c r="G567" s="32"/>
      <c r="L567" s="35"/>
      <c r="M567" s="35"/>
      <c r="AL567" s="32"/>
    </row>
    <row r="568">
      <c r="E568" s="32"/>
      <c r="F568" s="32"/>
      <c r="G568" s="32"/>
      <c r="L568" s="35"/>
      <c r="M568" s="35"/>
      <c r="AL568" s="32"/>
    </row>
    <row r="569">
      <c r="E569" s="32"/>
      <c r="F569" s="32"/>
      <c r="G569" s="32"/>
      <c r="L569" s="35"/>
      <c r="M569" s="35"/>
      <c r="AL569" s="32"/>
    </row>
    <row r="570">
      <c r="E570" s="32"/>
      <c r="F570" s="32"/>
      <c r="G570" s="32"/>
      <c r="L570" s="35"/>
      <c r="M570" s="35"/>
      <c r="AL570" s="32"/>
    </row>
    <row r="571">
      <c r="E571" s="32"/>
      <c r="F571" s="32"/>
      <c r="G571" s="32"/>
      <c r="L571" s="35"/>
      <c r="M571" s="35"/>
      <c r="AL571" s="32"/>
    </row>
    <row r="572">
      <c r="E572" s="32"/>
      <c r="F572" s="32"/>
      <c r="G572" s="32"/>
      <c r="L572" s="35"/>
      <c r="M572" s="35"/>
      <c r="AL572" s="32"/>
    </row>
    <row r="573">
      <c r="E573" s="32"/>
      <c r="F573" s="32"/>
      <c r="G573" s="32"/>
      <c r="L573" s="35"/>
      <c r="M573" s="35"/>
      <c r="AL573" s="32"/>
    </row>
    <row r="574">
      <c r="E574" s="32"/>
      <c r="F574" s="32"/>
      <c r="G574" s="32"/>
      <c r="L574" s="35"/>
      <c r="M574" s="35"/>
      <c r="AL574" s="32"/>
    </row>
    <row r="575">
      <c r="E575" s="32"/>
      <c r="F575" s="32"/>
      <c r="G575" s="32"/>
      <c r="L575" s="35"/>
      <c r="M575" s="35"/>
      <c r="AL575" s="32"/>
    </row>
    <row r="576">
      <c r="E576" s="32"/>
      <c r="F576" s="32"/>
      <c r="G576" s="32"/>
      <c r="L576" s="35"/>
      <c r="M576" s="35"/>
      <c r="AL576" s="32"/>
    </row>
    <row r="577">
      <c r="E577" s="32"/>
      <c r="F577" s="32"/>
      <c r="G577" s="32"/>
      <c r="L577" s="35"/>
      <c r="M577" s="35"/>
      <c r="AL577" s="32"/>
    </row>
    <row r="578">
      <c r="E578" s="32"/>
      <c r="F578" s="32"/>
      <c r="G578" s="32"/>
      <c r="L578" s="35"/>
      <c r="M578" s="35"/>
      <c r="AL578" s="32"/>
    </row>
    <row r="579">
      <c r="E579" s="32"/>
      <c r="F579" s="32"/>
      <c r="G579" s="32"/>
      <c r="L579" s="35"/>
      <c r="M579" s="35"/>
      <c r="AL579" s="32"/>
    </row>
    <row r="580">
      <c r="E580" s="32"/>
      <c r="F580" s="32"/>
      <c r="G580" s="32"/>
      <c r="L580" s="35"/>
      <c r="M580" s="35"/>
      <c r="AL580" s="32"/>
    </row>
    <row r="581">
      <c r="E581" s="32"/>
      <c r="F581" s="32"/>
      <c r="G581" s="32"/>
      <c r="L581" s="35"/>
      <c r="M581" s="35"/>
      <c r="AL581" s="32"/>
    </row>
    <row r="582">
      <c r="E582" s="32"/>
      <c r="F582" s="32"/>
      <c r="G582" s="32"/>
      <c r="L582" s="35"/>
      <c r="M582" s="35"/>
      <c r="AL582" s="32"/>
    </row>
    <row r="583">
      <c r="E583" s="32"/>
      <c r="F583" s="32"/>
      <c r="G583" s="32"/>
      <c r="L583" s="35"/>
      <c r="M583" s="35"/>
      <c r="AL583" s="32"/>
    </row>
    <row r="584">
      <c r="E584" s="32"/>
      <c r="F584" s="32"/>
      <c r="G584" s="32"/>
      <c r="L584" s="35"/>
      <c r="M584" s="35"/>
      <c r="AL584" s="32"/>
    </row>
    <row r="585">
      <c r="E585" s="32"/>
      <c r="F585" s="32"/>
      <c r="G585" s="32"/>
      <c r="L585" s="35"/>
      <c r="M585" s="35"/>
      <c r="AL585" s="32"/>
    </row>
    <row r="586">
      <c r="E586" s="32"/>
      <c r="F586" s="32"/>
      <c r="G586" s="32"/>
      <c r="L586" s="35"/>
      <c r="M586" s="35"/>
      <c r="AL586" s="32"/>
    </row>
    <row r="587">
      <c r="E587" s="32"/>
      <c r="F587" s="32"/>
      <c r="G587" s="32"/>
      <c r="L587" s="35"/>
      <c r="M587" s="35"/>
      <c r="AL587" s="32"/>
    </row>
    <row r="588">
      <c r="E588" s="32"/>
      <c r="F588" s="32"/>
      <c r="G588" s="32"/>
      <c r="L588" s="35"/>
      <c r="M588" s="35"/>
      <c r="AL588" s="32"/>
    </row>
    <row r="589">
      <c r="E589" s="32"/>
      <c r="F589" s="32"/>
      <c r="G589" s="32"/>
      <c r="L589" s="35"/>
      <c r="M589" s="35"/>
      <c r="AL589" s="32"/>
    </row>
    <row r="590">
      <c r="E590" s="32"/>
      <c r="F590" s="32"/>
      <c r="G590" s="32"/>
      <c r="L590" s="35"/>
      <c r="M590" s="35"/>
      <c r="AL590" s="32"/>
    </row>
    <row r="591">
      <c r="E591" s="32"/>
      <c r="F591" s="32"/>
      <c r="G591" s="32"/>
      <c r="L591" s="35"/>
      <c r="M591" s="35"/>
      <c r="AL591" s="32"/>
    </row>
    <row r="592">
      <c r="E592" s="32"/>
      <c r="F592" s="32"/>
      <c r="G592" s="32"/>
      <c r="L592" s="35"/>
      <c r="M592" s="35"/>
      <c r="AL592" s="32"/>
    </row>
    <row r="593">
      <c r="E593" s="32"/>
      <c r="F593" s="32"/>
      <c r="G593" s="32"/>
      <c r="L593" s="35"/>
      <c r="M593" s="35"/>
      <c r="AL593" s="32"/>
    </row>
    <row r="594">
      <c r="E594" s="32"/>
      <c r="F594" s="32"/>
      <c r="G594" s="32"/>
      <c r="L594" s="35"/>
      <c r="M594" s="35"/>
      <c r="AL594" s="32"/>
    </row>
    <row r="595">
      <c r="E595" s="32"/>
      <c r="F595" s="32"/>
      <c r="G595" s="32"/>
      <c r="L595" s="35"/>
      <c r="M595" s="35"/>
      <c r="AL595" s="32"/>
    </row>
    <row r="596">
      <c r="E596" s="32"/>
      <c r="F596" s="32"/>
      <c r="G596" s="32"/>
      <c r="L596" s="35"/>
      <c r="M596" s="35"/>
      <c r="AL596" s="32"/>
    </row>
    <row r="597">
      <c r="E597" s="32"/>
      <c r="F597" s="32"/>
      <c r="G597" s="32"/>
      <c r="L597" s="35"/>
      <c r="M597" s="35"/>
      <c r="AL597" s="32"/>
    </row>
    <row r="598">
      <c r="E598" s="32"/>
      <c r="F598" s="32"/>
      <c r="G598" s="32"/>
      <c r="L598" s="35"/>
      <c r="M598" s="35"/>
      <c r="AL598" s="32"/>
    </row>
    <row r="599">
      <c r="E599" s="32"/>
      <c r="F599" s="32"/>
      <c r="G599" s="32"/>
      <c r="L599" s="35"/>
      <c r="M599" s="35"/>
      <c r="AL599" s="32"/>
    </row>
    <row r="600">
      <c r="E600" s="32"/>
      <c r="F600" s="32"/>
      <c r="G600" s="32"/>
      <c r="L600" s="35"/>
      <c r="M600" s="35"/>
      <c r="AL600" s="32"/>
    </row>
    <row r="601">
      <c r="E601" s="32"/>
      <c r="F601" s="32"/>
      <c r="G601" s="32"/>
      <c r="L601" s="35"/>
      <c r="M601" s="35"/>
      <c r="AL601" s="32"/>
    </row>
    <row r="602">
      <c r="E602" s="32"/>
      <c r="F602" s="32"/>
      <c r="G602" s="32"/>
      <c r="L602" s="35"/>
      <c r="M602" s="35"/>
      <c r="AL602" s="32"/>
    </row>
    <row r="603">
      <c r="E603" s="32"/>
      <c r="F603" s="32"/>
      <c r="G603" s="32"/>
      <c r="L603" s="35"/>
      <c r="M603" s="35"/>
      <c r="AL603" s="32"/>
    </row>
    <row r="604">
      <c r="E604" s="32"/>
      <c r="F604" s="32"/>
      <c r="G604" s="32"/>
      <c r="L604" s="35"/>
      <c r="M604" s="35"/>
      <c r="AL604" s="32"/>
    </row>
    <row r="605">
      <c r="E605" s="32"/>
      <c r="F605" s="32"/>
      <c r="G605" s="32"/>
      <c r="L605" s="35"/>
      <c r="M605" s="35"/>
      <c r="AL605" s="32"/>
    </row>
    <row r="606">
      <c r="E606" s="32"/>
      <c r="F606" s="32"/>
      <c r="G606" s="32"/>
      <c r="L606" s="35"/>
      <c r="M606" s="35"/>
      <c r="AL606" s="32"/>
    </row>
    <row r="607">
      <c r="E607" s="32"/>
      <c r="F607" s="32"/>
      <c r="G607" s="32"/>
      <c r="L607" s="35"/>
      <c r="M607" s="35"/>
      <c r="AL607" s="32"/>
    </row>
    <row r="608">
      <c r="E608" s="32"/>
      <c r="F608" s="32"/>
      <c r="G608" s="32"/>
      <c r="L608" s="35"/>
      <c r="M608" s="35"/>
      <c r="AL608" s="32"/>
    </row>
    <row r="609">
      <c r="E609" s="32"/>
      <c r="F609" s="32"/>
      <c r="G609" s="32"/>
      <c r="L609" s="35"/>
      <c r="M609" s="35"/>
      <c r="AL609" s="32"/>
    </row>
    <row r="610">
      <c r="E610" s="32"/>
      <c r="F610" s="32"/>
      <c r="G610" s="32"/>
      <c r="L610" s="35"/>
      <c r="M610" s="35"/>
      <c r="AL610" s="32"/>
    </row>
    <row r="611">
      <c r="E611" s="32"/>
      <c r="F611" s="32"/>
      <c r="G611" s="32"/>
      <c r="L611" s="35"/>
      <c r="M611" s="35"/>
      <c r="AL611" s="32"/>
    </row>
    <row r="612">
      <c r="E612" s="32"/>
      <c r="F612" s="32"/>
      <c r="G612" s="32"/>
      <c r="L612" s="35"/>
      <c r="M612" s="35"/>
      <c r="AL612" s="32"/>
    </row>
    <row r="613">
      <c r="E613" s="32"/>
      <c r="F613" s="32"/>
      <c r="G613" s="32"/>
      <c r="L613" s="35"/>
      <c r="M613" s="35"/>
      <c r="AL613" s="32"/>
    </row>
    <row r="614">
      <c r="E614" s="32"/>
      <c r="F614" s="32"/>
      <c r="G614" s="32"/>
      <c r="L614" s="35"/>
      <c r="M614" s="35"/>
      <c r="AL614" s="32"/>
    </row>
    <row r="615">
      <c r="E615" s="32"/>
      <c r="F615" s="32"/>
      <c r="G615" s="32"/>
      <c r="L615" s="35"/>
      <c r="M615" s="35"/>
      <c r="AL615" s="32"/>
    </row>
    <row r="616">
      <c r="E616" s="32"/>
      <c r="F616" s="32"/>
      <c r="G616" s="32"/>
      <c r="L616" s="35"/>
      <c r="M616" s="35"/>
      <c r="AL616" s="32"/>
    </row>
    <row r="617">
      <c r="E617" s="32"/>
      <c r="F617" s="32"/>
      <c r="G617" s="32"/>
      <c r="L617" s="35"/>
      <c r="M617" s="35"/>
      <c r="AL617" s="32"/>
    </row>
    <row r="618">
      <c r="E618" s="32"/>
      <c r="F618" s="32"/>
      <c r="G618" s="32"/>
      <c r="L618" s="35"/>
      <c r="M618" s="35"/>
      <c r="AL618" s="32"/>
    </row>
    <row r="619">
      <c r="E619" s="32"/>
      <c r="F619" s="32"/>
      <c r="G619" s="32"/>
      <c r="L619" s="35"/>
      <c r="M619" s="35"/>
      <c r="AL619" s="32"/>
    </row>
    <row r="620">
      <c r="E620" s="32"/>
      <c r="F620" s="32"/>
      <c r="G620" s="32"/>
      <c r="L620" s="35"/>
      <c r="M620" s="35"/>
      <c r="AL620" s="32"/>
    </row>
    <row r="621">
      <c r="E621" s="32"/>
      <c r="F621" s="32"/>
      <c r="G621" s="32"/>
      <c r="L621" s="35"/>
      <c r="M621" s="35"/>
      <c r="AL621" s="32"/>
    </row>
    <row r="622">
      <c r="E622" s="32"/>
      <c r="F622" s="32"/>
      <c r="G622" s="32"/>
      <c r="L622" s="35"/>
      <c r="M622" s="35"/>
      <c r="AL622" s="32"/>
    </row>
    <row r="623">
      <c r="E623" s="32"/>
      <c r="F623" s="32"/>
      <c r="G623" s="32"/>
      <c r="L623" s="35"/>
      <c r="M623" s="35"/>
      <c r="AL623" s="32"/>
    </row>
    <row r="624">
      <c r="E624" s="32"/>
      <c r="F624" s="32"/>
      <c r="G624" s="32"/>
      <c r="L624" s="35"/>
      <c r="M624" s="35"/>
      <c r="AL624" s="32"/>
    </row>
    <row r="625">
      <c r="E625" s="32"/>
      <c r="F625" s="32"/>
      <c r="G625" s="32"/>
      <c r="L625" s="35"/>
      <c r="M625" s="35"/>
      <c r="AL625" s="32"/>
    </row>
    <row r="626">
      <c r="E626" s="32"/>
      <c r="F626" s="32"/>
      <c r="G626" s="32"/>
      <c r="L626" s="35"/>
      <c r="M626" s="35"/>
      <c r="AL626" s="32"/>
    </row>
    <row r="627">
      <c r="E627" s="32"/>
      <c r="F627" s="32"/>
      <c r="G627" s="32"/>
      <c r="L627" s="35"/>
      <c r="M627" s="35"/>
      <c r="AL627" s="32"/>
    </row>
    <row r="628">
      <c r="E628" s="32"/>
      <c r="F628" s="32"/>
      <c r="G628" s="32"/>
      <c r="L628" s="35"/>
      <c r="M628" s="35"/>
      <c r="AL628" s="32"/>
    </row>
    <row r="629">
      <c r="E629" s="32"/>
      <c r="F629" s="32"/>
      <c r="G629" s="32"/>
      <c r="L629" s="35"/>
      <c r="M629" s="35"/>
      <c r="AL629" s="32"/>
    </row>
    <row r="630">
      <c r="E630" s="32"/>
      <c r="F630" s="32"/>
      <c r="G630" s="32"/>
      <c r="L630" s="35"/>
      <c r="M630" s="35"/>
      <c r="AL630" s="32"/>
    </row>
    <row r="631">
      <c r="E631" s="32"/>
      <c r="F631" s="32"/>
      <c r="G631" s="32"/>
      <c r="L631" s="35"/>
      <c r="M631" s="35"/>
      <c r="AL631" s="32"/>
    </row>
    <row r="632">
      <c r="E632" s="32"/>
      <c r="F632" s="32"/>
      <c r="G632" s="32"/>
      <c r="L632" s="35"/>
      <c r="M632" s="35"/>
      <c r="AL632" s="32"/>
    </row>
    <row r="633">
      <c r="E633" s="32"/>
      <c r="F633" s="32"/>
      <c r="G633" s="32"/>
      <c r="L633" s="35"/>
      <c r="M633" s="35"/>
      <c r="AL633" s="32"/>
    </row>
    <row r="634">
      <c r="E634" s="32"/>
      <c r="F634" s="32"/>
      <c r="G634" s="32"/>
      <c r="L634" s="35"/>
      <c r="M634" s="35"/>
      <c r="AL634" s="32"/>
    </row>
    <row r="635">
      <c r="E635" s="32"/>
      <c r="F635" s="32"/>
      <c r="G635" s="32"/>
      <c r="L635" s="35"/>
      <c r="M635" s="35"/>
      <c r="AL635" s="32"/>
    </row>
    <row r="636">
      <c r="E636" s="32"/>
      <c r="F636" s="32"/>
      <c r="G636" s="32"/>
      <c r="L636" s="35"/>
      <c r="M636" s="35"/>
      <c r="AL636" s="32"/>
    </row>
    <row r="637">
      <c r="E637" s="32"/>
      <c r="F637" s="32"/>
      <c r="G637" s="32"/>
      <c r="L637" s="35"/>
      <c r="M637" s="35"/>
      <c r="AL637" s="32"/>
    </row>
    <row r="638">
      <c r="E638" s="32"/>
      <c r="F638" s="32"/>
      <c r="G638" s="32"/>
      <c r="L638" s="35"/>
      <c r="M638" s="35"/>
      <c r="AL638" s="32"/>
    </row>
    <row r="639">
      <c r="E639" s="32"/>
      <c r="F639" s="32"/>
      <c r="G639" s="32"/>
      <c r="L639" s="35"/>
      <c r="M639" s="35"/>
      <c r="AL639" s="32"/>
    </row>
    <row r="640">
      <c r="E640" s="32"/>
      <c r="F640" s="32"/>
      <c r="G640" s="32"/>
      <c r="L640" s="35"/>
      <c r="M640" s="35"/>
      <c r="AL640" s="32"/>
    </row>
    <row r="641">
      <c r="E641" s="32"/>
      <c r="F641" s="32"/>
      <c r="G641" s="32"/>
      <c r="L641" s="35"/>
      <c r="M641" s="35"/>
      <c r="AL641" s="32"/>
    </row>
    <row r="642">
      <c r="E642" s="32"/>
      <c r="F642" s="32"/>
      <c r="G642" s="32"/>
      <c r="L642" s="35"/>
      <c r="M642" s="35"/>
      <c r="AL642" s="32"/>
    </row>
    <row r="643">
      <c r="E643" s="32"/>
      <c r="F643" s="32"/>
      <c r="G643" s="32"/>
      <c r="L643" s="35"/>
      <c r="M643" s="35"/>
      <c r="AL643" s="32"/>
    </row>
    <row r="644">
      <c r="E644" s="32"/>
      <c r="F644" s="32"/>
      <c r="G644" s="32"/>
      <c r="L644" s="35"/>
      <c r="M644" s="35"/>
      <c r="AL644" s="32"/>
    </row>
    <row r="645">
      <c r="E645" s="32"/>
      <c r="F645" s="32"/>
      <c r="G645" s="32"/>
      <c r="L645" s="35"/>
      <c r="M645" s="35"/>
      <c r="AL645" s="32"/>
    </row>
    <row r="646">
      <c r="E646" s="32"/>
      <c r="F646" s="32"/>
      <c r="G646" s="32"/>
      <c r="L646" s="35"/>
      <c r="M646" s="35"/>
      <c r="AL646" s="32"/>
    </row>
    <row r="647">
      <c r="E647" s="32"/>
      <c r="F647" s="32"/>
      <c r="G647" s="32"/>
      <c r="L647" s="35"/>
      <c r="M647" s="35"/>
      <c r="AL647" s="32"/>
    </row>
    <row r="648">
      <c r="E648" s="32"/>
      <c r="F648" s="32"/>
      <c r="G648" s="32"/>
      <c r="L648" s="35"/>
      <c r="M648" s="35"/>
      <c r="AL648" s="32"/>
    </row>
    <row r="649">
      <c r="E649" s="32"/>
      <c r="F649" s="32"/>
      <c r="G649" s="32"/>
      <c r="L649" s="35"/>
      <c r="M649" s="35"/>
      <c r="AL649" s="32"/>
    </row>
    <row r="650">
      <c r="E650" s="32"/>
      <c r="F650" s="32"/>
      <c r="G650" s="32"/>
      <c r="L650" s="35"/>
      <c r="M650" s="35"/>
      <c r="AL650" s="32"/>
    </row>
    <row r="651">
      <c r="E651" s="32"/>
      <c r="F651" s="32"/>
      <c r="G651" s="32"/>
      <c r="L651" s="35"/>
      <c r="M651" s="35"/>
      <c r="AL651" s="32"/>
    </row>
    <row r="652">
      <c r="E652" s="32"/>
      <c r="F652" s="32"/>
      <c r="G652" s="32"/>
      <c r="L652" s="35"/>
      <c r="M652" s="35"/>
      <c r="AL652" s="32"/>
    </row>
    <row r="653">
      <c r="E653" s="32"/>
      <c r="F653" s="32"/>
      <c r="G653" s="32"/>
      <c r="L653" s="35"/>
      <c r="M653" s="35"/>
      <c r="AL653" s="32"/>
    </row>
    <row r="654">
      <c r="E654" s="32"/>
      <c r="F654" s="32"/>
      <c r="G654" s="32"/>
      <c r="L654" s="35"/>
      <c r="M654" s="35"/>
      <c r="AL654" s="32"/>
    </row>
    <row r="655">
      <c r="E655" s="32"/>
      <c r="F655" s="32"/>
      <c r="G655" s="32"/>
      <c r="L655" s="35"/>
      <c r="M655" s="35"/>
      <c r="AL655" s="32"/>
    </row>
    <row r="656">
      <c r="E656" s="32"/>
      <c r="F656" s="32"/>
      <c r="G656" s="32"/>
      <c r="L656" s="35"/>
      <c r="M656" s="35"/>
      <c r="AL656" s="32"/>
    </row>
    <row r="657">
      <c r="E657" s="32"/>
      <c r="F657" s="32"/>
      <c r="G657" s="32"/>
      <c r="L657" s="35"/>
      <c r="M657" s="35"/>
      <c r="AL657" s="32"/>
    </row>
    <row r="658">
      <c r="E658" s="32"/>
      <c r="F658" s="32"/>
      <c r="G658" s="32"/>
      <c r="L658" s="35"/>
      <c r="M658" s="35"/>
      <c r="AL658" s="32"/>
    </row>
    <row r="659">
      <c r="E659" s="32"/>
      <c r="F659" s="32"/>
      <c r="G659" s="32"/>
      <c r="L659" s="35"/>
      <c r="M659" s="35"/>
      <c r="AL659" s="32"/>
    </row>
    <row r="660">
      <c r="E660" s="32"/>
      <c r="F660" s="32"/>
      <c r="G660" s="32"/>
      <c r="L660" s="35"/>
      <c r="M660" s="35"/>
      <c r="AL660" s="32"/>
    </row>
    <row r="661">
      <c r="E661" s="32"/>
      <c r="F661" s="32"/>
      <c r="G661" s="32"/>
      <c r="L661" s="35"/>
      <c r="M661" s="35"/>
      <c r="AL661" s="32"/>
    </row>
    <row r="662">
      <c r="E662" s="32"/>
      <c r="F662" s="32"/>
      <c r="G662" s="32"/>
      <c r="L662" s="35"/>
      <c r="M662" s="35"/>
      <c r="AL662" s="32"/>
    </row>
    <row r="663">
      <c r="E663" s="32"/>
      <c r="F663" s="32"/>
      <c r="G663" s="32"/>
      <c r="L663" s="35"/>
      <c r="M663" s="35"/>
      <c r="AL663" s="32"/>
    </row>
    <row r="664">
      <c r="E664" s="32"/>
      <c r="F664" s="32"/>
      <c r="G664" s="32"/>
      <c r="L664" s="35"/>
      <c r="M664" s="35"/>
      <c r="AL664" s="32"/>
    </row>
    <row r="665">
      <c r="E665" s="32"/>
      <c r="F665" s="32"/>
      <c r="G665" s="32"/>
      <c r="L665" s="35"/>
      <c r="M665" s="35"/>
      <c r="AL665" s="32"/>
    </row>
    <row r="666">
      <c r="E666" s="32"/>
      <c r="F666" s="32"/>
      <c r="G666" s="32"/>
      <c r="L666" s="35"/>
      <c r="M666" s="35"/>
      <c r="AL666" s="32"/>
    </row>
    <row r="667">
      <c r="E667" s="32"/>
      <c r="F667" s="32"/>
      <c r="G667" s="32"/>
      <c r="L667" s="35"/>
      <c r="M667" s="35"/>
      <c r="AL667" s="32"/>
    </row>
    <row r="668">
      <c r="E668" s="32"/>
      <c r="F668" s="32"/>
      <c r="G668" s="32"/>
      <c r="L668" s="35"/>
      <c r="M668" s="35"/>
      <c r="AL668" s="32"/>
    </row>
    <row r="669">
      <c r="E669" s="32"/>
      <c r="F669" s="32"/>
      <c r="G669" s="32"/>
      <c r="L669" s="35"/>
      <c r="M669" s="35"/>
      <c r="AL669" s="32"/>
    </row>
    <row r="670">
      <c r="E670" s="32"/>
      <c r="F670" s="32"/>
      <c r="G670" s="32"/>
      <c r="L670" s="35"/>
      <c r="M670" s="35"/>
      <c r="AL670" s="32"/>
    </row>
    <row r="671">
      <c r="E671" s="32"/>
      <c r="F671" s="32"/>
      <c r="G671" s="32"/>
      <c r="L671" s="35"/>
      <c r="M671" s="35"/>
      <c r="AL671" s="32"/>
    </row>
    <row r="672">
      <c r="E672" s="32"/>
      <c r="F672" s="32"/>
      <c r="G672" s="32"/>
      <c r="L672" s="35"/>
      <c r="M672" s="35"/>
      <c r="AL672" s="32"/>
    </row>
    <row r="673">
      <c r="E673" s="32"/>
      <c r="F673" s="32"/>
      <c r="G673" s="32"/>
      <c r="L673" s="35"/>
      <c r="M673" s="35"/>
      <c r="AL673" s="32"/>
    </row>
    <row r="674">
      <c r="E674" s="32"/>
      <c r="F674" s="32"/>
      <c r="G674" s="32"/>
      <c r="L674" s="35"/>
      <c r="M674" s="35"/>
      <c r="AL674" s="32"/>
    </row>
    <row r="675">
      <c r="E675" s="32"/>
      <c r="F675" s="32"/>
      <c r="G675" s="32"/>
      <c r="L675" s="35"/>
      <c r="M675" s="35"/>
      <c r="AL675" s="32"/>
    </row>
    <row r="676">
      <c r="E676" s="32"/>
      <c r="F676" s="32"/>
      <c r="G676" s="32"/>
      <c r="L676" s="35"/>
      <c r="M676" s="35"/>
      <c r="AL676" s="32"/>
    </row>
    <row r="677">
      <c r="E677" s="32"/>
      <c r="F677" s="32"/>
      <c r="G677" s="32"/>
      <c r="L677" s="35"/>
      <c r="M677" s="35"/>
      <c r="AL677" s="32"/>
    </row>
    <row r="678">
      <c r="E678" s="32"/>
      <c r="F678" s="32"/>
      <c r="G678" s="32"/>
      <c r="L678" s="35"/>
      <c r="M678" s="35"/>
      <c r="AL678" s="32"/>
    </row>
    <row r="679">
      <c r="E679" s="32"/>
      <c r="F679" s="32"/>
      <c r="G679" s="32"/>
      <c r="L679" s="35"/>
      <c r="M679" s="35"/>
      <c r="AL679" s="32"/>
    </row>
    <row r="680">
      <c r="E680" s="32"/>
      <c r="F680" s="32"/>
      <c r="G680" s="32"/>
      <c r="L680" s="35"/>
      <c r="M680" s="35"/>
      <c r="AL680" s="32"/>
    </row>
    <row r="681">
      <c r="E681" s="32"/>
      <c r="F681" s="32"/>
      <c r="G681" s="32"/>
      <c r="L681" s="35"/>
      <c r="M681" s="35"/>
      <c r="AL681" s="32"/>
    </row>
    <row r="682">
      <c r="E682" s="32"/>
      <c r="F682" s="32"/>
      <c r="G682" s="32"/>
      <c r="L682" s="35"/>
      <c r="M682" s="35"/>
      <c r="AL682" s="32"/>
    </row>
    <row r="683">
      <c r="E683" s="32"/>
      <c r="F683" s="32"/>
      <c r="G683" s="32"/>
      <c r="L683" s="35"/>
      <c r="M683" s="35"/>
      <c r="AL683" s="32"/>
    </row>
    <row r="684">
      <c r="E684" s="32"/>
      <c r="F684" s="32"/>
      <c r="G684" s="32"/>
      <c r="L684" s="35"/>
      <c r="M684" s="35"/>
      <c r="AL684" s="32"/>
    </row>
    <row r="685">
      <c r="E685" s="32"/>
      <c r="F685" s="32"/>
      <c r="G685" s="32"/>
      <c r="L685" s="35"/>
      <c r="M685" s="35"/>
      <c r="AL685" s="32"/>
    </row>
    <row r="686">
      <c r="E686" s="32"/>
      <c r="F686" s="32"/>
      <c r="G686" s="32"/>
      <c r="L686" s="35"/>
      <c r="M686" s="35"/>
      <c r="AL686" s="32"/>
    </row>
    <row r="687">
      <c r="E687" s="32"/>
      <c r="F687" s="32"/>
      <c r="G687" s="32"/>
      <c r="L687" s="35"/>
      <c r="M687" s="35"/>
      <c r="AL687" s="32"/>
    </row>
    <row r="688">
      <c r="E688" s="32"/>
      <c r="F688" s="32"/>
      <c r="G688" s="32"/>
      <c r="L688" s="35"/>
      <c r="M688" s="35"/>
      <c r="AL688" s="32"/>
    </row>
    <row r="689">
      <c r="E689" s="32"/>
      <c r="F689" s="32"/>
      <c r="G689" s="32"/>
      <c r="L689" s="35"/>
      <c r="M689" s="35"/>
      <c r="AL689" s="32"/>
    </row>
    <row r="690">
      <c r="E690" s="32"/>
      <c r="F690" s="32"/>
      <c r="G690" s="32"/>
      <c r="L690" s="35"/>
      <c r="M690" s="35"/>
      <c r="AL690" s="32"/>
    </row>
    <row r="691">
      <c r="E691" s="32"/>
      <c r="F691" s="32"/>
      <c r="G691" s="32"/>
      <c r="L691" s="35"/>
      <c r="M691" s="35"/>
      <c r="AL691" s="32"/>
    </row>
    <row r="692">
      <c r="E692" s="32"/>
      <c r="F692" s="32"/>
      <c r="G692" s="32"/>
      <c r="L692" s="35"/>
      <c r="M692" s="35"/>
      <c r="AL692" s="32"/>
    </row>
    <row r="693">
      <c r="E693" s="32"/>
      <c r="F693" s="32"/>
      <c r="G693" s="32"/>
      <c r="L693" s="35"/>
      <c r="M693" s="35"/>
      <c r="AL693" s="32"/>
    </row>
    <row r="694">
      <c r="E694" s="32"/>
      <c r="F694" s="32"/>
      <c r="G694" s="32"/>
      <c r="L694" s="35"/>
      <c r="M694" s="35"/>
      <c r="AL694" s="32"/>
    </row>
    <row r="695">
      <c r="E695" s="32"/>
      <c r="F695" s="32"/>
      <c r="G695" s="32"/>
      <c r="L695" s="35"/>
      <c r="M695" s="35"/>
      <c r="AL695" s="32"/>
    </row>
    <row r="696">
      <c r="E696" s="32"/>
      <c r="F696" s="32"/>
      <c r="G696" s="32"/>
      <c r="L696" s="35"/>
      <c r="M696" s="35"/>
      <c r="AL696" s="32"/>
    </row>
    <row r="697">
      <c r="E697" s="32"/>
      <c r="F697" s="32"/>
      <c r="G697" s="32"/>
      <c r="L697" s="35"/>
      <c r="M697" s="35"/>
      <c r="AL697" s="32"/>
    </row>
    <row r="698">
      <c r="E698" s="32"/>
      <c r="F698" s="32"/>
      <c r="G698" s="32"/>
      <c r="L698" s="35"/>
      <c r="M698" s="35"/>
      <c r="AL698" s="32"/>
    </row>
    <row r="699">
      <c r="E699" s="32"/>
      <c r="F699" s="32"/>
      <c r="G699" s="32"/>
      <c r="L699" s="35"/>
      <c r="M699" s="35"/>
      <c r="AL699" s="32"/>
    </row>
    <row r="700">
      <c r="E700" s="32"/>
      <c r="F700" s="32"/>
      <c r="G700" s="32"/>
      <c r="L700" s="35"/>
      <c r="M700" s="35"/>
      <c r="AL700" s="32"/>
    </row>
    <row r="701">
      <c r="E701" s="32"/>
      <c r="F701" s="32"/>
      <c r="G701" s="32"/>
      <c r="L701" s="35"/>
      <c r="M701" s="35"/>
      <c r="AL701" s="32"/>
    </row>
    <row r="702">
      <c r="E702" s="32"/>
      <c r="F702" s="32"/>
      <c r="G702" s="32"/>
      <c r="L702" s="35"/>
      <c r="M702" s="35"/>
      <c r="AL702" s="32"/>
    </row>
    <row r="703">
      <c r="E703" s="32"/>
      <c r="F703" s="32"/>
      <c r="G703" s="32"/>
      <c r="L703" s="35"/>
      <c r="M703" s="35"/>
      <c r="AL703" s="32"/>
    </row>
    <row r="704">
      <c r="E704" s="32"/>
      <c r="F704" s="32"/>
      <c r="G704" s="32"/>
      <c r="L704" s="35"/>
      <c r="M704" s="35"/>
      <c r="AL704" s="32"/>
    </row>
    <row r="705">
      <c r="E705" s="32"/>
      <c r="F705" s="32"/>
      <c r="G705" s="32"/>
      <c r="L705" s="35"/>
      <c r="M705" s="35"/>
      <c r="AL705" s="32"/>
    </row>
    <row r="706">
      <c r="E706" s="32"/>
      <c r="F706" s="32"/>
      <c r="G706" s="32"/>
      <c r="L706" s="35"/>
      <c r="M706" s="35"/>
      <c r="AL706" s="32"/>
    </row>
    <row r="707">
      <c r="E707" s="32"/>
      <c r="F707" s="32"/>
      <c r="G707" s="32"/>
      <c r="L707" s="35"/>
      <c r="M707" s="35"/>
      <c r="AL707" s="32"/>
    </row>
    <row r="708">
      <c r="E708" s="32"/>
      <c r="F708" s="32"/>
      <c r="G708" s="32"/>
      <c r="L708" s="35"/>
      <c r="M708" s="35"/>
      <c r="AL708" s="32"/>
    </row>
    <row r="709">
      <c r="E709" s="32"/>
      <c r="F709" s="32"/>
      <c r="G709" s="32"/>
      <c r="L709" s="35"/>
      <c r="M709" s="35"/>
      <c r="AL709" s="32"/>
    </row>
    <row r="710">
      <c r="E710" s="32"/>
      <c r="F710" s="32"/>
      <c r="G710" s="32"/>
      <c r="L710" s="35"/>
      <c r="M710" s="35"/>
      <c r="AL710" s="32"/>
    </row>
    <row r="711">
      <c r="E711" s="32"/>
      <c r="F711" s="32"/>
      <c r="G711" s="32"/>
      <c r="L711" s="35"/>
      <c r="M711" s="35"/>
      <c r="AL711" s="32"/>
    </row>
    <row r="712">
      <c r="E712" s="32"/>
      <c r="F712" s="32"/>
      <c r="G712" s="32"/>
      <c r="L712" s="35"/>
      <c r="M712" s="35"/>
      <c r="AL712" s="32"/>
    </row>
    <row r="713">
      <c r="E713" s="32"/>
      <c r="F713" s="32"/>
      <c r="G713" s="32"/>
      <c r="L713" s="35"/>
      <c r="M713" s="35"/>
      <c r="AL713" s="32"/>
    </row>
    <row r="714">
      <c r="E714" s="32"/>
      <c r="F714" s="32"/>
      <c r="G714" s="32"/>
      <c r="L714" s="35"/>
      <c r="M714" s="35"/>
      <c r="AL714" s="32"/>
    </row>
    <row r="715">
      <c r="E715" s="32"/>
      <c r="F715" s="32"/>
      <c r="G715" s="32"/>
      <c r="L715" s="35"/>
      <c r="M715" s="35"/>
      <c r="AL715" s="32"/>
    </row>
    <row r="716">
      <c r="E716" s="32"/>
      <c r="F716" s="32"/>
      <c r="G716" s="32"/>
      <c r="L716" s="35"/>
      <c r="M716" s="35"/>
      <c r="AL716" s="32"/>
    </row>
    <row r="717">
      <c r="E717" s="32"/>
      <c r="F717" s="32"/>
      <c r="G717" s="32"/>
      <c r="L717" s="35"/>
      <c r="M717" s="35"/>
      <c r="AL717" s="32"/>
    </row>
    <row r="718">
      <c r="E718" s="32"/>
      <c r="F718" s="32"/>
      <c r="G718" s="32"/>
      <c r="L718" s="35"/>
      <c r="M718" s="35"/>
      <c r="AL718" s="32"/>
    </row>
    <row r="719">
      <c r="E719" s="32"/>
      <c r="F719" s="32"/>
      <c r="G719" s="32"/>
      <c r="L719" s="35"/>
      <c r="M719" s="35"/>
      <c r="AL719" s="32"/>
    </row>
    <row r="720">
      <c r="E720" s="32"/>
      <c r="F720" s="32"/>
      <c r="G720" s="32"/>
      <c r="L720" s="35"/>
      <c r="M720" s="35"/>
      <c r="AL720" s="32"/>
    </row>
    <row r="721">
      <c r="E721" s="32"/>
      <c r="F721" s="32"/>
      <c r="G721" s="32"/>
      <c r="L721" s="35"/>
      <c r="M721" s="35"/>
      <c r="AL721" s="32"/>
    </row>
    <row r="722">
      <c r="E722" s="32"/>
      <c r="F722" s="32"/>
      <c r="G722" s="32"/>
      <c r="L722" s="35"/>
      <c r="M722" s="35"/>
      <c r="AL722" s="32"/>
    </row>
    <row r="723">
      <c r="E723" s="32"/>
      <c r="F723" s="32"/>
      <c r="G723" s="32"/>
      <c r="L723" s="35"/>
      <c r="M723" s="35"/>
      <c r="AL723" s="32"/>
    </row>
    <row r="724">
      <c r="E724" s="32"/>
      <c r="F724" s="32"/>
      <c r="G724" s="32"/>
      <c r="L724" s="35"/>
      <c r="M724" s="35"/>
      <c r="AL724" s="32"/>
    </row>
    <row r="725">
      <c r="E725" s="32"/>
      <c r="F725" s="32"/>
      <c r="G725" s="32"/>
      <c r="L725" s="35"/>
      <c r="M725" s="35"/>
      <c r="AL725" s="32"/>
    </row>
    <row r="726">
      <c r="E726" s="32"/>
      <c r="F726" s="32"/>
      <c r="G726" s="32"/>
      <c r="L726" s="35"/>
      <c r="M726" s="35"/>
      <c r="AL726" s="32"/>
    </row>
    <row r="727">
      <c r="E727" s="32"/>
      <c r="F727" s="32"/>
      <c r="G727" s="32"/>
      <c r="L727" s="35"/>
      <c r="M727" s="35"/>
      <c r="AL727" s="32"/>
    </row>
    <row r="728">
      <c r="E728" s="32"/>
      <c r="F728" s="32"/>
      <c r="G728" s="32"/>
      <c r="L728" s="35"/>
      <c r="M728" s="35"/>
      <c r="AL728" s="32"/>
    </row>
    <row r="729">
      <c r="E729" s="32"/>
      <c r="F729" s="32"/>
      <c r="G729" s="32"/>
      <c r="L729" s="35"/>
      <c r="M729" s="35"/>
      <c r="AL729" s="32"/>
    </row>
    <row r="730">
      <c r="E730" s="32"/>
      <c r="F730" s="32"/>
      <c r="G730" s="32"/>
      <c r="L730" s="35"/>
      <c r="M730" s="35"/>
      <c r="AL730" s="32"/>
    </row>
    <row r="731">
      <c r="E731" s="32"/>
      <c r="F731" s="32"/>
      <c r="G731" s="32"/>
      <c r="L731" s="35"/>
      <c r="M731" s="35"/>
      <c r="AL731" s="32"/>
    </row>
    <row r="732">
      <c r="E732" s="32"/>
      <c r="F732" s="32"/>
      <c r="G732" s="32"/>
      <c r="L732" s="35"/>
      <c r="M732" s="35"/>
      <c r="AL732" s="32"/>
    </row>
    <row r="733">
      <c r="E733" s="32"/>
      <c r="F733" s="32"/>
      <c r="G733" s="32"/>
      <c r="L733" s="35"/>
      <c r="M733" s="35"/>
      <c r="AL733" s="32"/>
    </row>
    <row r="734">
      <c r="E734" s="32"/>
      <c r="F734" s="32"/>
      <c r="G734" s="32"/>
      <c r="L734" s="35"/>
      <c r="M734" s="35"/>
      <c r="AL734" s="32"/>
    </row>
    <row r="735">
      <c r="E735" s="32"/>
      <c r="F735" s="32"/>
      <c r="G735" s="32"/>
      <c r="L735" s="35"/>
      <c r="M735" s="35"/>
      <c r="AL735" s="32"/>
    </row>
    <row r="736">
      <c r="E736" s="32"/>
      <c r="F736" s="32"/>
      <c r="G736" s="32"/>
      <c r="L736" s="35"/>
      <c r="M736" s="35"/>
      <c r="AL736" s="32"/>
    </row>
    <row r="737">
      <c r="E737" s="32"/>
      <c r="F737" s="32"/>
      <c r="G737" s="32"/>
      <c r="L737" s="35"/>
      <c r="M737" s="35"/>
      <c r="AL737" s="32"/>
    </row>
    <row r="738">
      <c r="E738" s="32"/>
      <c r="F738" s="32"/>
      <c r="G738" s="32"/>
      <c r="L738" s="35"/>
      <c r="M738" s="35"/>
      <c r="AL738" s="32"/>
    </row>
    <row r="739">
      <c r="E739" s="32"/>
      <c r="F739" s="32"/>
      <c r="G739" s="32"/>
      <c r="L739" s="35"/>
      <c r="M739" s="35"/>
      <c r="AL739" s="32"/>
    </row>
    <row r="740">
      <c r="E740" s="32"/>
      <c r="F740" s="32"/>
      <c r="G740" s="32"/>
      <c r="L740" s="35"/>
      <c r="M740" s="35"/>
      <c r="AL740" s="32"/>
    </row>
    <row r="741">
      <c r="E741" s="32"/>
      <c r="F741" s="32"/>
      <c r="G741" s="32"/>
      <c r="L741" s="35"/>
      <c r="M741" s="35"/>
      <c r="AL741" s="32"/>
    </row>
    <row r="742">
      <c r="E742" s="32"/>
      <c r="F742" s="32"/>
      <c r="G742" s="32"/>
      <c r="L742" s="35"/>
      <c r="M742" s="35"/>
      <c r="AL742" s="32"/>
    </row>
    <row r="743">
      <c r="E743" s="32"/>
      <c r="F743" s="32"/>
      <c r="G743" s="32"/>
      <c r="L743" s="35"/>
      <c r="M743" s="35"/>
      <c r="AL743" s="32"/>
    </row>
    <row r="744">
      <c r="E744" s="32"/>
      <c r="F744" s="32"/>
      <c r="G744" s="32"/>
      <c r="L744" s="35"/>
      <c r="M744" s="35"/>
      <c r="AL744" s="32"/>
    </row>
    <row r="745">
      <c r="E745" s="32"/>
      <c r="F745" s="32"/>
      <c r="G745" s="32"/>
      <c r="L745" s="35"/>
      <c r="M745" s="35"/>
      <c r="AL745" s="32"/>
    </row>
    <row r="746">
      <c r="E746" s="32"/>
      <c r="F746" s="32"/>
      <c r="G746" s="32"/>
      <c r="L746" s="35"/>
      <c r="M746" s="35"/>
      <c r="AL746" s="32"/>
    </row>
    <row r="747">
      <c r="E747" s="32"/>
      <c r="F747" s="32"/>
      <c r="G747" s="32"/>
      <c r="L747" s="35"/>
      <c r="M747" s="35"/>
      <c r="AL747" s="32"/>
    </row>
    <row r="748">
      <c r="E748" s="32"/>
      <c r="F748" s="32"/>
      <c r="G748" s="32"/>
      <c r="L748" s="35"/>
      <c r="M748" s="35"/>
      <c r="AL748" s="32"/>
    </row>
    <row r="749">
      <c r="E749" s="32"/>
      <c r="F749" s="32"/>
      <c r="G749" s="32"/>
      <c r="L749" s="35"/>
      <c r="M749" s="35"/>
      <c r="AL749" s="32"/>
    </row>
    <row r="750">
      <c r="E750" s="32"/>
      <c r="F750" s="32"/>
      <c r="G750" s="32"/>
      <c r="L750" s="35"/>
      <c r="M750" s="35"/>
      <c r="AL750" s="32"/>
    </row>
    <row r="751">
      <c r="E751" s="32"/>
      <c r="F751" s="32"/>
      <c r="G751" s="32"/>
      <c r="L751" s="35"/>
      <c r="M751" s="35"/>
      <c r="AL751" s="32"/>
    </row>
    <row r="752">
      <c r="E752" s="32"/>
      <c r="F752" s="32"/>
      <c r="G752" s="32"/>
      <c r="L752" s="35"/>
      <c r="M752" s="35"/>
      <c r="AL752" s="32"/>
    </row>
    <row r="753">
      <c r="E753" s="32"/>
      <c r="F753" s="32"/>
      <c r="G753" s="32"/>
      <c r="L753" s="35"/>
      <c r="M753" s="35"/>
      <c r="AL753" s="32"/>
    </row>
    <row r="754">
      <c r="E754" s="32"/>
      <c r="F754" s="32"/>
      <c r="G754" s="32"/>
      <c r="L754" s="35"/>
      <c r="M754" s="35"/>
      <c r="AL754" s="32"/>
    </row>
    <row r="755">
      <c r="E755" s="32"/>
      <c r="F755" s="32"/>
      <c r="G755" s="32"/>
      <c r="L755" s="35"/>
      <c r="M755" s="35"/>
      <c r="AL755" s="32"/>
    </row>
    <row r="756">
      <c r="E756" s="32"/>
      <c r="F756" s="32"/>
      <c r="G756" s="32"/>
      <c r="L756" s="35"/>
      <c r="M756" s="35"/>
      <c r="AL756" s="32"/>
    </row>
    <row r="757">
      <c r="E757" s="32"/>
      <c r="F757" s="32"/>
      <c r="G757" s="32"/>
      <c r="L757" s="35"/>
      <c r="M757" s="35"/>
      <c r="AL757" s="32"/>
    </row>
    <row r="758">
      <c r="E758" s="32"/>
      <c r="F758" s="32"/>
      <c r="G758" s="32"/>
      <c r="L758" s="35"/>
      <c r="M758" s="35"/>
      <c r="AL758" s="32"/>
    </row>
    <row r="759">
      <c r="E759" s="32"/>
      <c r="F759" s="32"/>
      <c r="G759" s="32"/>
      <c r="L759" s="35"/>
      <c r="M759" s="35"/>
      <c r="AL759" s="32"/>
    </row>
    <row r="760">
      <c r="E760" s="32"/>
      <c r="F760" s="32"/>
      <c r="G760" s="32"/>
      <c r="L760" s="35"/>
      <c r="M760" s="35"/>
      <c r="AL760" s="32"/>
    </row>
    <row r="761">
      <c r="E761" s="32"/>
      <c r="F761" s="32"/>
      <c r="G761" s="32"/>
      <c r="L761" s="35"/>
      <c r="M761" s="35"/>
      <c r="AL761" s="32"/>
    </row>
    <row r="762">
      <c r="E762" s="32"/>
      <c r="F762" s="32"/>
      <c r="G762" s="32"/>
      <c r="L762" s="35"/>
      <c r="M762" s="35"/>
      <c r="AL762" s="32"/>
    </row>
    <row r="763">
      <c r="E763" s="32"/>
      <c r="F763" s="32"/>
      <c r="G763" s="32"/>
      <c r="L763" s="35"/>
      <c r="M763" s="35"/>
      <c r="AL763" s="32"/>
    </row>
    <row r="764">
      <c r="E764" s="32"/>
      <c r="F764" s="32"/>
      <c r="G764" s="32"/>
      <c r="L764" s="35"/>
      <c r="M764" s="35"/>
      <c r="AL764" s="32"/>
    </row>
    <row r="765">
      <c r="E765" s="32"/>
      <c r="F765" s="32"/>
      <c r="G765" s="32"/>
      <c r="L765" s="35"/>
      <c r="M765" s="35"/>
      <c r="AL765" s="32"/>
    </row>
    <row r="766">
      <c r="E766" s="32"/>
      <c r="F766" s="32"/>
      <c r="G766" s="32"/>
      <c r="L766" s="35"/>
      <c r="M766" s="35"/>
      <c r="AL766" s="32"/>
    </row>
    <row r="767">
      <c r="E767" s="32"/>
      <c r="F767" s="32"/>
      <c r="G767" s="32"/>
      <c r="L767" s="35"/>
      <c r="M767" s="35"/>
      <c r="AL767" s="32"/>
    </row>
    <row r="768">
      <c r="E768" s="32"/>
      <c r="F768" s="32"/>
      <c r="G768" s="32"/>
      <c r="L768" s="35"/>
      <c r="M768" s="35"/>
      <c r="AL768" s="32"/>
    </row>
    <row r="769">
      <c r="E769" s="32"/>
      <c r="F769" s="32"/>
      <c r="G769" s="32"/>
      <c r="L769" s="35"/>
      <c r="M769" s="35"/>
      <c r="AL769" s="32"/>
    </row>
    <row r="770">
      <c r="E770" s="32"/>
      <c r="F770" s="32"/>
      <c r="G770" s="32"/>
      <c r="L770" s="35"/>
      <c r="M770" s="35"/>
      <c r="AL770" s="32"/>
    </row>
    <row r="771">
      <c r="E771" s="32"/>
      <c r="F771" s="32"/>
      <c r="G771" s="32"/>
      <c r="L771" s="35"/>
      <c r="M771" s="35"/>
      <c r="AL771" s="32"/>
    </row>
    <row r="772">
      <c r="E772" s="32"/>
      <c r="F772" s="32"/>
      <c r="G772" s="32"/>
      <c r="L772" s="35"/>
      <c r="M772" s="35"/>
      <c r="AL772" s="32"/>
    </row>
    <row r="773">
      <c r="E773" s="32"/>
      <c r="F773" s="32"/>
      <c r="G773" s="32"/>
      <c r="L773" s="35"/>
      <c r="M773" s="35"/>
      <c r="AL773" s="32"/>
    </row>
    <row r="774">
      <c r="E774" s="32"/>
      <c r="F774" s="32"/>
      <c r="G774" s="32"/>
      <c r="L774" s="35"/>
      <c r="M774" s="35"/>
      <c r="AL774" s="32"/>
    </row>
    <row r="775">
      <c r="E775" s="32"/>
      <c r="F775" s="32"/>
      <c r="G775" s="32"/>
      <c r="L775" s="35"/>
      <c r="M775" s="35"/>
      <c r="AL775" s="32"/>
    </row>
    <row r="776">
      <c r="E776" s="32"/>
      <c r="F776" s="32"/>
      <c r="G776" s="32"/>
      <c r="L776" s="35"/>
      <c r="M776" s="35"/>
      <c r="AL776" s="32"/>
    </row>
    <row r="777">
      <c r="E777" s="32"/>
      <c r="F777" s="32"/>
      <c r="G777" s="32"/>
      <c r="L777" s="35"/>
      <c r="M777" s="35"/>
      <c r="AL777" s="32"/>
    </row>
    <row r="778">
      <c r="E778" s="32"/>
      <c r="F778" s="32"/>
      <c r="G778" s="32"/>
      <c r="L778" s="35"/>
      <c r="M778" s="35"/>
      <c r="AL778" s="32"/>
    </row>
    <row r="779">
      <c r="E779" s="32"/>
      <c r="F779" s="32"/>
      <c r="G779" s="32"/>
      <c r="L779" s="35"/>
      <c r="M779" s="35"/>
      <c r="AL779" s="32"/>
    </row>
    <row r="780">
      <c r="E780" s="32"/>
      <c r="F780" s="32"/>
      <c r="G780" s="32"/>
      <c r="L780" s="35"/>
      <c r="M780" s="35"/>
      <c r="AL780" s="32"/>
    </row>
    <row r="781">
      <c r="E781" s="32"/>
      <c r="F781" s="32"/>
      <c r="G781" s="32"/>
      <c r="L781" s="35"/>
      <c r="M781" s="35"/>
      <c r="AL781" s="32"/>
    </row>
    <row r="782">
      <c r="E782" s="32"/>
      <c r="F782" s="32"/>
      <c r="G782" s="32"/>
      <c r="L782" s="35"/>
      <c r="M782" s="35"/>
      <c r="AL782" s="32"/>
    </row>
    <row r="783">
      <c r="E783" s="32"/>
      <c r="F783" s="32"/>
      <c r="G783" s="32"/>
      <c r="L783" s="35"/>
      <c r="M783" s="35"/>
      <c r="AL783" s="32"/>
    </row>
    <row r="784">
      <c r="E784" s="32"/>
      <c r="F784" s="32"/>
      <c r="G784" s="32"/>
      <c r="L784" s="35"/>
      <c r="M784" s="35"/>
      <c r="AL784" s="32"/>
    </row>
    <row r="785">
      <c r="E785" s="32"/>
      <c r="F785" s="32"/>
      <c r="G785" s="32"/>
      <c r="L785" s="35"/>
      <c r="M785" s="35"/>
      <c r="AL785" s="32"/>
    </row>
    <row r="786">
      <c r="E786" s="32"/>
      <c r="F786" s="32"/>
      <c r="G786" s="32"/>
      <c r="L786" s="35"/>
      <c r="M786" s="35"/>
      <c r="AL786" s="32"/>
    </row>
    <row r="787">
      <c r="E787" s="32"/>
      <c r="F787" s="32"/>
      <c r="G787" s="32"/>
      <c r="L787" s="35"/>
      <c r="M787" s="35"/>
      <c r="AL787" s="32"/>
    </row>
    <row r="788">
      <c r="E788" s="32"/>
      <c r="F788" s="32"/>
      <c r="G788" s="32"/>
      <c r="L788" s="35"/>
      <c r="M788" s="35"/>
      <c r="AL788" s="32"/>
    </row>
    <row r="789">
      <c r="E789" s="32"/>
      <c r="F789" s="32"/>
      <c r="G789" s="32"/>
      <c r="L789" s="35"/>
      <c r="M789" s="35"/>
      <c r="AL789" s="32"/>
    </row>
    <row r="790">
      <c r="E790" s="32"/>
      <c r="F790" s="32"/>
      <c r="G790" s="32"/>
      <c r="L790" s="35"/>
      <c r="M790" s="35"/>
      <c r="AL790" s="32"/>
    </row>
    <row r="791">
      <c r="E791" s="32"/>
      <c r="F791" s="32"/>
      <c r="G791" s="32"/>
      <c r="L791" s="35"/>
      <c r="M791" s="35"/>
      <c r="AL791" s="32"/>
    </row>
    <row r="792">
      <c r="E792" s="32"/>
      <c r="F792" s="32"/>
      <c r="G792" s="32"/>
      <c r="L792" s="35"/>
      <c r="M792" s="35"/>
      <c r="AL792" s="32"/>
    </row>
    <row r="793">
      <c r="E793" s="32"/>
      <c r="F793" s="32"/>
      <c r="G793" s="32"/>
      <c r="L793" s="35"/>
      <c r="M793" s="35"/>
      <c r="AL793" s="32"/>
    </row>
    <row r="794">
      <c r="E794" s="32"/>
      <c r="F794" s="32"/>
      <c r="G794" s="32"/>
      <c r="L794" s="35"/>
      <c r="M794" s="35"/>
      <c r="AL794" s="32"/>
    </row>
    <row r="795">
      <c r="E795" s="32"/>
      <c r="F795" s="32"/>
      <c r="G795" s="32"/>
      <c r="L795" s="35"/>
      <c r="M795" s="35"/>
      <c r="AL795" s="32"/>
    </row>
    <row r="796">
      <c r="E796" s="32"/>
      <c r="F796" s="32"/>
      <c r="G796" s="32"/>
      <c r="L796" s="35"/>
      <c r="M796" s="35"/>
      <c r="AL796" s="32"/>
    </row>
    <row r="797">
      <c r="E797" s="32"/>
      <c r="F797" s="32"/>
      <c r="G797" s="32"/>
      <c r="L797" s="35"/>
      <c r="M797" s="35"/>
      <c r="AL797" s="32"/>
    </row>
    <row r="798">
      <c r="E798" s="32"/>
      <c r="F798" s="32"/>
      <c r="G798" s="32"/>
      <c r="L798" s="35"/>
      <c r="M798" s="35"/>
      <c r="AL798" s="32"/>
    </row>
    <row r="799">
      <c r="E799" s="32"/>
      <c r="F799" s="32"/>
      <c r="G799" s="32"/>
      <c r="L799" s="35"/>
      <c r="M799" s="35"/>
      <c r="AL799" s="32"/>
    </row>
    <row r="800">
      <c r="E800" s="32"/>
      <c r="F800" s="32"/>
      <c r="G800" s="32"/>
      <c r="L800" s="35"/>
      <c r="M800" s="35"/>
      <c r="AL800" s="32"/>
    </row>
    <row r="801">
      <c r="E801" s="32"/>
      <c r="F801" s="32"/>
      <c r="G801" s="32"/>
      <c r="L801" s="35"/>
      <c r="M801" s="35"/>
      <c r="AL801" s="32"/>
    </row>
    <row r="802">
      <c r="E802" s="32"/>
      <c r="F802" s="32"/>
      <c r="G802" s="32"/>
      <c r="L802" s="35"/>
      <c r="M802" s="35"/>
      <c r="AL802" s="32"/>
    </row>
    <row r="803">
      <c r="E803" s="32"/>
      <c r="F803" s="32"/>
      <c r="G803" s="32"/>
      <c r="L803" s="35"/>
      <c r="M803" s="35"/>
      <c r="AL803" s="32"/>
    </row>
    <row r="804">
      <c r="E804" s="32"/>
      <c r="F804" s="32"/>
      <c r="G804" s="32"/>
      <c r="L804" s="35"/>
      <c r="M804" s="35"/>
      <c r="AL804" s="32"/>
    </row>
    <row r="805">
      <c r="E805" s="32"/>
      <c r="F805" s="32"/>
      <c r="G805" s="32"/>
      <c r="L805" s="35"/>
      <c r="M805" s="35"/>
      <c r="AL805" s="32"/>
    </row>
    <row r="806">
      <c r="E806" s="32"/>
      <c r="F806" s="32"/>
      <c r="G806" s="32"/>
      <c r="L806" s="35"/>
      <c r="M806" s="35"/>
      <c r="AL806" s="32"/>
    </row>
    <row r="807">
      <c r="E807" s="32"/>
      <c r="F807" s="32"/>
      <c r="G807" s="32"/>
      <c r="L807" s="35"/>
      <c r="M807" s="35"/>
      <c r="AL807" s="32"/>
    </row>
    <row r="808">
      <c r="E808" s="32"/>
      <c r="F808" s="32"/>
      <c r="G808" s="32"/>
      <c r="L808" s="35"/>
      <c r="M808" s="35"/>
      <c r="AL808" s="32"/>
    </row>
    <row r="809">
      <c r="E809" s="32"/>
      <c r="F809" s="32"/>
      <c r="G809" s="32"/>
      <c r="L809" s="35"/>
      <c r="M809" s="35"/>
      <c r="AL809" s="32"/>
    </row>
    <row r="810">
      <c r="E810" s="32"/>
      <c r="F810" s="32"/>
      <c r="G810" s="32"/>
      <c r="L810" s="35"/>
      <c r="M810" s="35"/>
      <c r="AL810" s="32"/>
    </row>
    <row r="811">
      <c r="E811" s="32"/>
      <c r="F811" s="32"/>
      <c r="G811" s="32"/>
      <c r="L811" s="35"/>
      <c r="M811" s="35"/>
      <c r="AL811" s="32"/>
    </row>
    <row r="812">
      <c r="E812" s="32"/>
      <c r="F812" s="32"/>
      <c r="G812" s="32"/>
      <c r="L812" s="35"/>
      <c r="M812" s="35"/>
      <c r="AL812" s="32"/>
    </row>
    <row r="813">
      <c r="E813" s="32"/>
      <c r="F813" s="32"/>
      <c r="G813" s="32"/>
      <c r="L813" s="35"/>
      <c r="M813" s="35"/>
      <c r="AL813" s="32"/>
    </row>
    <row r="814">
      <c r="E814" s="32"/>
      <c r="F814" s="32"/>
      <c r="G814" s="32"/>
      <c r="L814" s="35"/>
      <c r="M814" s="35"/>
      <c r="AL814" s="32"/>
    </row>
    <row r="815">
      <c r="E815" s="32"/>
      <c r="F815" s="32"/>
      <c r="G815" s="32"/>
      <c r="L815" s="35"/>
      <c r="M815" s="35"/>
      <c r="AL815" s="32"/>
    </row>
    <row r="816">
      <c r="E816" s="32"/>
      <c r="F816" s="32"/>
      <c r="G816" s="32"/>
      <c r="L816" s="35"/>
      <c r="M816" s="35"/>
      <c r="AL816" s="32"/>
    </row>
    <row r="817">
      <c r="E817" s="32"/>
      <c r="F817" s="32"/>
      <c r="G817" s="32"/>
      <c r="L817" s="35"/>
      <c r="M817" s="35"/>
      <c r="AL817" s="32"/>
    </row>
    <row r="818">
      <c r="E818" s="32"/>
      <c r="F818" s="32"/>
      <c r="G818" s="32"/>
      <c r="L818" s="35"/>
      <c r="M818" s="35"/>
      <c r="AL818" s="32"/>
    </row>
    <row r="819">
      <c r="E819" s="32"/>
      <c r="F819" s="32"/>
      <c r="G819" s="32"/>
      <c r="L819" s="35"/>
      <c r="M819" s="35"/>
      <c r="AL819" s="32"/>
    </row>
    <row r="820">
      <c r="E820" s="32"/>
      <c r="F820" s="32"/>
      <c r="G820" s="32"/>
      <c r="L820" s="35"/>
      <c r="M820" s="35"/>
      <c r="AL820" s="32"/>
    </row>
    <row r="821">
      <c r="E821" s="32"/>
      <c r="F821" s="32"/>
      <c r="G821" s="32"/>
      <c r="L821" s="35"/>
      <c r="M821" s="35"/>
      <c r="AL821" s="32"/>
    </row>
    <row r="822">
      <c r="E822" s="32"/>
      <c r="F822" s="32"/>
      <c r="G822" s="32"/>
      <c r="L822" s="35"/>
      <c r="M822" s="35"/>
      <c r="AL822" s="32"/>
    </row>
    <row r="823">
      <c r="E823" s="32"/>
      <c r="F823" s="32"/>
      <c r="G823" s="32"/>
      <c r="L823" s="35"/>
      <c r="M823" s="35"/>
      <c r="AL823" s="32"/>
    </row>
    <row r="824">
      <c r="E824" s="32"/>
      <c r="F824" s="32"/>
      <c r="G824" s="32"/>
      <c r="L824" s="35"/>
      <c r="M824" s="35"/>
      <c r="AL824" s="32"/>
    </row>
    <row r="825">
      <c r="E825" s="32"/>
      <c r="F825" s="32"/>
      <c r="G825" s="32"/>
      <c r="L825" s="35"/>
      <c r="M825" s="35"/>
      <c r="AL825" s="32"/>
    </row>
    <row r="826">
      <c r="E826" s="32"/>
      <c r="F826" s="32"/>
      <c r="G826" s="32"/>
      <c r="L826" s="35"/>
      <c r="M826" s="35"/>
      <c r="AL826" s="32"/>
    </row>
    <row r="827">
      <c r="E827" s="32"/>
      <c r="F827" s="32"/>
      <c r="G827" s="32"/>
      <c r="L827" s="35"/>
      <c r="M827" s="35"/>
      <c r="AL827" s="32"/>
    </row>
    <row r="828">
      <c r="E828" s="32"/>
      <c r="F828" s="32"/>
      <c r="G828" s="32"/>
      <c r="L828" s="35"/>
      <c r="M828" s="35"/>
      <c r="AL828" s="32"/>
    </row>
    <row r="829">
      <c r="E829" s="32"/>
      <c r="F829" s="32"/>
      <c r="G829" s="32"/>
      <c r="L829" s="35"/>
      <c r="M829" s="35"/>
      <c r="AL829" s="32"/>
    </row>
    <row r="830">
      <c r="E830" s="32"/>
      <c r="F830" s="32"/>
      <c r="G830" s="32"/>
      <c r="L830" s="35"/>
      <c r="M830" s="35"/>
      <c r="AL830" s="32"/>
    </row>
    <row r="831">
      <c r="E831" s="32"/>
      <c r="F831" s="32"/>
      <c r="G831" s="32"/>
      <c r="L831" s="35"/>
      <c r="M831" s="35"/>
      <c r="AL831" s="32"/>
    </row>
    <row r="832">
      <c r="E832" s="32"/>
      <c r="F832" s="32"/>
      <c r="G832" s="32"/>
      <c r="L832" s="35"/>
      <c r="M832" s="35"/>
      <c r="AL832" s="32"/>
    </row>
    <row r="833">
      <c r="E833" s="32"/>
      <c r="F833" s="32"/>
      <c r="G833" s="32"/>
      <c r="L833" s="35"/>
      <c r="M833" s="35"/>
      <c r="AL833" s="32"/>
    </row>
    <row r="834">
      <c r="E834" s="32"/>
      <c r="F834" s="32"/>
      <c r="G834" s="32"/>
      <c r="L834" s="35"/>
      <c r="M834" s="35"/>
      <c r="AL834" s="32"/>
    </row>
    <row r="835">
      <c r="E835" s="32"/>
      <c r="F835" s="32"/>
      <c r="G835" s="32"/>
      <c r="L835" s="35"/>
      <c r="M835" s="35"/>
      <c r="AL835" s="32"/>
    </row>
    <row r="836">
      <c r="E836" s="32"/>
      <c r="F836" s="32"/>
      <c r="G836" s="32"/>
      <c r="L836" s="35"/>
      <c r="M836" s="35"/>
      <c r="AL836" s="32"/>
    </row>
    <row r="837">
      <c r="E837" s="32"/>
      <c r="F837" s="32"/>
      <c r="G837" s="32"/>
      <c r="L837" s="35"/>
      <c r="M837" s="35"/>
      <c r="AL837" s="32"/>
    </row>
    <row r="838">
      <c r="E838" s="32"/>
      <c r="F838" s="32"/>
      <c r="G838" s="32"/>
      <c r="L838" s="35"/>
      <c r="M838" s="35"/>
      <c r="AL838" s="32"/>
    </row>
    <row r="839">
      <c r="E839" s="32"/>
      <c r="F839" s="32"/>
      <c r="G839" s="32"/>
      <c r="L839" s="35"/>
      <c r="M839" s="35"/>
      <c r="AL839" s="32"/>
    </row>
    <row r="840">
      <c r="E840" s="32"/>
      <c r="F840" s="32"/>
      <c r="G840" s="32"/>
      <c r="L840" s="35"/>
      <c r="M840" s="35"/>
      <c r="AL840" s="32"/>
    </row>
    <row r="841">
      <c r="E841" s="32"/>
      <c r="F841" s="32"/>
      <c r="G841" s="32"/>
      <c r="L841" s="35"/>
      <c r="M841" s="35"/>
      <c r="AL841" s="32"/>
    </row>
    <row r="842">
      <c r="E842" s="32"/>
      <c r="F842" s="32"/>
      <c r="G842" s="32"/>
      <c r="L842" s="35"/>
      <c r="M842" s="35"/>
      <c r="AL842" s="32"/>
    </row>
    <row r="843">
      <c r="E843" s="32"/>
      <c r="F843" s="32"/>
      <c r="G843" s="32"/>
      <c r="L843" s="35"/>
      <c r="M843" s="35"/>
      <c r="AL843" s="32"/>
    </row>
    <row r="844">
      <c r="E844" s="32"/>
      <c r="F844" s="32"/>
      <c r="G844" s="32"/>
      <c r="L844" s="35"/>
      <c r="M844" s="35"/>
      <c r="AL844" s="32"/>
    </row>
    <row r="845">
      <c r="E845" s="32"/>
      <c r="F845" s="32"/>
      <c r="G845" s="32"/>
      <c r="L845" s="35"/>
      <c r="M845" s="35"/>
      <c r="AL845" s="32"/>
    </row>
    <row r="846">
      <c r="E846" s="32"/>
      <c r="F846" s="32"/>
      <c r="G846" s="32"/>
      <c r="L846" s="35"/>
      <c r="M846" s="35"/>
      <c r="AL846" s="32"/>
    </row>
    <row r="847">
      <c r="E847" s="32"/>
      <c r="F847" s="32"/>
      <c r="G847" s="32"/>
      <c r="L847" s="35"/>
      <c r="M847" s="35"/>
      <c r="AL847" s="32"/>
    </row>
    <row r="848">
      <c r="E848" s="32"/>
      <c r="F848" s="32"/>
      <c r="G848" s="32"/>
      <c r="L848" s="35"/>
      <c r="M848" s="35"/>
      <c r="AL848" s="32"/>
    </row>
    <row r="849">
      <c r="E849" s="32"/>
      <c r="F849" s="32"/>
      <c r="G849" s="32"/>
      <c r="L849" s="35"/>
      <c r="M849" s="35"/>
      <c r="AL849" s="32"/>
    </row>
    <row r="850">
      <c r="E850" s="32"/>
      <c r="F850" s="32"/>
      <c r="G850" s="32"/>
      <c r="L850" s="35"/>
      <c r="M850" s="35"/>
      <c r="AL850" s="32"/>
    </row>
    <row r="851">
      <c r="E851" s="32"/>
      <c r="F851" s="32"/>
      <c r="G851" s="32"/>
      <c r="L851" s="35"/>
      <c r="M851" s="35"/>
      <c r="AL851" s="32"/>
    </row>
    <row r="852">
      <c r="E852" s="32"/>
      <c r="F852" s="32"/>
      <c r="G852" s="32"/>
      <c r="L852" s="35"/>
      <c r="M852" s="35"/>
      <c r="AL852" s="32"/>
    </row>
    <row r="853">
      <c r="E853" s="32"/>
      <c r="F853" s="32"/>
      <c r="G853" s="32"/>
      <c r="L853" s="35"/>
      <c r="M853" s="35"/>
      <c r="AL853" s="32"/>
    </row>
    <row r="854">
      <c r="E854" s="32"/>
      <c r="F854" s="32"/>
      <c r="G854" s="32"/>
      <c r="L854" s="35"/>
      <c r="M854" s="35"/>
      <c r="AL854" s="32"/>
    </row>
    <row r="855">
      <c r="E855" s="32"/>
      <c r="F855" s="32"/>
      <c r="G855" s="32"/>
      <c r="L855" s="35"/>
      <c r="M855" s="35"/>
      <c r="AL855" s="32"/>
    </row>
    <row r="856">
      <c r="E856" s="32"/>
      <c r="F856" s="32"/>
      <c r="G856" s="32"/>
      <c r="L856" s="35"/>
      <c r="M856" s="35"/>
      <c r="AL856" s="32"/>
    </row>
    <row r="857">
      <c r="E857" s="32"/>
      <c r="F857" s="32"/>
      <c r="G857" s="32"/>
      <c r="L857" s="35"/>
      <c r="M857" s="35"/>
      <c r="AL857" s="32"/>
    </row>
    <row r="858">
      <c r="E858" s="32"/>
      <c r="F858" s="32"/>
      <c r="G858" s="32"/>
      <c r="L858" s="35"/>
      <c r="M858" s="35"/>
      <c r="AL858" s="32"/>
    </row>
    <row r="859">
      <c r="E859" s="32"/>
      <c r="F859" s="32"/>
      <c r="G859" s="32"/>
      <c r="L859" s="35"/>
      <c r="M859" s="35"/>
      <c r="AL859" s="32"/>
    </row>
    <row r="860">
      <c r="E860" s="32"/>
      <c r="F860" s="32"/>
      <c r="G860" s="32"/>
      <c r="L860" s="35"/>
      <c r="M860" s="35"/>
      <c r="AL860" s="32"/>
    </row>
    <row r="861">
      <c r="E861" s="32"/>
      <c r="F861" s="32"/>
      <c r="G861" s="32"/>
      <c r="L861" s="35"/>
      <c r="M861" s="35"/>
      <c r="AL861" s="32"/>
    </row>
    <row r="862">
      <c r="E862" s="32"/>
      <c r="F862" s="32"/>
      <c r="G862" s="32"/>
      <c r="L862" s="35"/>
      <c r="M862" s="35"/>
      <c r="AL862" s="32"/>
    </row>
    <row r="863">
      <c r="E863" s="32"/>
      <c r="F863" s="32"/>
      <c r="G863" s="32"/>
      <c r="L863" s="35"/>
      <c r="M863" s="35"/>
      <c r="AL863" s="32"/>
    </row>
    <row r="864">
      <c r="E864" s="32"/>
      <c r="F864" s="32"/>
      <c r="G864" s="32"/>
      <c r="L864" s="35"/>
      <c r="M864" s="35"/>
      <c r="AL864" s="32"/>
    </row>
    <row r="865">
      <c r="E865" s="32"/>
      <c r="F865" s="32"/>
      <c r="G865" s="32"/>
      <c r="L865" s="35"/>
      <c r="M865" s="35"/>
      <c r="AL865" s="32"/>
    </row>
    <row r="866">
      <c r="E866" s="32"/>
      <c r="F866" s="32"/>
      <c r="G866" s="32"/>
      <c r="L866" s="35"/>
      <c r="M866" s="35"/>
      <c r="AL866" s="32"/>
    </row>
    <row r="867">
      <c r="E867" s="32"/>
      <c r="F867" s="32"/>
      <c r="G867" s="32"/>
      <c r="L867" s="35"/>
      <c r="M867" s="35"/>
      <c r="AL867" s="32"/>
    </row>
    <row r="868">
      <c r="E868" s="32"/>
      <c r="F868" s="32"/>
      <c r="G868" s="32"/>
      <c r="L868" s="35"/>
      <c r="M868" s="35"/>
      <c r="AL868" s="32"/>
    </row>
    <row r="869">
      <c r="E869" s="32"/>
      <c r="F869" s="32"/>
      <c r="G869" s="32"/>
      <c r="L869" s="35"/>
      <c r="M869" s="35"/>
      <c r="AL869" s="32"/>
    </row>
    <row r="870">
      <c r="E870" s="32"/>
      <c r="F870" s="32"/>
      <c r="G870" s="32"/>
      <c r="L870" s="35"/>
      <c r="M870" s="35"/>
      <c r="AL870" s="32"/>
    </row>
    <row r="871">
      <c r="E871" s="32"/>
      <c r="F871" s="32"/>
      <c r="G871" s="32"/>
      <c r="L871" s="35"/>
      <c r="M871" s="35"/>
      <c r="AL871" s="32"/>
    </row>
    <row r="872">
      <c r="E872" s="32"/>
      <c r="F872" s="32"/>
      <c r="G872" s="32"/>
      <c r="L872" s="35"/>
      <c r="M872" s="35"/>
      <c r="AL872" s="32"/>
    </row>
    <row r="873">
      <c r="E873" s="32"/>
      <c r="F873" s="32"/>
      <c r="G873" s="32"/>
      <c r="L873" s="35"/>
      <c r="M873" s="35"/>
      <c r="AL873" s="32"/>
    </row>
    <row r="874">
      <c r="E874" s="32"/>
      <c r="F874" s="32"/>
      <c r="G874" s="32"/>
      <c r="L874" s="35"/>
      <c r="M874" s="35"/>
      <c r="AL874" s="32"/>
    </row>
    <row r="875">
      <c r="E875" s="32"/>
      <c r="F875" s="32"/>
      <c r="G875" s="32"/>
      <c r="L875" s="35"/>
      <c r="M875" s="35"/>
      <c r="AL875" s="32"/>
    </row>
    <row r="876">
      <c r="E876" s="32"/>
      <c r="F876" s="32"/>
      <c r="G876" s="32"/>
      <c r="L876" s="35"/>
      <c r="M876" s="35"/>
      <c r="AL876" s="32"/>
    </row>
    <row r="877">
      <c r="E877" s="32"/>
      <c r="F877" s="32"/>
      <c r="G877" s="32"/>
      <c r="L877" s="35"/>
      <c r="M877" s="35"/>
      <c r="AL877" s="32"/>
    </row>
    <row r="878">
      <c r="E878" s="32"/>
      <c r="F878" s="32"/>
      <c r="G878" s="32"/>
      <c r="L878" s="35"/>
      <c r="M878" s="35"/>
      <c r="AL878" s="32"/>
    </row>
    <row r="879">
      <c r="E879" s="32"/>
      <c r="F879" s="32"/>
      <c r="G879" s="32"/>
      <c r="L879" s="35"/>
      <c r="M879" s="35"/>
      <c r="AL879" s="32"/>
    </row>
    <row r="880">
      <c r="E880" s="32"/>
      <c r="F880" s="32"/>
      <c r="G880" s="32"/>
      <c r="L880" s="35"/>
      <c r="M880" s="35"/>
      <c r="AL880" s="32"/>
    </row>
    <row r="881">
      <c r="E881" s="32"/>
      <c r="F881" s="32"/>
      <c r="G881" s="32"/>
      <c r="L881" s="35"/>
      <c r="M881" s="35"/>
      <c r="AL881" s="32"/>
    </row>
    <row r="882">
      <c r="E882" s="32"/>
      <c r="F882" s="32"/>
      <c r="G882" s="32"/>
      <c r="L882" s="35"/>
      <c r="M882" s="35"/>
      <c r="AL882" s="32"/>
    </row>
    <row r="883">
      <c r="E883" s="32"/>
      <c r="F883" s="32"/>
      <c r="G883" s="32"/>
      <c r="L883" s="35"/>
      <c r="M883" s="35"/>
      <c r="AL883" s="32"/>
    </row>
    <row r="884">
      <c r="E884" s="32"/>
      <c r="F884" s="32"/>
      <c r="G884" s="32"/>
      <c r="L884" s="35"/>
      <c r="M884" s="35"/>
      <c r="AL884" s="32"/>
    </row>
    <row r="885">
      <c r="E885" s="32"/>
      <c r="F885" s="32"/>
      <c r="G885" s="32"/>
      <c r="L885" s="35"/>
      <c r="M885" s="35"/>
      <c r="AL885" s="32"/>
    </row>
    <row r="886">
      <c r="E886" s="32"/>
      <c r="F886" s="32"/>
      <c r="G886" s="32"/>
      <c r="L886" s="35"/>
      <c r="M886" s="35"/>
      <c r="AL886" s="32"/>
    </row>
    <row r="887">
      <c r="E887" s="32"/>
      <c r="F887" s="32"/>
      <c r="G887" s="32"/>
      <c r="L887" s="35"/>
      <c r="M887" s="35"/>
      <c r="AL887" s="32"/>
    </row>
    <row r="888">
      <c r="E888" s="32"/>
      <c r="F888" s="32"/>
      <c r="G888" s="32"/>
      <c r="L888" s="35"/>
      <c r="M888" s="35"/>
      <c r="AL888" s="32"/>
    </row>
    <row r="889">
      <c r="E889" s="32"/>
      <c r="F889" s="32"/>
      <c r="G889" s="32"/>
      <c r="L889" s="35"/>
      <c r="M889" s="35"/>
      <c r="AL889" s="32"/>
    </row>
    <row r="890">
      <c r="E890" s="32"/>
      <c r="F890" s="32"/>
      <c r="G890" s="32"/>
      <c r="L890" s="35"/>
      <c r="M890" s="35"/>
      <c r="AL890" s="32"/>
    </row>
    <row r="891">
      <c r="E891" s="32"/>
      <c r="F891" s="32"/>
      <c r="G891" s="32"/>
      <c r="L891" s="35"/>
      <c r="M891" s="35"/>
      <c r="AL891" s="32"/>
    </row>
    <row r="892">
      <c r="E892" s="32"/>
      <c r="F892" s="32"/>
      <c r="G892" s="32"/>
      <c r="L892" s="35"/>
      <c r="M892" s="35"/>
      <c r="AL892" s="32"/>
    </row>
    <row r="893">
      <c r="E893" s="32"/>
      <c r="F893" s="32"/>
      <c r="G893" s="32"/>
      <c r="L893" s="35"/>
      <c r="M893" s="35"/>
      <c r="AL893" s="32"/>
    </row>
    <row r="894">
      <c r="E894" s="32"/>
      <c r="F894" s="32"/>
      <c r="G894" s="32"/>
      <c r="L894" s="35"/>
      <c r="M894" s="35"/>
      <c r="AL894" s="32"/>
    </row>
    <row r="895">
      <c r="E895" s="32"/>
      <c r="F895" s="32"/>
      <c r="G895" s="32"/>
      <c r="L895" s="35"/>
      <c r="M895" s="35"/>
      <c r="AL895" s="32"/>
    </row>
    <row r="896">
      <c r="E896" s="32"/>
      <c r="F896" s="32"/>
      <c r="G896" s="32"/>
      <c r="L896" s="35"/>
      <c r="M896" s="35"/>
      <c r="AL896" s="32"/>
    </row>
    <row r="897">
      <c r="E897" s="32"/>
      <c r="F897" s="32"/>
      <c r="G897" s="32"/>
      <c r="L897" s="35"/>
      <c r="M897" s="35"/>
      <c r="AL897" s="32"/>
    </row>
    <row r="898">
      <c r="E898" s="32"/>
      <c r="F898" s="32"/>
      <c r="G898" s="32"/>
      <c r="L898" s="35"/>
      <c r="M898" s="35"/>
      <c r="AL898" s="32"/>
    </row>
    <row r="899">
      <c r="E899" s="32"/>
      <c r="F899" s="32"/>
      <c r="G899" s="32"/>
      <c r="L899" s="35"/>
      <c r="M899" s="35"/>
      <c r="AL899" s="32"/>
    </row>
    <row r="900">
      <c r="E900" s="32"/>
      <c r="F900" s="32"/>
      <c r="G900" s="32"/>
      <c r="L900" s="35"/>
      <c r="M900" s="35"/>
      <c r="AL900" s="32"/>
    </row>
    <row r="901">
      <c r="E901" s="32"/>
      <c r="F901" s="32"/>
      <c r="G901" s="32"/>
      <c r="L901" s="35"/>
      <c r="M901" s="35"/>
      <c r="AL901" s="32"/>
    </row>
    <row r="902">
      <c r="E902" s="32"/>
      <c r="F902" s="32"/>
      <c r="G902" s="32"/>
      <c r="L902" s="35"/>
      <c r="M902" s="35"/>
      <c r="AL902" s="32"/>
    </row>
    <row r="903">
      <c r="E903" s="32"/>
      <c r="F903" s="32"/>
      <c r="G903" s="32"/>
      <c r="L903" s="35"/>
      <c r="M903" s="35"/>
      <c r="AL903" s="32"/>
    </row>
    <row r="904">
      <c r="E904" s="32"/>
      <c r="F904" s="32"/>
      <c r="G904" s="32"/>
      <c r="L904" s="35"/>
      <c r="M904" s="35"/>
      <c r="AL904" s="32"/>
    </row>
    <row r="905">
      <c r="E905" s="32"/>
      <c r="F905" s="32"/>
      <c r="G905" s="32"/>
      <c r="L905" s="35"/>
      <c r="M905" s="35"/>
      <c r="AL905" s="32"/>
    </row>
    <row r="906">
      <c r="E906" s="32"/>
      <c r="F906" s="32"/>
      <c r="G906" s="32"/>
      <c r="L906" s="35"/>
      <c r="M906" s="35"/>
      <c r="AL906" s="32"/>
    </row>
    <row r="907">
      <c r="E907" s="32"/>
      <c r="F907" s="32"/>
      <c r="G907" s="32"/>
      <c r="L907" s="35"/>
      <c r="M907" s="35"/>
      <c r="AL907" s="32"/>
    </row>
    <row r="908">
      <c r="E908" s="32"/>
      <c r="F908" s="32"/>
      <c r="G908" s="32"/>
      <c r="L908" s="35"/>
      <c r="M908" s="35"/>
      <c r="AL908" s="32"/>
    </row>
    <row r="909">
      <c r="E909" s="32"/>
      <c r="F909" s="32"/>
      <c r="G909" s="32"/>
      <c r="L909" s="35"/>
      <c r="M909" s="35"/>
      <c r="AL909" s="32"/>
    </row>
    <row r="910">
      <c r="E910" s="32"/>
      <c r="F910" s="32"/>
      <c r="G910" s="32"/>
      <c r="L910" s="35"/>
      <c r="M910" s="35"/>
      <c r="AL910" s="32"/>
    </row>
    <row r="911">
      <c r="E911" s="32"/>
      <c r="F911" s="32"/>
      <c r="G911" s="32"/>
      <c r="L911" s="35"/>
      <c r="M911" s="35"/>
      <c r="AL911" s="32"/>
    </row>
    <row r="912">
      <c r="E912" s="32"/>
      <c r="F912" s="32"/>
      <c r="G912" s="32"/>
      <c r="L912" s="35"/>
      <c r="M912" s="35"/>
      <c r="AL912" s="32"/>
    </row>
    <row r="913">
      <c r="E913" s="32"/>
      <c r="F913" s="32"/>
      <c r="G913" s="32"/>
      <c r="L913" s="35"/>
      <c r="M913" s="35"/>
      <c r="AL913" s="32"/>
    </row>
    <row r="914">
      <c r="E914" s="32"/>
      <c r="F914" s="32"/>
      <c r="G914" s="32"/>
      <c r="L914" s="35"/>
      <c r="M914" s="35"/>
      <c r="AL914" s="32"/>
    </row>
    <row r="915">
      <c r="E915" s="32"/>
      <c r="F915" s="32"/>
      <c r="G915" s="32"/>
      <c r="L915" s="35"/>
      <c r="M915" s="35"/>
      <c r="AL915" s="32"/>
    </row>
    <row r="916">
      <c r="E916" s="32"/>
      <c r="F916" s="32"/>
      <c r="G916" s="32"/>
      <c r="L916" s="35"/>
      <c r="M916" s="35"/>
      <c r="AL916" s="32"/>
    </row>
    <row r="917">
      <c r="E917" s="32"/>
      <c r="F917" s="32"/>
      <c r="G917" s="32"/>
      <c r="L917" s="35"/>
      <c r="M917" s="35"/>
      <c r="AL917" s="32"/>
    </row>
    <row r="918">
      <c r="E918" s="32"/>
      <c r="F918" s="32"/>
      <c r="G918" s="32"/>
      <c r="L918" s="35"/>
      <c r="M918" s="35"/>
      <c r="AL918" s="32"/>
    </row>
    <row r="919">
      <c r="E919" s="32"/>
      <c r="F919" s="32"/>
      <c r="G919" s="32"/>
      <c r="L919" s="35"/>
      <c r="M919" s="35"/>
      <c r="AL919" s="32"/>
    </row>
    <row r="920">
      <c r="E920" s="32"/>
      <c r="F920" s="32"/>
      <c r="G920" s="32"/>
      <c r="L920" s="35"/>
      <c r="M920" s="35"/>
      <c r="AL920" s="32"/>
    </row>
    <row r="921">
      <c r="E921" s="32"/>
      <c r="F921" s="32"/>
      <c r="G921" s="32"/>
      <c r="L921" s="35"/>
      <c r="M921" s="35"/>
      <c r="AL921" s="32"/>
    </row>
    <row r="922">
      <c r="E922" s="32"/>
      <c r="F922" s="32"/>
      <c r="G922" s="32"/>
      <c r="L922" s="35"/>
      <c r="M922" s="35"/>
      <c r="AL922" s="32"/>
    </row>
    <row r="923">
      <c r="E923" s="32"/>
      <c r="F923" s="32"/>
      <c r="G923" s="32"/>
      <c r="L923" s="35"/>
      <c r="M923" s="35"/>
      <c r="AL923" s="32"/>
    </row>
    <row r="924">
      <c r="E924" s="32"/>
      <c r="F924" s="32"/>
      <c r="G924" s="32"/>
      <c r="L924" s="35"/>
      <c r="M924" s="35"/>
      <c r="AL924" s="32"/>
    </row>
    <row r="925">
      <c r="E925" s="32"/>
      <c r="F925" s="32"/>
      <c r="G925" s="32"/>
      <c r="L925" s="35"/>
      <c r="M925" s="35"/>
      <c r="AL925" s="32"/>
    </row>
    <row r="926">
      <c r="E926" s="32"/>
      <c r="F926" s="32"/>
      <c r="G926" s="32"/>
      <c r="L926" s="35"/>
      <c r="M926" s="35"/>
      <c r="AL926" s="32"/>
    </row>
    <row r="927">
      <c r="E927" s="32"/>
      <c r="F927" s="32"/>
      <c r="G927" s="32"/>
      <c r="L927" s="35"/>
      <c r="M927" s="35"/>
      <c r="AL927" s="32"/>
    </row>
    <row r="928">
      <c r="E928" s="32"/>
      <c r="F928" s="32"/>
      <c r="G928" s="32"/>
      <c r="L928" s="35"/>
      <c r="M928" s="35"/>
      <c r="AL928" s="32"/>
    </row>
    <row r="929">
      <c r="E929" s="32"/>
      <c r="F929" s="32"/>
      <c r="G929" s="32"/>
      <c r="L929" s="35"/>
      <c r="M929" s="35"/>
      <c r="AL929" s="32"/>
    </row>
    <row r="930">
      <c r="E930" s="32"/>
      <c r="F930" s="32"/>
      <c r="G930" s="32"/>
      <c r="L930" s="35"/>
      <c r="M930" s="35"/>
      <c r="AL930" s="32"/>
    </row>
    <row r="931">
      <c r="E931" s="32"/>
      <c r="F931" s="32"/>
      <c r="G931" s="32"/>
      <c r="L931" s="35"/>
      <c r="M931" s="35"/>
      <c r="AL931" s="32"/>
    </row>
    <row r="932">
      <c r="E932" s="32"/>
      <c r="F932" s="32"/>
      <c r="G932" s="32"/>
      <c r="L932" s="35"/>
      <c r="M932" s="35"/>
      <c r="AL932" s="32"/>
    </row>
    <row r="933">
      <c r="E933" s="32"/>
      <c r="F933" s="32"/>
      <c r="G933" s="32"/>
      <c r="L933" s="35"/>
      <c r="M933" s="35"/>
      <c r="AL933" s="32"/>
    </row>
    <row r="934">
      <c r="E934" s="32"/>
      <c r="F934" s="32"/>
      <c r="G934" s="32"/>
      <c r="L934" s="35"/>
      <c r="M934" s="35"/>
      <c r="AL934" s="32"/>
    </row>
    <row r="935">
      <c r="E935" s="32"/>
      <c r="F935" s="32"/>
      <c r="G935" s="32"/>
      <c r="L935" s="35"/>
      <c r="M935" s="35"/>
      <c r="AL935" s="32"/>
    </row>
    <row r="936">
      <c r="E936" s="32"/>
      <c r="F936" s="32"/>
      <c r="G936" s="32"/>
      <c r="L936" s="35"/>
      <c r="M936" s="35"/>
      <c r="AL936" s="32"/>
    </row>
    <row r="937">
      <c r="E937" s="32"/>
      <c r="F937" s="32"/>
      <c r="G937" s="32"/>
      <c r="L937" s="35"/>
      <c r="M937" s="35"/>
      <c r="AL937" s="32"/>
    </row>
    <row r="938">
      <c r="E938" s="32"/>
      <c r="F938" s="32"/>
      <c r="G938" s="32"/>
      <c r="L938" s="35"/>
      <c r="M938" s="35"/>
      <c r="AL938" s="32"/>
    </row>
    <row r="939">
      <c r="E939" s="32"/>
      <c r="F939" s="32"/>
      <c r="G939" s="32"/>
      <c r="L939" s="35"/>
      <c r="M939" s="35"/>
      <c r="AL939" s="32"/>
    </row>
    <row r="940">
      <c r="E940" s="32"/>
      <c r="F940" s="32"/>
      <c r="G940" s="32"/>
      <c r="L940" s="35"/>
      <c r="M940" s="35"/>
      <c r="AL940" s="32"/>
    </row>
    <row r="941">
      <c r="E941" s="32"/>
      <c r="F941" s="32"/>
      <c r="G941" s="32"/>
      <c r="L941" s="35"/>
      <c r="M941" s="35"/>
      <c r="AL941" s="32"/>
    </row>
    <row r="942">
      <c r="E942" s="32"/>
      <c r="F942" s="32"/>
      <c r="G942" s="32"/>
      <c r="L942" s="35"/>
      <c r="M942" s="35"/>
      <c r="AL942" s="32"/>
    </row>
    <row r="943">
      <c r="E943" s="32"/>
      <c r="F943" s="32"/>
      <c r="G943" s="32"/>
      <c r="L943" s="35"/>
      <c r="M943" s="35"/>
      <c r="AL943" s="32"/>
    </row>
    <row r="944">
      <c r="E944" s="32"/>
      <c r="F944" s="32"/>
      <c r="G944" s="32"/>
      <c r="L944" s="35"/>
      <c r="M944" s="35"/>
      <c r="AL944" s="32"/>
    </row>
    <row r="945">
      <c r="E945" s="32"/>
      <c r="F945" s="32"/>
      <c r="G945" s="32"/>
      <c r="L945" s="35"/>
      <c r="M945" s="35"/>
      <c r="AL945" s="32"/>
    </row>
    <row r="946">
      <c r="E946" s="32"/>
      <c r="F946" s="32"/>
      <c r="G946" s="32"/>
      <c r="L946" s="35"/>
      <c r="M946" s="35"/>
      <c r="AL946" s="32"/>
    </row>
    <row r="947">
      <c r="E947" s="32"/>
      <c r="F947" s="32"/>
      <c r="G947" s="32"/>
      <c r="L947" s="35"/>
      <c r="M947" s="35"/>
      <c r="AL947" s="32"/>
    </row>
    <row r="948">
      <c r="E948" s="32"/>
      <c r="F948" s="32"/>
      <c r="G948" s="32"/>
      <c r="L948" s="35"/>
      <c r="M948" s="35"/>
      <c r="AL948" s="32"/>
    </row>
    <row r="949">
      <c r="E949" s="32"/>
      <c r="F949" s="32"/>
      <c r="G949" s="32"/>
      <c r="L949" s="35"/>
      <c r="M949" s="35"/>
      <c r="AL949" s="32"/>
    </row>
    <row r="950">
      <c r="E950" s="32"/>
      <c r="F950" s="32"/>
      <c r="G950" s="32"/>
      <c r="L950" s="35"/>
      <c r="M950" s="35"/>
      <c r="AL950" s="32"/>
    </row>
    <row r="951">
      <c r="E951" s="32"/>
      <c r="F951" s="32"/>
      <c r="G951" s="32"/>
      <c r="L951" s="35"/>
      <c r="M951" s="35"/>
      <c r="AL951" s="32"/>
    </row>
    <row r="952">
      <c r="E952" s="32"/>
      <c r="F952" s="32"/>
      <c r="G952" s="32"/>
      <c r="L952" s="35"/>
      <c r="M952" s="35"/>
      <c r="AL952" s="32"/>
    </row>
    <row r="953">
      <c r="E953" s="32"/>
      <c r="F953" s="32"/>
      <c r="G953" s="32"/>
      <c r="L953" s="35"/>
      <c r="M953" s="35"/>
      <c r="AL953" s="32"/>
    </row>
    <row r="954">
      <c r="E954" s="32"/>
      <c r="F954" s="32"/>
      <c r="G954" s="32"/>
      <c r="L954" s="35"/>
      <c r="M954" s="35"/>
      <c r="AL954" s="32"/>
    </row>
    <row r="955">
      <c r="E955" s="32"/>
      <c r="F955" s="32"/>
      <c r="G955" s="32"/>
      <c r="L955" s="35"/>
      <c r="M955" s="35"/>
      <c r="AL955" s="32"/>
    </row>
    <row r="956">
      <c r="E956" s="32"/>
      <c r="F956" s="32"/>
      <c r="G956" s="32"/>
      <c r="L956" s="35"/>
      <c r="M956" s="35"/>
      <c r="AL956" s="32"/>
    </row>
    <row r="957">
      <c r="E957" s="32"/>
      <c r="F957" s="32"/>
      <c r="G957" s="32"/>
      <c r="L957" s="35"/>
      <c r="M957" s="35"/>
      <c r="AL957" s="32"/>
    </row>
    <row r="958">
      <c r="E958" s="32"/>
      <c r="F958" s="32"/>
      <c r="G958" s="32"/>
      <c r="L958" s="35"/>
      <c r="M958" s="35"/>
      <c r="AL958" s="32"/>
    </row>
    <row r="959">
      <c r="E959" s="32"/>
      <c r="F959" s="32"/>
      <c r="G959" s="32"/>
      <c r="L959" s="35"/>
      <c r="M959" s="35"/>
      <c r="AL959" s="32"/>
    </row>
    <row r="960">
      <c r="E960" s="32"/>
      <c r="F960" s="32"/>
      <c r="G960" s="32"/>
      <c r="L960" s="35"/>
      <c r="M960" s="35"/>
      <c r="AL960" s="32"/>
    </row>
    <row r="961">
      <c r="E961" s="32"/>
      <c r="F961" s="32"/>
      <c r="G961" s="32"/>
      <c r="L961" s="35"/>
      <c r="M961" s="35"/>
      <c r="AL961" s="32"/>
    </row>
    <row r="962">
      <c r="E962" s="32"/>
      <c r="F962" s="32"/>
      <c r="G962" s="32"/>
      <c r="L962" s="35"/>
      <c r="M962" s="35"/>
      <c r="AL962" s="32"/>
    </row>
    <row r="963">
      <c r="E963" s="32"/>
      <c r="F963" s="32"/>
      <c r="G963" s="32"/>
      <c r="L963" s="35"/>
      <c r="M963" s="35"/>
      <c r="AL963" s="32"/>
    </row>
    <row r="964">
      <c r="E964" s="32"/>
      <c r="F964" s="32"/>
      <c r="G964" s="32"/>
      <c r="L964" s="35"/>
      <c r="M964" s="35"/>
      <c r="AL964" s="32"/>
    </row>
    <row r="965">
      <c r="E965" s="32"/>
      <c r="F965" s="32"/>
      <c r="G965" s="32"/>
      <c r="L965" s="35"/>
      <c r="M965" s="35"/>
      <c r="AL965" s="32"/>
    </row>
    <row r="966">
      <c r="E966" s="32"/>
      <c r="F966" s="32"/>
      <c r="G966" s="32"/>
      <c r="L966" s="35"/>
      <c r="M966" s="35"/>
      <c r="AL966" s="32"/>
    </row>
    <row r="967">
      <c r="E967" s="32"/>
      <c r="F967" s="32"/>
      <c r="G967" s="32"/>
      <c r="L967" s="35"/>
      <c r="M967" s="35"/>
      <c r="AL967" s="32"/>
    </row>
    <row r="968">
      <c r="E968" s="32"/>
      <c r="F968" s="32"/>
      <c r="G968" s="32"/>
      <c r="L968" s="35"/>
      <c r="M968" s="35"/>
      <c r="AL968" s="32"/>
    </row>
    <row r="969">
      <c r="E969" s="32"/>
      <c r="F969" s="32"/>
      <c r="G969" s="32"/>
      <c r="L969" s="35"/>
      <c r="M969" s="35"/>
      <c r="AL969" s="32"/>
    </row>
    <row r="970">
      <c r="E970" s="32"/>
      <c r="F970" s="32"/>
      <c r="G970" s="32"/>
      <c r="L970" s="35"/>
      <c r="M970" s="35"/>
      <c r="AL970" s="32"/>
    </row>
    <row r="971">
      <c r="E971" s="32"/>
      <c r="F971" s="32"/>
      <c r="G971" s="32"/>
      <c r="L971" s="35"/>
      <c r="M971" s="35"/>
      <c r="AL971" s="32"/>
    </row>
    <row r="972">
      <c r="E972" s="32"/>
      <c r="F972" s="32"/>
      <c r="G972" s="32"/>
      <c r="L972" s="35"/>
      <c r="M972" s="35"/>
      <c r="AL972" s="32"/>
    </row>
    <row r="973">
      <c r="E973" s="32"/>
      <c r="F973" s="32"/>
      <c r="G973" s="32"/>
      <c r="L973" s="35"/>
      <c r="M973" s="35"/>
      <c r="AL973" s="32"/>
    </row>
    <row r="974">
      <c r="E974" s="32"/>
      <c r="F974" s="32"/>
      <c r="G974" s="32"/>
      <c r="L974" s="35"/>
      <c r="M974" s="35"/>
      <c r="AL974" s="32"/>
    </row>
    <row r="975">
      <c r="E975" s="32"/>
      <c r="F975" s="32"/>
      <c r="G975" s="32"/>
      <c r="L975" s="35"/>
      <c r="M975" s="35"/>
      <c r="AL975" s="32"/>
    </row>
    <row r="976">
      <c r="E976" s="32"/>
      <c r="F976" s="32"/>
      <c r="G976" s="32"/>
      <c r="L976" s="35"/>
      <c r="M976" s="35"/>
      <c r="AL976" s="32"/>
    </row>
    <row r="977">
      <c r="E977" s="32"/>
      <c r="F977" s="32"/>
      <c r="G977" s="32"/>
      <c r="L977" s="35"/>
      <c r="M977" s="35"/>
      <c r="AL977" s="32"/>
    </row>
    <row r="978">
      <c r="E978" s="32"/>
      <c r="F978" s="32"/>
      <c r="G978" s="32"/>
      <c r="L978" s="35"/>
      <c r="M978" s="35"/>
      <c r="AL978" s="32"/>
    </row>
    <row r="979">
      <c r="E979" s="32"/>
      <c r="F979" s="32"/>
      <c r="G979" s="32"/>
      <c r="L979" s="35"/>
      <c r="M979" s="35"/>
      <c r="AL979" s="32"/>
    </row>
    <row r="980">
      <c r="E980" s="32"/>
      <c r="F980" s="32"/>
      <c r="G980" s="32"/>
      <c r="L980" s="35"/>
      <c r="M980" s="35"/>
      <c r="AL980" s="32"/>
    </row>
    <row r="981">
      <c r="E981" s="32"/>
      <c r="F981" s="32"/>
      <c r="G981" s="32"/>
      <c r="L981" s="35"/>
      <c r="M981" s="35"/>
      <c r="AL981" s="32"/>
    </row>
    <row r="982">
      <c r="E982" s="32"/>
      <c r="F982" s="32"/>
      <c r="G982" s="32"/>
      <c r="L982" s="35"/>
      <c r="M982" s="35"/>
      <c r="AL982" s="32"/>
    </row>
    <row r="983">
      <c r="E983" s="32"/>
      <c r="F983" s="32"/>
      <c r="G983" s="32"/>
      <c r="L983" s="35"/>
      <c r="M983" s="35"/>
      <c r="AL983" s="32"/>
    </row>
    <row r="984">
      <c r="E984" s="32"/>
      <c r="F984" s="32"/>
      <c r="G984" s="32"/>
      <c r="L984" s="35"/>
      <c r="M984" s="35"/>
      <c r="AL984" s="32"/>
    </row>
    <row r="985">
      <c r="E985" s="32"/>
      <c r="F985" s="32"/>
      <c r="G985" s="32"/>
      <c r="L985" s="35"/>
      <c r="M985" s="35"/>
      <c r="AL985" s="32"/>
    </row>
    <row r="986">
      <c r="E986" s="32"/>
      <c r="F986" s="32"/>
      <c r="G986" s="32"/>
      <c r="L986" s="35"/>
      <c r="M986" s="35"/>
      <c r="AL986" s="32"/>
    </row>
    <row r="987">
      <c r="E987" s="32"/>
      <c r="F987" s="32"/>
      <c r="G987" s="32"/>
      <c r="L987" s="35"/>
      <c r="M987" s="35"/>
      <c r="AL987" s="32"/>
    </row>
    <row r="988">
      <c r="E988" s="32"/>
      <c r="F988" s="32"/>
      <c r="G988" s="32"/>
      <c r="L988" s="35"/>
      <c r="M988" s="35"/>
      <c r="AL988" s="32"/>
    </row>
    <row r="989">
      <c r="E989" s="32"/>
      <c r="F989" s="32"/>
      <c r="G989" s="32"/>
      <c r="L989" s="35"/>
      <c r="M989" s="35"/>
      <c r="AL989" s="32"/>
    </row>
    <row r="990">
      <c r="E990" s="32"/>
      <c r="F990" s="32"/>
      <c r="G990" s="32"/>
      <c r="L990" s="35"/>
      <c r="M990" s="35"/>
      <c r="AL990" s="32"/>
    </row>
    <row r="991">
      <c r="E991" s="32"/>
      <c r="F991" s="32"/>
      <c r="G991" s="32"/>
      <c r="L991" s="35"/>
      <c r="M991" s="35"/>
      <c r="AL991" s="32"/>
    </row>
    <row r="992">
      <c r="E992" s="32"/>
      <c r="F992" s="32"/>
      <c r="G992" s="32"/>
      <c r="L992" s="35"/>
      <c r="M992" s="35"/>
      <c r="AL992" s="32"/>
    </row>
    <row r="993">
      <c r="E993" s="32"/>
      <c r="F993" s="32"/>
      <c r="G993" s="32"/>
      <c r="L993" s="35"/>
      <c r="M993" s="35"/>
      <c r="AL993" s="32"/>
    </row>
    <row r="994">
      <c r="E994" s="32"/>
      <c r="F994" s="32"/>
      <c r="G994" s="32"/>
      <c r="L994" s="35"/>
      <c r="M994" s="35"/>
      <c r="AL994" s="32"/>
    </row>
    <row r="995">
      <c r="E995" s="32"/>
      <c r="F995" s="32"/>
      <c r="G995" s="32"/>
      <c r="L995" s="35"/>
      <c r="M995" s="35"/>
      <c r="AL995" s="32"/>
    </row>
    <row r="996">
      <c r="E996" s="32"/>
      <c r="F996" s="32"/>
      <c r="G996" s="32"/>
      <c r="L996" s="35"/>
      <c r="M996" s="35"/>
      <c r="AL996" s="32"/>
    </row>
    <row r="997">
      <c r="E997" s="32"/>
      <c r="F997" s="32"/>
      <c r="G997" s="32"/>
      <c r="L997" s="35"/>
      <c r="M997" s="35"/>
      <c r="AL997" s="32"/>
    </row>
    <row r="998">
      <c r="E998" s="32"/>
      <c r="F998" s="32"/>
      <c r="G998" s="32"/>
      <c r="L998" s="35"/>
      <c r="M998" s="35"/>
      <c r="AL998" s="32"/>
    </row>
    <row r="999">
      <c r="E999" s="32"/>
      <c r="F999" s="32"/>
      <c r="G999" s="32"/>
      <c r="L999" s="35"/>
      <c r="M999" s="35"/>
      <c r="AL999" s="32"/>
    </row>
    <row r="1000">
      <c r="E1000" s="32"/>
      <c r="F1000" s="32"/>
      <c r="G1000" s="32"/>
      <c r="L1000" s="35"/>
      <c r="M1000" s="35"/>
      <c r="AL1000" s="3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8.13"/>
    <col customWidth="1" min="4" max="4" width="47.75"/>
  </cols>
  <sheetData>
    <row r="1">
      <c r="A1" s="1" t="s">
        <v>0</v>
      </c>
      <c r="B1" s="1" t="s">
        <v>1</v>
      </c>
      <c r="C1" s="1" t="s">
        <v>2825</v>
      </c>
      <c r="D1" s="1" t="s">
        <v>2826</v>
      </c>
      <c r="E1" s="1" t="s">
        <v>7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>
      <c r="A2" s="9">
        <v>1216.0</v>
      </c>
      <c r="B2" s="9" t="s">
        <v>50</v>
      </c>
      <c r="C2" s="9" t="s">
        <v>2827</v>
      </c>
      <c r="D2" s="9" t="s">
        <v>2828</v>
      </c>
      <c r="E2" s="9">
        <v>0.0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>
      <c r="A3" s="9">
        <v>1216.0</v>
      </c>
      <c r="B3" s="9" t="s">
        <v>50</v>
      </c>
      <c r="C3" s="48" t="s">
        <v>2829</v>
      </c>
      <c r="D3" s="79" t="s">
        <v>2830</v>
      </c>
      <c r="E3" s="9">
        <v>0.0</v>
      </c>
    </row>
    <row r="4">
      <c r="A4" s="9">
        <v>1216.0</v>
      </c>
      <c r="B4" s="9" t="s">
        <v>50</v>
      </c>
      <c r="C4" s="48" t="s">
        <v>2831</v>
      </c>
      <c r="D4" s="60" t="s">
        <v>2832</v>
      </c>
      <c r="E4" s="9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4" max="4" width="39.25"/>
    <col customWidth="1" min="5" max="5" width="16.13"/>
    <col customWidth="1" min="6" max="6" width="33.88"/>
    <col customWidth="1" min="8" max="8" width="33.0"/>
    <col customWidth="1" min="9" max="9" width="35.25"/>
    <col customWidth="1" min="10" max="10" width="22.5"/>
    <col customWidth="1" min="12" max="12" width="30.88"/>
  </cols>
  <sheetData>
    <row r="1">
      <c r="A1" s="1" t="s">
        <v>0</v>
      </c>
      <c r="B1" s="1" t="s">
        <v>1</v>
      </c>
      <c r="C1" s="69" t="s">
        <v>2833</v>
      </c>
      <c r="D1" s="69" t="s">
        <v>2834</v>
      </c>
      <c r="E1" s="69" t="s">
        <v>2835</v>
      </c>
      <c r="F1" s="69" t="s">
        <v>1938</v>
      </c>
      <c r="G1" s="69" t="s">
        <v>1939</v>
      </c>
      <c r="H1" s="69" t="s">
        <v>1940</v>
      </c>
      <c r="I1" s="69" t="s">
        <v>1941</v>
      </c>
      <c r="J1" s="15" t="s">
        <v>2836</v>
      </c>
      <c r="K1" s="15" t="s">
        <v>2837</v>
      </c>
      <c r="L1" s="15" t="s">
        <v>2838</v>
      </c>
      <c r="M1" s="15" t="s">
        <v>7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9">
        <v>1216.0</v>
      </c>
      <c r="B2" s="9" t="s">
        <v>50</v>
      </c>
      <c r="C2" s="80" t="s">
        <v>2839</v>
      </c>
      <c r="D2" s="12" t="s">
        <v>2840</v>
      </c>
      <c r="E2" s="11">
        <v>0.0</v>
      </c>
      <c r="F2" s="9" t="s">
        <v>1962</v>
      </c>
      <c r="G2" s="9">
        <v>0.0</v>
      </c>
      <c r="H2" s="9" t="s">
        <v>1963</v>
      </c>
      <c r="I2" s="9">
        <v>0.0</v>
      </c>
      <c r="J2" s="15"/>
      <c r="K2" s="15"/>
      <c r="L2" s="15" t="s">
        <v>1917</v>
      </c>
      <c r="M2" s="63">
        <v>0.0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9">
        <v>1216.0</v>
      </c>
      <c r="B3" s="9" t="s">
        <v>50</v>
      </c>
      <c r="C3" s="81" t="s">
        <v>2841</v>
      </c>
      <c r="D3" s="79" t="s">
        <v>2842</v>
      </c>
      <c r="E3" s="11"/>
      <c r="F3" s="9" t="s">
        <v>1962</v>
      </c>
      <c r="G3" s="9">
        <v>0.0</v>
      </c>
      <c r="H3" s="9" t="s">
        <v>1963</v>
      </c>
      <c r="I3" s="9">
        <v>0.0</v>
      </c>
      <c r="J3" s="15"/>
      <c r="K3" s="15"/>
      <c r="L3" s="15" t="s">
        <v>1917</v>
      </c>
      <c r="M3" s="63">
        <v>0.0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9">
        <v>1216.0</v>
      </c>
      <c r="B4" s="9" t="s">
        <v>50</v>
      </c>
      <c r="C4" s="81" t="s">
        <v>2843</v>
      </c>
      <c r="D4" s="79" t="s">
        <v>2844</v>
      </c>
      <c r="E4" s="11"/>
      <c r="F4" s="9" t="s">
        <v>1962</v>
      </c>
      <c r="G4" s="9">
        <v>0.0</v>
      </c>
      <c r="H4" s="9" t="s">
        <v>1963</v>
      </c>
      <c r="I4" s="9">
        <v>0.0</v>
      </c>
      <c r="J4" s="15"/>
      <c r="K4" s="15"/>
      <c r="L4" s="15" t="s">
        <v>1917</v>
      </c>
      <c r="M4" s="63">
        <v>0.0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9">
        <v>1216.0</v>
      </c>
      <c r="B5" s="9" t="s">
        <v>50</v>
      </c>
      <c r="C5" s="15" t="s">
        <v>2845</v>
      </c>
      <c r="D5" s="15"/>
      <c r="E5" s="15"/>
      <c r="F5" s="9" t="s">
        <v>1962</v>
      </c>
      <c r="G5" s="9">
        <v>0.0</v>
      </c>
      <c r="H5" s="9" t="s">
        <v>1963</v>
      </c>
      <c r="I5" s="9">
        <v>0.0</v>
      </c>
      <c r="J5" s="15"/>
      <c r="K5" s="15"/>
      <c r="L5" s="15"/>
      <c r="M5" s="63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2846</v>
      </c>
      <c r="D1" s="82" t="s">
        <v>2847</v>
      </c>
      <c r="E1" s="82" t="s">
        <v>2848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30.13"/>
  </cols>
  <sheetData>
    <row r="1">
      <c r="A1" s="1" t="s">
        <v>0</v>
      </c>
      <c r="B1" s="1" t="s">
        <v>1</v>
      </c>
      <c r="C1" s="1" t="s">
        <v>2849</v>
      </c>
      <c r="D1" s="15" t="s">
        <v>2850</v>
      </c>
      <c r="E1" s="15" t="s">
        <v>7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9">
        <v>1216.0</v>
      </c>
      <c r="B2" s="9" t="s">
        <v>50</v>
      </c>
      <c r="C2" s="83" t="s">
        <v>2851</v>
      </c>
      <c r="D2" s="60" t="s">
        <v>2852</v>
      </c>
      <c r="E2" s="28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13.5"/>
    <col customWidth="1" min="4" max="4" width="27.0"/>
    <col customWidth="1" min="6" max="6" width="27.0"/>
    <col customWidth="1" min="8" max="8" width="27.0"/>
    <col customWidth="1" min="10" max="10" width="27.0"/>
    <col customWidth="1" min="14" max="14" width="27.0"/>
    <col customWidth="1" min="15" max="15" width="11.0"/>
    <col customWidth="1" min="16" max="16" width="27.0"/>
    <col customWidth="1" min="18" max="18" width="15.5"/>
    <col customWidth="1" min="20" max="20" width="15.5"/>
    <col customWidth="1" min="22" max="22" width="40.75"/>
    <col customWidth="1" min="24" max="24" width="40.75"/>
    <col customWidth="1" min="26" max="26" width="28.75"/>
    <col customWidth="1" min="28" max="28" width="33.75"/>
    <col customWidth="1" min="30" max="30" width="26.25"/>
    <col customWidth="1" min="32" max="32" width="15.88"/>
    <col customWidth="1" min="34" max="34" width="26.25"/>
    <col customWidth="1" min="36" max="36" width="23.75"/>
  </cols>
  <sheetData>
    <row r="1">
      <c r="A1" s="1" t="s">
        <v>0</v>
      </c>
      <c r="B1" s="1" t="s">
        <v>1</v>
      </c>
      <c r="C1" s="15" t="s">
        <v>2853</v>
      </c>
      <c r="D1" s="15" t="s">
        <v>2854</v>
      </c>
      <c r="E1" s="15" t="s">
        <v>14</v>
      </c>
      <c r="F1" s="15" t="s">
        <v>2855</v>
      </c>
      <c r="G1" s="15" t="s">
        <v>14</v>
      </c>
      <c r="H1" s="15" t="s">
        <v>2856</v>
      </c>
      <c r="I1" s="15" t="s">
        <v>14</v>
      </c>
      <c r="J1" s="15" t="s">
        <v>2857</v>
      </c>
      <c r="K1" s="15" t="s">
        <v>14</v>
      </c>
      <c r="L1" s="15" t="s">
        <v>2858</v>
      </c>
      <c r="M1" s="15" t="s">
        <v>14</v>
      </c>
      <c r="N1" s="84" t="s">
        <v>2859</v>
      </c>
      <c r="O1" s="15" t="s">
        <v>14</v>
      </c>
      <c r="P1" s="84" t="s">
        <v>2860</v>
      </c>
      <c r="Q1" s="15" t="s">
        <v>14</v>
      </c>
      <c r="R1" s="15" t="s">
        <v>2861</v>
      </c>
      <c r="S1" s="15" t="s">
        <v>14</v>
      </c>
      <c r="T1" s="15" t="s">
        <v>2862</v>
      </c>
      <c r="U1" s="15" t="s">
        <v>14</v>
      </c>
      <c r="V1" s="9" t="s">
        <v>2863</v>
      </c>
      <c r="W1" s="9" t="s">
        <v>7</v>
      </c>
      <c r="X1" s="9" t="s">
        <v>1593</v>
      </c>
      <c r="Y1" s="9" t="s">
        <v>7</v>
      </c>
      <c r="Z1" s="15" t="s">
        <v>2864</v>
      </c>
      <c r="AA1" s="9" t="s">
        <v>7</v>
      </c>
      <c r="AB1" s="85" t="s">
        <v>2865</v>
      </c>
      <c r="AC1" s="85" t="s">
        <v>7</v>
      </c>
      <c r="AD1" s="35" t="s">
        <v>2866</v>
      </c>
      <c r="AE1" s="35" t="s">
        <v>7</v>
      </c>
      <c r="AF1" s="35" t="s">
        <v>2867</v>
      </c>
      <c r="AG1" s="35" t="s">
        <v>7</v>
      </c>
      <c r="AH1" s="35" t="s">
        <v>2868</v>
      </c>
      <c r="AI1" s="35" t="s">
        <v>7</v>
      </c>
      <c r="AJ1" s="35" t="s">
        <v>2869</v>
      </c>
      <c r="AK1" s="35" t="s">
        <v>7</v>
      </c>
    </row>
    <row r="2">
      <c r="A2" s="9">
        <v>1216.0</v>
      </c>
      <c r="B2" s="9" t="s">
        <v>50</v>
      </c>
      <c r="C2" s="15" t="s">
        <v>2870</v>
      </c>
      <c r="D2" s="9" t="s">
        <v>1490</v>
      </c>
      <c r="E2" s="9">
        <v>0.0</v>
      </c>
      <c r="F2" s="9" t="s">
        <v>1502</v>
      </c>
      <c r="G2" s="9">
        <v>0.0</v>
      </c>
      <c r="H2" s="9" t="s">
        <v>1514</v>
      </c>
      <c r="I2" s="9">
        <v>0.0</v>
      </c>
      <c r="J2" s="9" t="s">
        <v>1526</v>
      </c>
      <c r="K2" s="9">
        <v>0.0</v>
      </c>
      <c r="L2" s="9" t="s">
        <v>1538</v>
      </c>
      <c r="M2" s="9">
        <v>0.0</v>
      </c>
      <c r="N2" s="53" t="s">
        <v>1550</v>
      </c>
      <c r="O2" s="8">
        <v>0.0</v>
      </c>
      <c r="P2" s="53" t="s">
        <v>1562</v>
      </c>
      <c r="Q2" s="8">
        <v>0.0</v>
      </c>
      <c r="R2" s="9" t="s">
        <v>1573</v>
      </c>
      <c r="S2" s="9">
        <v>1.0</v>
      </c>
      <c r="T2" s="9" t="s">
        <v>1581</v>
      </c>
      <c r="U2" s="9">
        <v>1.0</v>
      </c>
      <c r="V2" s="86" t="s">
        <v>2871</v>
      </c>
      <c r="W2" s="15"/>
      <c r="X2" s="86" t="s">
        <v>2872</v>
      </c>
      <c r="Y2" s="15"/>
      <c r="Z2" s="87" t="s">
        <v>2873</v>
      </c>
      <c r="AA2" s="15"/>
      <c r="AB2" s="79" t="s">
        <v>2844</v>
      </c>
      <c r="AC2" s="88">
        <v>0.0</v>
      </c>
      <c r="AD2" s="53" t="s">
        <v>1575</v>
      </c>
      <c r="AE2" s="89">
        <v>1.0</v>
      </c>
      <c r="AF2" s="53" t="s">
        <v>2874</v>
      </c>
      <c r="AG2" s="89">
        <v>1.0</v>
      </c>
      <c r="AH2" s="53" t="s">
        <v>1583</v>
      </c>
      <c r="AI2" s="89">
        <v>1.0</v>
      </c>
      <c r="AJ2" s="53" t="s">
        <v>2875</v>
      </c>
      <c r="AK2" s="89">
        <v>1.0</v>
      </c>
    </row>
    <row r="6">
      <c r="H6" s="53"/>
    </row>
    <row r="7">
      <c r="H7" s="53"/>
    </row>
    <row r="8">
      <c r="H8" s="53"/>
    </row>
    <row r="9">
      <c r="H9" s="53"/>
    </row>
    <row r="10">
      <c r="H10" s="53"/>
      <c r="T10" s="53"/>
      <c r="AI10" s="53"/>
    </row>
    <row r="11">
      <c r="H11" s="53"/>
      <c r="T11" s="53"/>
      <c r="AI11" s="53"/>
    </row>
    <row r="12">
      <c r="H12" s="53"/>
    </row>
  </sheetData>
  <drawing r:id="rId1"/>
</worksheet>
</file>