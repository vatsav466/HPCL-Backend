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Tank Maintenance" sheetId="2" r:id="rId5"/>
    <sheet state="visible" name="Pump Master" sheetId="3" r:id="rId6"/>
    <sheet state="visible" name="Fire Pump Master" sheetId="4" r:id="rId7"/>
    <sheet state="visible" name="UPS Master" sheetId="5" r:id="rId8"/>
    <sheet state="visible" name="PLC Master" sheetId="6" r:id="rId9"/>
    <sheet state="visible" name="HCD Master" sheetId="7" r:id="rId10"/>
    <sheet state="visible" name="Dyke Master" sheetId="8" r:id="rId11"/>
    <sheet state="visible" name="Barrier Gate" sheetId="9" r:id="rId12"/>
    <sheet state="visible" name="Hooter Master" sheetId="10" r:id="rId13"/>
    <sheet state="visible" name="ESD Master" sheetId="11" r:id="rId14"/>
    <sheet state="visible" name="Loading Point Master" sheetId="12" r:id="rId15"/>
    <sheet state="visible" name="Gantry override" sheetId="13" r:id="rId16"/>
    <sheet state="visible" name="Fire Effect" sheetId="14" r:id="rId17"/>
    <sheet state="visible" name="Air Compressor" sheetId="15" r:id="rId18"/>
    <sheet state="visible" name="LRC Switchover" sheetId="16" r:id="rId19"/>
    <sheet state="visible" name="OI" sheetId="17" r:id="rId20"/>
  </sheets>
  <definedNames/>
  <calcPr/>
  <extLst>
    <ext uri="GoogleSheetsCustomDataVersion2">
      <go:sheetsCustomData xmlns:go="http://customooxmlschemas.google.com/" r:id="rId21" roundtripDataChecksum="glLFcsMHuY+TaA+wPmwfdFpqdUwEJMcfTGkdDWRECLM="/>
    </ext>
  </extLst>
</workbook>
</file>

<file path=xl/sharedStrings.xml><?xml version="1.0" encoding="utf-8"?>
<sst xmlns="http://schemas.openxmlformats.org/spreadsheetml/2006/main" count="2085" uniqueCount="1109">
  <si>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</si>
  <si>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</si>
  <si>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</si>
  <si>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</si>
  <si>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</si>
  <si>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</si>
  <si>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</si>
  <si>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</si>
  <si>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Sensor_Id</t>
  </si>
  <si>
    <t>Sensor_type</t>
  </si>
  <si>
    <t>Tank Receipt Mode</t>
  </si>
  <si>
    <t>Primary Gauge Level</t>
  </si>
  <si>
    <t>Sensor_Type</t>
  </si>
  <si>
    <t>Primary Gauge HIGH</t>
  </si>
  <si>
    <t>Normal Value</t>
  </si>
  <si>
    <t xml:space="preserve">TANK LEAKAGE STATUS </t>
  </si>
  <si>
    <t>TANK LEAKAGE STATUS Normal value</t>
  </si>
  <si>
    <t>Primary Gauge HIGH HIGH</t>
  </si>
  <si>
    <t>Primary Gauge HIGH HIGH Normal Value</t>
  </si>
  <si>
    <t>LEVEL SWITCH</t>
  </si>
  <si>
    <t>LEVEL SWITCH Normal Value</t>
  </si>
  <si>
    <t xml:space="preserve">LEVEL SWITCH PROOF OK </t>
  </si>
  <si>
    <t>LEVEL SWITCH PROOF OK  Normal Value</t>
  </si>
  <si>
    <t>LEVEL SWITCH PROOF FAILED</t>
  </si>
  <si>
    <t>LEVEL SWITCH PROOF FAILED Normal Value</t>
  </si>
  <si>
    <t>RADAR HHH</t>
  </si>
  <si>
    <t>RADAR HHH Normal Value</t>
  </si>
  <si>
    <t>RADAR PROOF OK</t>
  </si>
  <si>
    <t>RADAR PROOF Normal Value</t>
  </si>
  <si>
    <t>RADAR PROOF FAILED</t>
  </si>
  <si>
    <t>RADAR PROOF FAILED Normal Value</t>
  </si>
  <si>
    <t>ROSOV OPEN STATUS IL1</t>
  </si>
  <si>
    <t>ROSOV FAIL TO CLOSE STATUS IL1</t>
  </si>
  <si>
    <t>ROSOV OPEN STATUS IL2</t>
  </si>
  <si>
    <t>ROSOV FAIL TO CLOSE STATUS IL2</t>
  </si>
  <si>
    <t>ROSOV FAIL TO CLOSE STATUS IL2 Normal value</t>
  </si>
  <si>
    <t>ROSOV OPEN STATUS OL</t>
  </si>
  <si>
    <t>ROSOV OPEN STATUS OL Normal value</t>
  </si>
  <si>
    <t>ROSOV FAIL TO CLOSE STATUS OL</t>
  </si>
  <si>
    <t>ROSOV FAIL TO CLOSE STATUS OL Normal value</t>
  </si>
  <si>
    <t>ROSOV OPEN STATUS RCL</t>
  </si>
  <si>
    <t>ROSOV FAIL TO CLOSE STATUS RCL</t>
  </si>
  <si>
    <t>MOV STATUS IL1</t>
  </si>
  <si>
    <t>MOV STATUS IL2</t>
  </si>
  <si>
    <t>MOV STATUS OL</t>
  </si>
  <si>
    <t>MOV STATUS RCL</t>
  </si>
  <si>
    <t>RIMSEAL FIRE ALARM</t>
  </si>
  <si>
    <t>RIMSEAL FAULT ALARM</t>
  </si>
  <si>
    <t>Roorkee</t>
  </si>
  <si>
    <t>TK-01</t>
  </si>
  <si>
    <t>BS VI MS</t>
  </si>
  <si>
    <t>PLC.SFTPLC.ANY_ESD_PB_ACTI</t>
  </si>
  <si>
    <t>TANK.TK-01.LEVEL</t>
  </si>
  <si>
    <t>Primary Radar</t>
  </si>
  <si>
    <t>TANK.TK-01.HIGH_LEVEL</t>
  </si>
  <si>
    <t>TANK.TK-01.TANK_ALERT_ALARM</t>
  </si>
  <si>
    <t>TANK.TK-01.HIGH_HIGH_LEVEL</t>
  </si>
  <si>
    <t>TK-02</t>
  </si>
  <si>
    <t>TANK.TK-02.LEVEL</t>
  </si>
  <si>
    <t>TANK.TK-02.HIGH_LEVEL</t>
  </si>
  <si>
    <t>TANK.TK-02.TANK_ALERT_ALARM</t>
  </si>
  <si>
    <t>TANK.TK-02.HIGH_HIGH_LEVEL</t>
  </si>
  <si>
    <t>TK-03</t>
  </si>
  <si>
    <t>ETHANOL</t>
  </si>
  <si>
    <t>TANK.TK-03.LEVEL</t>
  </si>
  <si>
    <t>TANK.TK-03.HIGH_LEVEL</t>
  </si>
  <si>
    <t>TANK.TK-03.TANK_ALERT_ALARM</t>
  </si>
  <si>
    <t>TANK.TK-03.HIGH_HIGH_LEVEL</t>
  </si>
  <si>
    <t>TK-04</t>
  </si>
  <si>
    <t>TANK.TK-04.LEVEL</t>
  </si>
  <si>
    <t>TANK.TK-04.HIGH_LEVEL</t>
  </si>
  <si>
    <t>TANK.TK-04.TANK_ALERT_ALARM</t>
  </si>
  <si>
    <t>TANK.TK-04.HIGH_HIGH_LEVEL</t>
  </si>
  <si>
    <t>TK-05</t>
  </si>
  <si>
    <t>BIO DIESEL</t>
  </si>
  <si>
    <t>TANK.TK-05.LEVEL</t>
  </si>
  <si>
    <t>TANK.TK-05.HIGH_LEVEL</t>
  </si>
  <si>
    <t>TANK.TK-05.TANK_ALERT_ALARM</t>
  </si>
  <si>
    <t>TANK.TK-05.HIGH_HIGH_LEVEL</t>
  </si>
  <si>
    <t>TK-06</t>
  </si>
  <si>
    <t>TANK.TK-06.LEVEL</t>
  </si>
  <si>
    <t>TANK.TK-06.HIGH_LEVEL</t>
  </si>
  <si>
    <t>TANK.TK-06.TANK_ALERT_ALARM</t>
  </si>
  <si>
    <t>TANK.TK-06.HIGH_HIGH_LEVEL</t>
  </si>
  <si>
    <t>TK-07</t>
  </si>
  <si>
    <t>SKO</t>
  </si>
  <si>
    <t>TANK.TK-07.LEVEL</t>
  </si>
  <si>
    <t>TANK.TK-07.HIGH_LEVEL</t>
  </si>
  <si>
    <t>TANK.TK-07.TANK_ALERT_ALARM</t>
  </si>
  <si>
    <t>TANK.TK-07.HIGH_HIGH_LEVEL</t>
  </si>
  <si>
    <t>TK-08</t>
  </si>
  <si>
    <t>TANK.TK-08.LEVEL</t>
  </si>
  <si>
    <t>TANK.TK-08.HIGH_LEVEL</t>
  </si>
  <si>
    <t>TANK.TK-08.TANK_ALERT_ALARM</t>
  </si>
  <si>
    <t>TANK.TK-08.HIGH_HIGH_LEVEL</t>
  </si>
  <si>
    <t>LEVELSWITCH.LSW-01.SWITCH_STATUS</t>
  </si>
  <si>
    <t>VFT</t>
  </si>
  <si>
    <t>LEVELSWITCH.LSW-01.PROOF_TEST_OK</t>
  </si>
  <si>
    <t>LEVELSWITCH.LSW-01.PROOF_TEST_FAILED</t>
  </si>
  <si>
    <t>LEVELSWITCH.RDR-01.SWITCH_STATUS</t>
  </si>
  <si>
    <t>RADAR</t>
  </si>
  <si>
    <t>LEVELSWITCH.RDR-01.PROOF_TEST_OK</t>
  </si>
  <si>
    <t>LEVELSWITCH.RDR-01.PROOF_TEST_FAILED</t>
  </si>
  <si>
    <t>MOV.ROSOV-01.OPEN_STATUS</t>
  </si>
  <si>
    <t>ROSOV IL1</t>
  </si>
  <si>
    <t>MOV.ROSOV-01.FAILED_TO_CLOSE</t>
  </si>
  <si>
    <t>ROSOV FAILED IL1</t>
  </si>
  <si>
    <t>MOV.ROSOV-02.OPEN_STATUS</t>
  </si>
  <si>
    <t>ROSOV OL1</t>
  </si>
  <si>
    <t>MOV.ROSOV-02.FAILED_TO_CLOSE</t>
  </si>
  <si>
    <t>ROSOV FAILED OL1</t>
  </si>
  <si>
    <t>MOV.DBBV-001.OPEN_STATUS</t>
  </si>
  <si>
    <t>MOV IL1</t>
  </si>
  <si>
    <t>MOV.DBBV-003.OPEN_STATUS</t>
  </si>
  <si>
    <t>MOV OL</t>
  </si>
  <si>
    <t>TK-09</t>
  </si>
  <si>
    <t>BS VI HSD</t>
  </si>
  <si>
    <t>TANK.TK-09.LEVEL</t>
  </si>
  <si>
    <t>TANK.TK-09.HIGH_LEVEL</t>
  </si>
  <si>
    <t>TANK.TK-09.TANK_ALERT_ALARM</t>
  </si>
  <si>
    <t>TANK.TK-09.HIGH_HIGH_LEVEL</t>
  </si>
  <si>
    <t>LEVELSWITCH.LSW-02.SWITCH_STATUS</t>
  </si>
  <si>
    <t>LEVELSWITCH.LSW-02.PROOF_TEST_OK</t>
  </si>
  <si>
    <t>LEVELSWITCH.LSW-02.PROOF_TEST_FAILED</t>
  </si>
  <si>
    <t>LEVELSWITCH.RDR-02.SWITCH_STATUS</t>
  </si>
  <si>
    <t>LEVELSWITCH.RDR-02.PROOF_TEST_OK</t>
  </si>
  <si>
    <t>LEVELSWITCH.RDR-02.PROOF_TEST_FAILED</t>
  </si>
  <si>
    <t>MOV.ROSOV-06.OPEN_STATUS</t>
  </si>
  <si>
    <t>MOV.ROSOV-06.FAILED_TO_CLOSE</t>
  </si>
  <si>
    <t>MOV.ROSOV-05.OPEN_STATUS</t>
  </si>
  <si>
    <t>MOV.ROSOV-05.FAILED_TO_CLOSE</t>
  </si>
  <si>
    <t>MOV.ROSOV-04.OPEN_STATUS</t>
  </si>
  <si>
    <t>ROSOV RCL</t>
  </si>
  <si>
    <t>MOV.ROSOV-04.FAILED_TO_CLOSE</t>
  </si>
  <si>
    <t>MOV.DBBV-006.OPEN_STATUS</t>
  </si>
  <si>
    <t>MOV.DBBV-005.OPEN_STATUS</t>
  </si>
  <si>
    <t>MOV.DBBV-004.OPEN_STATUS</t>
  </si>
  <si>
    <t>MOV RCL</t>
  </si>
  <si>
    <t>TK-10</t>
  </si>
  <si>
    <t>TANK.TK-10.LEVEL</t>
  </si>
  <si>
    <t>TANK.TK-10.HIGH_LEVEL</t>
  </si>
  <si>
    <t>TANK.TK-10.TANK_ALERT_ALARM</t>
  </si>
  <si>
    <t>TANK.TK-10.HIGH_HIGH_LEVEL</t>
  </si>
  <si>
    <t>LEVELSWITCH.LSW-03.SWITCH_STATUS</t>
  </si>
  <si>
    <t>LEVELSWITCH.LSW-03.PROOF_TEST_OK</t>
  </si>
  <si>
    <t>LEVELSWITCH.LSW-03.PROOF_TEST_FAILED</t>
  </si>
  <si>
    <t>LEVELSWITCH.RDR-03.SWITCH_STATUS</t>
  </si>
  <si>
    <t>LEVELSWITCH.RDR-03.PROOF_TEST_OK</t>
  </si>
  <si>
    <t>LEVELSWITCH.RDR-03.PROOF_TEST_FAILED</t>
  </si>
  <si>
    <t>MOV.ROSOV-09.OPEN_STATUS</t>
  </si>
  <si>
    <t>MOV.ROSOV-09.FAILED_TO_CLOSE</t>
  </si>
  <si>
    <t>MOV.ROSOV-08.OPEN_STATUS</t>
  </si>
  <si>
    <t>MOV.ROSOV-08.FAILED_TO_CLOSE</t>
  </si>
  <si>
    <t>MOV.ROSOV-07.OPEN_STATUS</t>
  </si>
  <si>
    <t>MOV.ROSOV-07.FAILED_TO_CLOSE</t>
  </si>
  <si>
    <t>MOV.DBBV-009.OPEN_STATUS</t>
  </si>
  <si>
    <t>MOV.DBBV-008.OPEN_STATUS</t>
  </si>
  <si>
    <t>MOV.DBBV-007.OPEN_STATUS</t>
  </si>
  <si>
    <t>TK-11</t>
  </si>
  <si>
    <t>TANK.TK-11.LEVEL</t>
  </si>
  <si>
    <t>TANK.TK-11.HIGH_LEVEL</t>
  </si>
  <si>
    <t>TANK.TK-11.TANK_ALERT_ALARM</t>
  </si>
  <si>
    <t>TANK.TK-11.HIGH_HIGH_LEVEL</t>
  </si>
  <si>
    <t>LEVELSWITCH.LSW-04.SWITCH_STATUS</t>
  </si>
  <si>
    <t>LEVELSWITCH.LSW-04.PROOF_TEST_OK</t>
  </si>
  <si>
    <t>LEVELSWITCH.LSW-04.PROOF_TEST_FAILED</t>
  </si>
  <si>
    <t>LEVELSWITCH.RDR-04.SWITCH_STATUS</t>
  </si>
  <si>
    <t>LEVELSWITCH.RDR-04.PROOF_TEST_OK</t>
  </si>
  <si>
    <t>LEVELSWITCH.RDR-04.PROOF_TEST_FAILED</t>
  </si>
  <si>
    <t>MOV.ROSOV-12.OPEN_STATUS</t>
  </si>
  <si>
    <t>MOV.ROSOV-12.FAILED_TO_CLOSE</t>
  </si>
  <si>
    <t>MOV.ROSOV-11.OPEN_STATUS</t>
  </si>
  <si>
    <t>MOV.ROSOV-11.FAILED_TO_CLOSE</t>
  </si>
  <si>
    <t>MOV.ROSOV-10.OPEN_STATUS</t>
  </si>
  <si>
    <t>MOV.ROSOV-10.FAILED_TO_CLOSE</t>
  </si>
  <si>
    <t>MOV.DBBV-012.OPEN_STATUS</t>
  </si>
  <si>
    <t>MOV.DBBV-011.OPEN_STATUS</t>
  </si>
  <si>
    <t>MOV.DBBV-010.OPEN_STATUS</t>
  </si>
  <si>
    <t>TK-12</t>
  </si>
  <si>
    <t>TANK.TK-12.LEVEL</t>
  </si>
  <si>
    <t>TANK.TK-12.HIGH_LEVEL</t>
  </si>
  <si>
    <t>TANK.TK-12.TANK_ALERT_ALARM</t>
  </si>
  <si>
    <t>TANK.TK-12.HIGH_HIGH_LEVEL</t>
  </si>
  <si>
    <t>LEVELSWITCH.LSW-05.SWITCH_STATUS</t>
  </si>
  <si>
    <t>LEVELSWITCH.LSW-05.PROOF_TEST_OK</t>
  </si>
  <si>
    <t>LEVELSWITCH.LSW-05.PROOF_TEST_FAILED</t>
  </si>
  <si>
    <t>LEVELSWITCH.RDR-05.SWITCH_STATUS</t>
  </si>
  <si>
    <t>LEVELSWITCH.RDR-05.PROOF_TEST_OK</t>
  </si>
  <si>
    <t>LEVELSWITCH.RDR-05.PROOF_TEST_FAILED</t>
  </si>
  <si>
    <t>MOV.ROSOV-15.OPEN_STATUS</t>
  </si>
  <si>
    <t>MOV.ROSOV-15.FAILED_TO_CLOSE</t>
  </si>
  <si>
    <t>MOV.ROSOV-14.OPEN_STATUS</t>
  </si>
  <si>
    <t>MOV.ROSOV-14.FAILED_TO_CLOSE</t>
  </si>
  <si>
    <t>MOV.ROSOV-13.OPEN_STATUS</t>
  </si>
  <si>
    <t>MOV.ROSOV-13.FAILED_TO_CLOSE</t>
  </si>
  <si>
    <t>MOV.DBBV-015.OPEN_STATUS</t>
  </si>
  <si>
    <t>MOV.DBBV-014.OPEN_STATUS</t>
  </si>
  <si>
    <t>MOV.DBBV-013.OPEN_STATUS</t>
  </si>
  <si>
    <t>TK-13</t>
  </si>
  <si>
    <t>WATER</t>
  </si>
  <si>
    <t>TANK.TK-13.LEVEL</t>
  </si>
  <si>
    <t>TANK.TK-13.TANK_ALERT_ALARM</t>
  </si>
  <si>
    <t>TK-14</t>
  </si>
  <si>
    <t>TANK.TK-14.LEVEL</t>
  </si>
  <si>
    <t>TANK.TK-14.TANK_ALERT_ALARM</t>
  </si>
  <si>
    <t>TK-15</t>
  </si>
  <si>
    <t>TANK.TK-15.LEVEL</t>
  </si>
  <si>
    <t>TANK.TK-15.HIGH_LEVEL</t>
  </si>
  <si>
    <t>TANK.TK-15.TANK_ALERT_ALARM</t>
  </si>
  <si>
    <t>TANK.TK-15.HIGH_HIGH_LEVEL</t>
  </si>
  <si>
    <t>TK-16</t>
  </si>
  <si>
    <t>TANK.TK-16.LEVEL</t>
  </si>
  <si>
    <t>TANK.TK-16.HIGH_LEVEL</t>
  </si>
  <si>
    <t>TANK.TK-16.TANK_ALERT_ALARM</t>
  </si>
  <si>
    <t>TANK.TK-16.HIGH_HIGH_LEVEL</t>
  </si>
  <si>
    <t>TK-17</t>
  </si>
  <si>
    <t>TANK.TK-17.LEVEL</t>
  </si>
  <si>
    <t>TANK.TK-17.HIGH_LEVEL</t>
  </si>
  <si>
    <t>TANK.TK-17.TANK_ALERT_ALARM</t>
  </si>
  <si>
    <t>TANK.TK-17.HIGH_HIGH_LEVEL</t>
  </si>
  <si>
    <t>LEVELSWITCH.LSW-06.SWITCH_STATUS</t>
  </si>
  <si>
    <t>LEVELSWITCH.LSW-06.PROOF_TEST_OK</t>
  </si>
  <si>
    <t>LEVELSWITCH.LSW-06.PROOF_TEST_FAILED</t>
  </si>
  <si>
    <t>LEVELSWITCH.RDR-06.SWITCH_STATUS</t>
  </si>
  <si>
    <t>LEVELSWITCH.RDR-06.PROOF_TEST_OK</t>
  </si>
  <si>
    <t>LEVELSWITCH.RDR-06.PROOF_TEST_FAILED</t>
  </si>
  <si>
    <t>MOV.ROSOV-16.OPEN_STATUS</t>
  </si>
  <si>
    <t>MOV.ROSOV-16.FAILED_TO_CLOSE</t>
  </si>
  <si>
    <t>MOV.ROSOV-17.OPEN_STATUS</t>
  </si>
  <si>
    <t>MOV.ROSOV-17.FAILED_TO_CLOSE</t>
  </si>
  <si>
    <t>MOV.ROSOV-18.OPEN_STATUS</t>
  </si>
  <si>
    <t>MOV.ROSOV-18.FAILED_TO_CLOSE</t>
  </si>
  <si>
    <t>MOV.DBBV-018.OPEN_STATUS</t>
  </si>
  <si>
    <t>MOV.DBBV-019.OPEN_STATUS</t>
  </si>
  <si>
    <t>MOV.DBBV-020.OPEN_STATUS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</si>
  <si>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</si>
  <si>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</si>
  <si>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</si>
  <si>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</si>
  <si>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</si>
  <si>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</si>
  <si>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</si>
  <si>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</si>
  <si>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</si>
  <si>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</si>
  <si>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</si>
  <si>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</si>
  <si>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RIM SEAL MAINTENANCE STATUS</t>
  </si>
  <si>
    <t>Roorkee_M</t>
  </si>
  <si>
    <t>TANK.TK-01.MAINTENANCE_STATUS</t>
  </si>
  <si>
    <t>TANK.TK-02.MAINTENANCE_STATUS</t>
  </si>
  <si>
    <t>TANK.TK-03.MAINTENANCE_STATUS</t>
  </si>
  <si>
    <t>TANK.TK-04.MAINTENANCE_STATUS</t>
  </si>
  <si>
    <t>TANK.TK-05.MAINTENANCE_STATUS</t>
  </si>
  <si>
    <t>TANK.TK-06.MAINTENANCE_STATUS</t>
  </si>
  <si>
    <t>TANK.TK-07.MAINTENANCE_STATUS</t>
  </si>
  <si>
    <t>TANK.TK-08.MAINTENANCE_STATUS</t>
  </si>
  <si>
    <t>LEVELSWITCH.LSW-01.MAINTENANCE_STATUS</t>
  </si>
  <si>
    <t>VTF</t>
  </si>
  <si>
    <t>LEVELSWITCH.RDR-01.MAINTENANCE_STATUS</t>
  </si>
  <si>
    <t>MOV.ROSOV-01.MAINTENANCE_STATUS</t>
  </si>
  <si>
    <t>MOV.ROSOV-02.MAINTENANCE_STATUS</t>
  </si>
  <si>
    <t>ROSOV OL</t>
  </si>
  <si>
    <t>MOV.DBBV-001.MAINTENANCE_STATUS</t>
  </si>
  <si>
    <t>MOV.DBBV-003.MAINTENANCE_STATUS</t>
  </si>
  <si>
    <t>TANK.TK-09.MAINTENANCE_STATUS</t>
  </si>
  <si>
    <t>LEVELSWITCH.LSW-02.MAINTENANCE_STATUS</t>
  </si>
  <si>
    <t>LEVELSWITCH.RDR-02.MAINTENANCE_STATUS</t>
  </si>
  <si>
    <t>MOV.ROSOV-06.MAINTENANCE_STATUS</t>
  </si>
  <si>
    <t>MOV.ROSOV-05.MAINTENANCE_STATUS</t>
  </si>
  <si>
    <t>MOV.ROSOV-04.MAINTENANCE_STATUS</t>
  </si>
  <si>
    <t>MOV.DBBV-006.MAINTENANCE_STATUS</t>
  </si>
  <si>
    <t>MOV.DBBV-004.MAINTENANCE_STATUS</t>
  </si>
  <si>
    <t>MOV.DBBV-005.MAINTENANCE_STATUS</t>
  </si>
  <si>
    <t>TANK.TK-10.MAINTENANCE_STATUS</t>
  </si>
  <si>
    <t>LEVELSWITCH.LSW-03.MAINTENANCE_STATUS</t>
  </si>
  <si>
    <t>LEVELSWITCH.RDR-03.MAINTENANCE_STATUS</t>
  </si>
  <si>
    <t>MOV.ROSOV-09.MAINTENANCE_STATUS</t>
  </si>
  <si>
    <t>MOV.ROSOV-08.MAINTENANCE_STATUS</t>
  </si>
  <si>
    <t>MOV.ROSOV-07.MAINTENANCE_STATUS</t>
  </si>
  <si>
    <t>MOV.DBBV-009.MAINTENANCE_STATUS</t>
  </si>
  <si>
    <t>MOV.DBBV-007.MAINTENANCE_STATUS</t>
  </si>
  <si>
    <t>MOV.DBBV-008.MAINTENANCE_STATUS</t>
  </si>
  <si>
    <t>TANK.TK-11.MAINTENANCE_STATUS</t>
  </si>
  <si>
    <t>LEVELSWITCH.LSW-04.MAINTENANCE_STATUS</t>
  </si>
  <si>
    <t>LEVELSWITCH.RDR-04.MAINTENANCE_STATUS</t>
  </si>
  <si>
    <t>MOV.ROSOV-12.MAINTENANCE_STATUS</t>
  </si>
  <si>
    <t>MOV.ROSOV-11.MAINTENANCE_STATUS</t>
  </si>
  <si>
    <t>MOV.ROSOV-10.MAINTENANCE_STATUS</t>
  </si>
  <si>
    <t>MOV.DBBV-012.MAINTENANCE_STATUS</t>
  </si>
  <si>
    <t>MOV.DBBV-010.MAINTENANCE_STATUS</t>
  </si>
  <si>
    <t>MOV.DBBV-011.MAINTENANCE_STATUS</t>
  </si>
  <si>
    <t>TANK.TK-12.MAINTENANCE_STATUS</t>
  </si>
  <si>
    <t>LEVELSWITCH.LSW-05.MAINTENANCE_STATUS</t>
  </si>
  <si>
    <t>LEVELSWITCH.RDR-05.MAINTENANCE_STATUS</t>
  </si>
  <si>
    <t>MOV.ROSOV-15.MAINTENANCE_STATUS</t>
  </si>
  <si>
    <t>MOV.ROSOV-14.MAINTENANCE_STATUS</t>
  </si>
  <si>
    <t>MOV.ROSOV-13.MAINTENANCE_STATUS</t>
  </si>
  <si>
    <t>MOV.DBBV-015.MAINTENANCE_STATUS</t>
  </si>
  <si>
    <t>MOV.DBBV-013.MAINTENANCE_STATUS</t>
  </si>
  <si>
    <t>MOV.DBBV-014.MAINTENANCE_STATUS</t>
  </si>
  <si>
    <t>TANK.TK-13.MAINTENANCE_STATUS</t>
  </si>
  <si>
    <t>TANK.TK-14.MAINTENANCE_STATUS</t>
  </si>
  <si>
    <t>TANK.TK-15.MAINTENANCE_STATUS</t>
  </si>
  <si>
    <t>TANK.TK-16.MAINTENANCE_STATUS</t>
  </si>
  <si>
    <t>TANK.TK-17.MAINTENANCE_STATUS</t>
  </si>
  <si>
    <t>LEVELSWITCH.LSW-06.MAINTENANCE_STATUS</t>
  </si>
  <si>
    <t>LEVELSWITCH.RDR-06.MAINTENANCE_STATUS</t>
  </si>
  <si>
    <t>MOV.ROSOV-16.MAINTENANCE_STATUS</t>
  </si>
  <si>
    <t>MOV.ROSOV-17.MAINTENANCE_STATUS</t>
  </si>
  <si>
    <t>MOV.ROSOV-18.MAINTENANCE_STATUS</t>
  </si>
  <si>
    <t>MOV.DBBV-018.MAINTENANCE_STATUS</t>
  </si>
  <si>
    <t>MOV.DBBV-020.MAINTENANCE_STATUS</t>
  </si>
  <si>
    <t>MOV.DBBV-019.MAINTENANCE_STATUS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</si>
  <si>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</si>
  <si>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</si>
  <si>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</si>
  <si>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</si>
  <si>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</si>
  <si>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</si>
  <si>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OFF STATUS</t>
  </si>
  <si>
    <t>PUMP OFF STATUS Normal value</t>
  </si>
  <si>
    <t>PUMP LR STATUS</t>
  </si>
  <si>
    <t>PUMP LR STATUS Normal value</t>
  </si>
  <si>
    <t>PUMP MAINTENANCE STATUS</t>
  </si>
  <si>
    <t>ADTV-PMP-01</t>
  </si>
  <si>
    <t>POWERMS</t>
  </si>
  <si>
    <t>Truck Loading</t>
  </si>
  <si>
    <t>PUMP.ADTV-PMP-01.ON</t>
  </si>
  <si>
    <t>PUMP.ADTV-PMP-01.OFF</t>
  </si>
  <si>
    <t>PUMP.ADTV-PMP-01.REMOTE_STATUS</t>
  </si>
  <si>
    <t>PUMP.ADTV-PMP-01.MAINTENANCE_STATUS</t>
  </si>
  <si>
    <t>ADTV-PMP-02</t>
  </si>
  <si>
    <t>PUMP.ADTV-PMP-02.ON</t>
  </si>
  <si>
    <t>PUMP.ADTV-PMP-02.OFF</t>
  </si>
  <si>
    <t>PUMP.ADTV-PMP-02.REMOTE_STATUS</t>
  </si>
  <si>
    <t>PUMP.ADTV-PMP-02.MAINTENANCE_STATUS</t>
  </si>
  <si>
    <t>ADTV-PMP-03</t>
  </si>
  <si>
    <t>TURBOHSD</t>
  </si>
  <si>
    <t>PUMP.ADTV-PMP-03.ON</t>
  </si>
  <si>
    <t>PUMP.ADTV-PMP-03.OFF</t>
  </si>
  <si>
    <t>PUMP.ADTV-PMP-03.REMOTE_STATUS</t>
  </si>
  <si>
    <t>PUMP.ADTV-PMP-03.MAINTENANCE_STATUS</t>
  </si>
  <si>
    <t>ADTV-PMP-04</t>
  </si>
  <si>
    <t>PUMP.ADTV-PMP-04.ON</t>
  </si>
  <si>
    <t>PUMP.ADTV-PMP-04.OFF</t>
  </si>
  <si>
    <t>PUMP.ADTV-PMP-04.REMOTE_STATUS</t>
  </si>
  <si>
    <t>PUMP.ADTV-PMP-04.MAINTENANCE_STATUS</t>
  </si>
  <si>
    <t>ADTV-PMP-05</t>
  </si>
  <si>
    <t>BLUE DYE</t>
  </si>
  <si>
    <t>PUMP.ADTV-PMP-05.ON</t>
  </si>
  <si>
    <t>PUMP.ADTV-PMP-05.OFF</t>
  </si>
  <si>
    <t>PUMP.ADTV-PMP-05.REMOTE_STATUS</t>
  </si>
  <si>
    <t>PUMP.ADTV-PMP-05.MAINTENANCE_STATUS</t>
  </si>
  <si>
    <t>ADTV-PMP-06</t>
  </si>
  <si>
    <t>PUMP.ADTV-PMP-06.ON</t>
  </si>
  <si>
    <t>PUMP.ADTV-PMP-06.OFF</t>
  </si>
  <si>
    <t>PUMP.ADTV-PMP-06.REMOTE_STATUS</t>
  </si>
  <si>
    <t>PUMP.ADTV-PMP-06.MAINTENANCE_STATUS</t>
  </si>
  <si>
    <t>PMP-01</t>
  </si>
  <si>
    <t>PUMP.PMP-01.ON</t>
  </si>
  <si>
    <t>PUMP.PMP-01.OFF</t>
  </si>
  <si>
    <t>PUMP.PMP-01.REMOTE_STATUS</t>
  </si>
  <si>
    <t>PUMP.PMP-01.MAINTENANCE_STATUS</t>
  </si>
  <si>
    <t>PMP-02</t>
  </si>
  <si>
    <t>PUMP.PMP-02.ON</t>
  </si>
  <si>
    <t>PUMP.PMP-02.OFF</t>
  </si>
  <si>
    <t>PUMP.PMP-02.REMOTE_STATUS</t>
  </si>
  <si>
    <t>PUMP.PMP-02.MAINTENANCE_STATUS</t>
  </si>
  <si>
    <t>PMP-03</t>
  </si>
  <si>
    <t>PUMP.PMP-03.ON</t>
  </si>
  <si>
    <t>PUMP.PMP-03.OFF</t>
  </si>
  <si>
    <t>PUMP.PMP-03.REMOTE_STATUS</t>
  </si>
  <si>
    <t>PUMP.PMP-03.MAINTENANCE_STATUS</t>
  </si>
  <si>
    <t>PMP-04</t>
  </si>
  <si>
    <t>PUMP.PMP-04.ON</t>
  </si>
  <si>
    <t>PUMP.PMP-04.OFF</t>
  </si>
  <si>
    <t>PUMP.PMP-04.REMOTE_STATUS</t>
  </si>
  <si>
    <t>PUMP.PMP-04.MAINTENANCE_STATUS</t>
  </si>
  <si>
    <t>PMP-05</t>
  </si>
  <si>
    <t>PUMP.PMP-05.ON</t>
  </si>
  <si>
    <t>PUMP.PMP-05.OFF</t>
  </si>
  <si>
    <t>PUMP.PMP-05.REMOTE_STATUS</t>
  </si>
  <si>
    <t>PUMP.PMP-05.MAINTENANCE_STATUS</t>
  </si>
  <si>
    <t>PMP-06</t>
  </si>
  <si>
    <t>PUMP.PMP-06.ON</t>
  </si>
  <si>
    <t>PUMP.PMP-06.OFF</t>
  </si>
  <si>
    <t>PUMP.PMP-06.REMOTE_STATUS</t>
  </si>
  <si>
    <t>PUMP.PMP-06.MAINTENANCE_STATUS</t>
  </si>
  <si>
    <t>PMP-07</t>
  </si>
  <si>
    <t>PUMP.PMP-07.ON</t>
  </si>
  <si>
    <t>PUMP.PMP-07.OFF</t>
  </si>
  <si>
    <t>PUMP.PMP-07.REMOTE_STATUS</t>
  </si>
  <si>
    <t>PUMP.PMP-07.MAINTENANCE_STATUS</t>
  </si>
  <si>
    <t>PMP-08</t>
  </si>
  <si>
    <t>PUMP.PMP-08.ON</t>
  </si>
  <si>
    <t>PUMP.PMP-08.OFF</t>
  </si>
  <si>
    <t>PUMP.PMP-08.REMOTE_STATUS</t>
  </si>
  <si>
    <t>PUMP.PMP-08.MAINTENANCE_STATUS</t>
  </si>
  <si>
    <t>PMP-09</t>
  </si>
  <si>
    <t>PUMP.PMP-09.ON</t>
  </si>
  <si>
    <t>PUMP.PMP-09.OFF</t>
  </si>
  <si>
    <t>PUMP.PMP-09.REMOTE_STATUS</t>
  </si>
  <si>
    <t>PUMP.PMP-09.MAINTENANCE_STATUS</t>
  </si>
  <si>
    <t>PMP-10</t>
  </si>
  <si>
    <t>PUMP.PMP-10.ON</t>
  </si>
  <si>
    <t>PUMP.PMP-10.OFF</t>
  </si>
  <si>
    <t>PUMP.PMP-10.REMOTE_STATUS</t>
  </si>
  <si>
    <t>PUMP.PMP-10.MAINTENANCE_STATUS</t>
  </si>
  <si>
    <t>PMP-11</t>
  </si>
  <si>
    <t>PUMP.PMP-11.ON</t>
  </si>
  <si>
    <t>PUMP.PMP-11.OFF</t>
  </si>
  <si>
    <t>PUMP.PMP-11.REMOTE_STATUS</t>
  </si>
  <si>
    <t>PUMP.PMP-11.MAINTENANCE_STATUS</t>
  </si>
  <si>
    <t>PMP-12</t>
  </si>
  <si>
    <t>PUMP.PMP-12.ON</t>
  </si>
  <si>
    <t>PUMP.PMP-12.OFF</t>
  </si>
  <si>
    <t>PUMP.PMP-12.REMOTE_STATUS</t>
  </si>
  <si>
    <t>PUMP.PMP-12.MAINTENANCE_STATUS</t>
  </si>
  <si>
    <t>PMP-13</t>
  </si>
  <si>
    <t>PUMP.PMP-13.ON</t>
  </si>
  <si>
    <t>PUMP.PMP-13.OFF</t>
  </si>
  <si>
    <t>PUMP.PMP-13.REMOTE_STATUS</t>
  </si>
  <si>
    <t>PUMP.PMP-13.MAINTENANCE_STATUS</t>
  </si>
  <si>
    <t>PMP-14</t>
  </si>
  <si>
    <t>PUMP.PMP-14.ON</t>
  </si>
  <si>
    <t>PUMP.PMP-14.OFF</t>
  </si>
  <si>
    <t>PUMP.PMP-14.REMOTE_STATUS</t>
  </si>
  <si>
    <t>PUMP.PMP-14.MAINTENANCE_STATUS</t>
  </si>
  <si>
    <t>PMP-15</t>
  </si>
  <si>
    <t>PUMP.PMP-15.ON</t>
  </si>
  <si>
    <t>PUMP.PMP-15.OFF</t>
  </si>
  <si>
    <t>PUMP.PMP-15.REMOTE_STATUS</t>
  </si>
  <si>
    <t>PUMP.PMP-15.MAINTENANCE_STATUS</t>
  </si>
  <si>
    <t>PMP-16</t>
  </si>
  <si>
    <t>PUMP.PMP-16.ON</t>
  </si>
  <si>
    <t>PUMP.PMP-16.OFF</t>
  </si>
  <si>
    <t>PUMP.PMP-16.REMOTE_STATUS</t>
  </si>
  <si>
    <t>PUMP.PMP-16.MAINTENANCE_STATUS</t>
  </si>
  <si>
    <t>PMP-17</t>
  </si>
  <si>
    <t>PUMP.PMP-17.ON</t>
  </si>
  <si>
    <t>PUMP.PMP-17.OFF</t>
  </si>
  <si>
    <t>PUMP.PMP-17.REMOTE_STATUS</t>
  </si>
  <si>
    <t>PUMP.PMP-17.MAINTENANCE_STATUS</t>
  </si>
  <si>
    <t>PMP-18</t>
  </si>
  <si>
    <t>PUMP.PMP-18.ON</t>
  </si>
  <si>
    <t>PUMP.PMP-18.OFF</t>
  </si>
  <si>
    <t>PUMP.PMP-18.REMOTE_STATUS</t>
  </si>
  <si>
    <t>PUMP.PMP-18.MAINTENANCE_STATUS</t>
  </si>
  <si>
    <t>PMP-19</t>
  </si>
  <si>
    <t>Wagon Loading</t>
  </si>
  <si>
    <t>PUMP.PMP-19.ON</t>
  </si>
  <si>
    <t>PUMP.PMP-19.OFF</t>
  </si>
  <si>
    <t>PUMP.PMP-19.REMOTE_STATUS</t>
  </si>
  <si>
    <t>PUMP.PMP-19.MAINTENANCE_STATUS</t>
  </si>
  <si>
    <t>PMP-20</t>
  </si>
  <si>
    <t>PUMP.PMP-20.ON</t>
  </si>
  <si>
    <t>PUMP.PMP-20.OFF</t>
  </si>
  <si>
    <t>PUMP.PMP-20.REMOTE_STATUS</t>
  </si>
  <si>
    <t>PUMP.PMP-20.MAINTENANCE_STATUS</t>
  </si>
  <si>
    <t>PMP-21</t>
  </si>
  <si>
    <t>BS IV HSD</t>
  </si>
  <si>
    <t>PUMP.PMP-21.ON</t>
  </si>
  <si>
    <t>PUMP.PMP-21.OFF</t>
  </si>
  <si>
    <t>PUMP.PMP-21.REMOTE_STATUS</t>
  </si>
  <si>
    <t>PUMP.PMP-21.MAINTENANCE_STATUS</t>
  </si>
  <si>
    <t>PMP-22</t>
  </si>
  <si>
    <t>PUMP.PMP-22.ON</t>
  </si>
  <si>
    <t>PUMP.PMP-22.OFF</t>
  </si>
  <si>
    <t>PUMP.PMP-22.REMOTE_STATUS</t>
  </si>
  <si>
    <t>PUMP.PMP-22.MAINTENANCE_STATUS</t>
  </si>
  <si>
    <t>PMP-23</t>
  </si>
  <si>
    <t>PUMP.PMP-23.ON</t>
  </si>
  <si>
    <t>PUMP.PMP-23.OFF</t>
  </si>
  <si>
    <t>PUMP.PMP-23.REMOTE_STATUS</t>
  </si>
  <si>
    <t>PUMP.PMP-23.MAINTENANCE_STATUS</t>
  </si>
  <si>
    <t>PMP-24</t>
  </si>
  <si>
    <t>PUMP.PMP-24.ON</t>
  </si>
  <si>
    <t>PUMP.PMP-24.OFF</t>
  </si>
  <si>
    <t>PUMP.PMP-24.REMOTE_STATUS</t>
  </si>
  <si>
    <t>PUMP.PMP-24.MAINTENANCE_STATUS</t>
  </si>
  <si>
    <t>PMP-25</t>
  </si>
  <si>
    <t>PUMP.PMP-25.ON</t>
  </si>
  <si>
    <t>PUMP.PMP-25.OFF</t>
  </si>
  <si>
    <t>PUMP.PMP-25.REMOTE_STATUS</t>
  </si>
  <si>
    <t>PUMP.PMP-25.MAINTENANCE_STATUS</t>
  </si>
  <si>
    <t>PMP-26</t>
  </si>
  <si>
    <t>PUMP.PMP-26.ON</t>
  </si>
  <si>
    <t>PUMP.PMP-26.OFF</t>
  </si>
  <si>
    <t>PUMP.PMP-26.REMOTE_STATUS</t>
  </si>
  <si>
    <t>PUMP.PMP-26.MAINTENANCE_STATUS</t>
  </si>
  <si>
    <t>PMP-27</t>
  </si>
  <si>
    <t>PUMP.PMP-27.ON</t>
  </si>
  <si>
    <t>PUMP.PMP-27.OFF</t>
  </si>
  <si>
    <t>PUMP.PMP-27.REMOTE_STATUS</t>
  </si>
  <si>
    <t>PUMP.PMP-27.MAINTENANCE_STATUS</t>
  </si>
  <si>
    <t>PMP-28</t>
  </si>
  <si>
    <t>PUMP.PMP-28.ON</t>
  </si>
  <si>
    <t>PUMP.PMP-28.OFF</t>
  </si>
  <si>
    <t>PUMP.PMP-28.REMOTE_STATUS</t>
  </si>
  <si>
    <t>PUMP.PMP-28.MAINTENANCE_STATUS</t>
  </si>
  <si>
    <t>PMP-29</t>
  </si>
  <si>
    <t>PUMP.PMP-29.ON</t>
  </si>
  <si>
    <t>PUMP.PMP-29.OFF</t>
  </si>
  <si>
    <t>PUMP.PMP-29.REMOTE_STATUS</t>
  </si>
  <si>
    <t>PUMP.PMP-29.MAINTENANCE_STATUS</t>
  </si>
  <si>
    <t>PMP-30</t>
  </si>
  <si>
    <t>PUMP.PMP-30.ON</t>
  </si>
  <si>
    <t>PUMP.PMP-30.OFF</t>
  </si>
  <si>
    <t>PUMP.PMP-30.REMOTE_STATUS</t>
  </si>
  <si>
    <t>PUMP.PMP-30.MAINTENANCE_STATUS</t>
  </si>
  <si>
    <t>PMP-IOCL-01</t>
  </si>
  <si>
    <t>PUMP.PMP-IOCL-01.ON</t>
  </si>
  <si>
    <t>PUMP.PMP-IOCL-01.OFF</t>
  </si>
  <si>
    <t>PMP-IOCL-02</t>
  </si>
  <si>
    <t>PUMP.PMP-IOCL-02.ON</t>
  </si>
  <si>
    <t>PUMP.PMP-IOCL-02.OFF</t>
  </si>
  <si>
    <t>PMP-IOCL-03</t>
  </si>
  <si>
    <t>PUMP.PMP-IOCL-03.ON</t>
  </si>
  <si>
    <t>PUMP.PMP-IOCL-03.OFF</t>
  </si>
  <si>
    <t>PMP-IOCL-04</t>
  </si>
  <si>
    <t>PUMP.PMP-IOCL-04.ON</t>
  </si>
  <si>
    <t>PUMP.PMP-IOCL-04.OFF</t>
  </si>
  <si>
    <t>FIRE PUMP MAINTENANCE</t>
  </si>
  <si>
    <t>FIRE PUMP MAINTENANCE Normal value</t>
  </si>
  <si>
    <t>FIRE PUMP FAIL TO START 1</t>
  </si>
  <si>
    <t>FIRE PUMP FAIL TO START 1 Normal value</t>
  </si>
  <si>
    <t>FIRE PUMP FAIL TO START 2</t>
  </si>
  <si>
    <t>FIRE PUMP FAIL TO START 2 Normal value</t>
  </si>
  <si>
    <t>FIRE PUMP FAIL TO START 3</t>
  </si>
  <si>
    <t>FIRE PUMP FAIL TO START 3 Normal value</t>
  </si>
  <si>
    <t>FIRE PUMP FAIL TO START STANDBY</t>
  </si>
  <si>
    <t>FIRE PUMP TRIPPED FAULT</t>
  </si>
  <si>
    <t>FIRE PUMP TRIPPED FAULT Normal value</t>
  </si>
  <si>
    <t>FIRE PUMP LLOP ALARM</t>
  </si>
  <si>
    <t>FIRE PUMP LLOP ALARM Normal value</t>
  </si>
  <si>
    <t>FIRE PUMP HWT ALARM</t>
  </si>
  <si>
    <t>FIRE PUMP HWT ALARM Normal value</t>
  </si>
  <si>
    <t>FWP-01</t>
  </si>
  <si>
    <t>Water</t>
  </si>
  <si>
    <t>PUMP HOUSE</t>
  </si>
  <si>
    <t>PUMP.FWP-01.ON</t>
  </si>
  <si>
    <t>PUMP.FWP-01.OFF</t>
  </si>
  <si>
    <t>PUMP.FWP-01.REMOTE_STATUS</t>
  </si>
  <si>
    <t>PUMP.FWP-01.MAINTENANCE_STATUS</t>
  </si>
  <si>
    <t>PUMP.FWP-01.FAILED_TO_START_MAIN1</t>
  </si>
  <si>
    <t>PUMP.FWP-01.FAILED_TO_START_STANDBY1</t>
  </si>
  <si>
    <t>PUMP.FWP-01.PUMP_TRIPPED</t>
  </si>
  <si>
    <t>PUMP.FWP-01.LOW_OIL_PRESSURE_ALARM</t>
  </si>
  <si>
    <t>PUMP.FWP-01.HIGH_TEMPERATURE_ALARM</t>
  </si>
  <si>
    <t>FWP-02</t>
  </si>
  <si>
    <t>PUMP.FWP-02.ON</t>
  </si>
  <si>
    <t>PUMP.FWP-02.OFF</t>
  </si>
  <si>
    <t>PUMP.FWP-02.REMOTE_STATUS</t>
  </si>
  <si>
    <t>PUMP.FWP-02.MAINTENANCE_STATUS</t>
  </si>
  <si>
    <t>PUMP.FWP-02.FAILED_TO_START_MAIN1</t>
  </si>
  <si>
    <t>PUMP.FWP-02.FAILED_TO_START_STANDBY1</t>
  </si>
  <si>
    <t>PUMP.FWP-02.PUMP_TRIPPED</t>
  </si>
  <si>
    <t>PUMP.FWP-02.LOW_OIL_PRESSURE_ALARM</t>
  </si>
  <si>
    <t>PUMP.FWP-02.HIGH_TEMPERATURE_ALARM</t>
  </si>
  <si>
    <t>JCY-01</t>
  </si>
  <si>
    <t>Jockey</t>
  </si>
  <si>
    <t>PUMP.JCY-01.ON</t>
  </si>
  <si>
    <t>PUMP.JCY-01.OFF</t>
  </si>
  <si>
    <t>PUMP.JCY-01.REMOTE_STATUS</t>
  </si>
  <si>
    <t>PUMP.JCY-01.MAINTENANCE_STATUS</t>
  </si>
  <si>
    <t>PUMP.JCY-01.FAILED_TO_START_MAIN1</t>
  </si>
  <si>
    <t>PUMP.JCY-01.FAILED_TO_START_STANDBY</t>
  </si>
  <si>
    <t>PUMP.JCY-01.PUMP_TRIPPED</t>
  </si>
  <si>
    <t>JCY-02</t>
  </si>
  <si>
    <t>PUMP.JCY-02.ON</t>
  </si>
  <si>
    <t>PUMP.JCY-02.OFF</t>
  </si>
  <si>
    <t>PUMP.JCY-02.REMOTE_STATUS</t>
  </si>
  <si>
    <t>PUMP.JCY-02.MAINTENANCE_STATUS</t>
  </si>
  <si>
    <t>PUMP.JCY-02.FAILED_TO_START_MAIN1</t>
  </si>
  <si>
    <t>PUMP.JCY-02.FAILED_TO_START_STANDBY</t>
  </si>
  <si>
    <t>PUMP.JCY-02.PUMP_TRIPPED</t>
  </si>
  <si>
    <t>UPS ID</t>
  </si>
  <si>
    <t>UPS FAIL</t>
  </si>
  <si>
    <t>UPS FAIL Normal Value</t>
  </si>
  <si>
    <t>LOW BATTERY</t>
  </si>
  <si>
    <t>LOW BATTERY Normal Value</t>
  </si>
  <si>
    <t>UPS ON</t>
  </si>
  <si>
    <t>UPS ON Normal Value</t>
  </si>
  <si>
    <t>UPS MAIN AC FAIL</t>
  </si>
  <si>
    <t>UPS MAIN AC FAIL Normal Value</t>
  </si>
  <si>
    <t>UPS-01</t>
  </si>
  <si>
    <t>CR - Process</t>
  </si>
  <si>
    <t>UPS.UPS-01.MAIN_AC_FAIL</t>
  </si>
  <si>
    <t>UPS.UPS-01.LOW_BATTERY</t>
  </si>
  <si>
    <t>UPS.UPS-01.UPS_ON</t>
  </si>
  <si>
    <t>UPS-02</t>
  </si>
  <si>
    <t>UPS.UPS-02.MAIN_AC_FAIL</t>
  </si>
  <si>
    <t>UPS.UPS-02.LOW_BATTERY</t>
  </si>
  <si>
    <t>UPS.UPS-02.UPS_ON</t>
  </si>
  <si>
    <t>PLC ID</t>
  </si>
  <si>
    <t>PLC A IS MASTER</t>
  </si>
  <si>
    <t>PLC A IS MASTER Normal Value</t>
  </si>
  <si>
    <t>PLC B IS MASTER</t>
  </si>
  <si>
    <t>PLC B IS MASTER Normal Value</t>
  </si>
  <si>
    <t>PLC A FAIL SAFE</t>
  </si>
  <si>
    <t>PLC A FAIL SAFE Normal Value</t>
  </si>
  <si>
    <t>PLC B FAIL SAFE</t>
  </si>
  <si>
    <t>PLC B FAIL SAFE Normal Value</t>
  </si>
  <si>
    <t>Senosr_Type</t>
  </si>
  <si>
    <t>PLC A COOMUNCIATION</t>
  </si>
  <si>
    <t>PLC A COOMUNCIATION Normal Value</t>
  </si>
  <si>
    <t>PLC B COOMUNCIATION</t>
  </si>
  <si>
    <t>PLC B COOMUNCIATION Normal Value</t>
  </si>
  <si>
    <t>GEPLC</t>
  </si>
  <si>
    <t>Process PLC</t>
  </si>
  <si>
    <t>PLC.TASPLC.PLCA_IS_MASTER</t>
  </si>
  <si>
    <t>TASPLC</t>
  </si>
  <si>
    <t>PLC A</t>
  </si>
  <si>
    <t>PLC.TASPLC.PLCB_IS_MASTER</t>
  </si>
  <si>
    <t>PLC B</t>
  </si>
  <si>
    <t>SFT PLC</t>
  </si>
  <si>
    <t>Safety PLC</t>
  </si>
  <si>
    <t>PLC.SFTPLC.PLCA_IS_MASTER</t>
  </si>
  <si>
    <t>SFTPLC</t>
  </si>
  <si>
    <t>PLC.SFTPLC.PLCB_IS_MASTER</t>
  </si>
  <si>
    <t>PLC.SFTPLC.PLCA_FAIL_SAFE_STATUS</t>
  </si>
  <si>
    <t>PLC.SFTPLC.PLCB_FAIL_SAFE_STATUS</t>
  </si>
  <si>
    <t>PLC.SFTPLC.PLCA_COMM_OK</t>
  </si>
  <si>
    <t>PLC.SFTPLC.PLCB_COMM_OK</t>
  </si>
  <si>
    <t>HCD ID</t>
  </si>
  <si>
    <t>Type</t>
  </si>
  <si>
    <t>HCD 40 % ALARM</t>
  </si>
  <si>
    <t>HCD 40 % ALARM Normal Value</t>
  </si>
  <si>
    <t>HCD 20 % ALARM</t>
  </si>
  <si>
    <t>HCD 20 % ALARM Normal Value</t>
  </si>
  <si>
    <t>HCD FAULT</t>
  </si>
  <si>
    <t>HCD FAULT Normal Value</t>
  </si>
  <si>
    <t>MISALIGNMENT FAULT</t>
  </si>
  <si>
    <t>MISALIGNMENT FAULT Normal Value</t>
  </si>
  <si>
    <t>HCD MAINTENANCE</t>
  </si>
  <si>
    <t>HCD MAINTENANCE Normal Value</t>
  </si>
  <si>
    <t>HCD Hooter Activated</t>
  </si>
  <si>
    <t>HDS-01</t>
  </si>
  <si>
    <t>HCD-OPENED-TYP1</t>
  </si>
  <si>
    <t>TANKFARM TK11 12 MS</t>
  </si>
  <si>
    <t>GDS.HDS-01.HYDROCARBON_40_PCT_LEL</t>
  </si>
  <si>
    <t>GDS.HDS-01.HYDROCARBON_20_PCT_LEL</t>
  </si>
  <si>
    <t>GDS.HDS-01.CRITICAL_FAULT_ALARM</t>
  </si>
  <si>
    <t>GDS.HDS-01.MISALIGNMENT_FAULT_ALARM</t>
  </si>
  <si>
    <t>GDS.HDS-01.MAINTENANCE_CALL</t>
  </si>
  <si>
    <t>PLC.SFTPLC.HOOTER_FOR_HC_CR</t>
  </si>
  <si>
    <t>HDS-02</t>
  </si>
  <si>
    <t>HCD-OPENED-TYP2</t>
  </si>
  <si>
    <t>TTL PUM HOUSE</t>
  </si>
  <si>
    <t>GDS.HDS-02.HYDROCARBON_40_PCT_LEL</t>
  </si>
  <si>
    <t>GDS.HDS-02.HYDROCARBON_20_PCT_LEL</t>
  </si>
  <si>
    <t>GDS.HDS-02.CRITICAL_FAULT_ALARM</t>
  </si>
  <si>
    <t>GDS.HDS-02.MISALIGNMENT_FAULT_ALARM</t>
  </si>
  <si>
    <t>GDS.HDS-02.MAINTENANCE_CALL</t>
  </si>
  <si>
    <t>HDS-03</t>
  </si>
  <si>
    <t>HCD-OPENED-TYP3</t>
  </si>
  <si>
    <t>PLT PUMP HOUSE</t>
  </si>
  <si>
    <t>GDS.HDS-03.HYDROCARBON_40_PCT_LEL</t>
  </si>
  <si>
    <t>GDS.HDS-03.HYDROCARBON_20_PCT_LEL</t>
  </si>
  <si>
    <t>GDS.HDS-03.CRITICAL_FAULT_ALARM</t>
  </si>
  <si>
    <t>GDS.HDS-03.MISALIGNMENT_FAULT_ALARM</t>
  </si>
  <si>
    <t>GDS.HDS-03.MAINTENANCE_CALL</t>
  </si>
  <si>
    <t>HDS-04</t>
  </si>
  <si>
    <t>HCD-FIXED-TYP1</t>
  </si>
  <si>
    <t>TANKFARM TK-11 MS</t>
  </si>
  <si>
    <t>GDS.HDS-04.HYDROCARBON_40_PCT_LEL</t>
  </si>
  <si>
    <t>GDS.HDS-04.HYDROCARBON_20_PCT_LEL</t>
  </si>
  <si>
    <t>GDS.HDS-04.CRITICAL_FAULT_ALARM</t>
  </si>
  <si>
    <t>GDS.HDS-04.MISALIGNMENT_FAULT_ALARM</t>
  </si>
  <si>
    <t>GDS.HDS-04.MAINTENANCE_CALL</t>
  </si>
  <si>
    <t>HDS-07</t>
  </si>
  <si>
    <t>HCD-FIXED-TYP4</t>
  </si>
  <si>
    <t>TLF PUMP HOUSE</t>
  </si>
  <si>
    <t>GDS.HDS-07.HYDROCARBON_40_PCT_LEL</t>
  </si>
  <si>
    <t>GDS.HDS-07.HYDROCARBON_20_PCT_LEL</t>
  </si>
  <si>
    <t>GDS.HDS-07.CRITICAL_FAULT_ALARM</t>
  </si>
  <si>
    <t>GDS.HDS-07.MISALIGNMENT_FAULT_ALARM</t>
  </si>
  <si>
    <t>GDS.HDS-07.MAINTENANCE_CALL</t>
  </si>
  <si>
    <t>HDS-08</t>
  </si>
  <si>
    <t>HCD-OPEN-TYPE</t>
  </si>
  <si>
    <t>NEAR TANK-8</t>
  </si>
  <si>
    <t>GDS.HDS-08.HYDROCARBON_40_PCT_LEL</t>
  </si>
  <si>
    <t>GDS.HDS-08.HYDROCARBON_20_PCT_LEL</t>
  </si>
  <si>
    <t>GDS.HDS-08.CRITICAL_FAULT_ALARM</t>
  </si>
  <si>
    <t>GDS.HDS-08.MISALIGNMENT_FAULT_ALARM</t>
  </si>
  <si>
    <t>GDS.HDS-08.MAINTENANCE_CALL</t>
  </si>
  <si>
    <t>HDS-09</t>
  </si>
  <si>
    <t>HCD-FIXED-TYPE</t>
  </si>
  <si>
    <t>GDS.HDS-09.HYDROCARBON_40_PCT_LEL</t>
  </si>
  <si>
    <t>GDS.HDS-09.HYDROCARBON_20_PCT_LEL</t>
  </si>
  <si>
    <t>GDS.HDS-09.CRITICAL_FAULT_ALARM</t>
  </si>
  <si>
    <t>GDS.HDS-09.MISALIGNMENT_FAULT_ALARM</t>
  </si>
  <si>
    <t>GDS.HDS-09.MAINTENANCE_CALL</t>
  </si>
  <si>
    <t>Dyke ID</t>
  </si>
  <si>
    <t>DYKE VALVE STATUS</t>
  </si>
  <si>
    <t>DYKE VALVE STATUS Normal Value</t>
  </si>
  <si>
    <t>Dyke Hooter Activated</t>
  </si>
  <si>
    <t>DV-01</t>
  </si>
  <si>
    <t>DRAINVALVE.DV-01.DRAIN_VALVE_STATUS</t>
  </si>
  <si>
    <t>PLC.SFTPLC.EFFECT_HOOTER_FOR_DYKE_FWP_CR</t>
  </si>
  <si>
    <t>DV-02</t>
  </si>
  <si>
    <t>DRAINVALVE.DV-02.DRAIN_VALVE_STATUS</t>
  </si>
  <si>
    <t>Barrier ID</t>
  </si>
  <si>
    <t>BARRIER GATE OPEN STATUS</t>
  </si>
  <si>
    <t>BARRIER GATE OPEN STATUS Normal value</t>
  </si>
  <si>
    <t>BARRIER GATE CLOSE STATUS</t>
  </si>
  <si>
    <t>BARRIER GATE CLOSE STATUS Normal value</t>
  </si>
  <si>
    <t>BARRIER GATE LR STATUS</t>
  </si>
  <si>
    <t>EntryGate</t>
  </si>
  <si>
    <t>GATE.EntryGate.OPEN_STATUS</t>
  </si>
  <si>
    <t>GATE.EntryGate.CLOSE_STATUS</t>
  </si>
  <si>
    <t>GATE.EntryGate.REMOTE_STATUS</t>
  </si>
  <si>
    <t>ExitGate</t>
  </si>
  <si>
    <t>GATE.ExitGate.OPEN_STATUS</t>
  </si>
  <si>
    <t>GATE.ExitGate.CLOSE_STATUS</t>
  </si>
  <si>
    <t>GATE.ExitGate.REMOTE_STATUS</t>
  </si>
  <si>
    <t>Hooter ID</t>
  </si>
  <si>
    <t>Hooter Name</t>
  </si>
  <si>
    <t>HOOTER STATUS</t>
  </si>
  <si>
    <t>HOOTER STATUS Normal Value</t>
  </si>
  <si>
    <t>HOOTER1</t>
  </si>
  <si>
    <t>ANY_HOOTER_FOR_HCD_FIELD</t>
  </si>
  <si>
    <t>PLC.SFTPLC.ANY_HOOTER_FOR_HCD_FIELD</t>
  </si>
  <si>
    <t>HOOTER2</t>
  </si>
  <si>
    <t>ACK_STATUS</t>
  </si>
  <si>
    <t>PLC.SFTPLC.HOOTER_ACK_STATUS</t>
  </si>
  <si>
    <t>HOOTER3</t>
  </si>
  <si>
    <t>FIELD_1</t>
  </si>
  <si>
    <t>PLC.SFTPLC.HOOTER_FIELD_1</t>
  </si>
  <si>
    <t>HOOTER4</t>
  </si>
  <si>
    <t>FIELD_2</t>
  </si>
  <si>
    <t>PLC.SFTPLC.HOOTER_FIELD_2</t>
  </si>
  <si>
    <t>HOOTER5</t>
  </si>
  <si>
    <t>FIELD_3</t>
  </si>
  <si>
    <t>PLC.SFTPLC.HOOTER_FIELD_3</t>
  </si>
  <si>
    <t>HOOTER6</t>
  </si>
  <si>
    <t>FOR_ESD_CR</t>
  </si>
  <si>
    <t>PLC.SFTPLC.HOOTER_FOR_ESD_CR</t>
  </si>
  <si>
    <t>HOOTER7</t>
  </si>
  <si>
    <t>FOR_HC_CR</t>
  </si>
  <si>
    <t>HOOTER8</t>
  </si>
  <si>
    <t>FOR_RIMSEAL_CR</t>
  </si>
  <si>
    <t>PLC.SFTPLC.HOOTER_FOR_RIMSEAL_CR</t>
  </si>
  <si>
    <t>HOOTER9</t>
  </si>
  <si>
    <t>RESET_STATUS</t>
  </si>
  <si>
    <t>PLC.SFTPLC.HOOTER_RESET_STATUS</t>
  </si>
  <si>
    <t>ESD ID</t>
  </si>
  <si>
    <t>ESD Name</t>
  </si>
  <si>
    <t>ESD STATUS</t>
  </si>
  <si>
    <t>ESD STATUS Normal Value</t>
  </si>
  <si>
    <t>ESD MAINTENANCE STATUS</t>
  </si>
  <si>
    <t xml:space="preserve">ESD MAINTENANCE STATUS Normal Value
</t>
  </si>
  <si>
    <t>All ROSOVs closed</t>
  </si>
  <si>
    <t>All ROSOVs closed Normal value</t>
  </si>
  <si>
    <t>Barrier Gate opened</t>
  </si>
  <si>
    <t>Barrier Gate opened Normal Value</t>
  </si>
  <si>
    <t>TLF Gantry Permissive Power Off</t>
  </si>
  <si>
    <t>TLF Gantry Permissive Power Off Normal value</t>
  </si>
  <si>
    <t>All TLF Product Pumps Stopped</t>
  </si>
  <si>
    <t>All TLF Product Pumps Stopped Normal value</t>
  </si>
  <si>
    <t>All Tanks in Dormant Mode</t>
  </si>
  <si>
    <t>All Tanks in Dormant Mode Normal value</t>
  </si>
  <si>
    <t>All DBBVs Closed</t>
  </si>
  <si>
    <t>All DBBVs Closed Normal value</t>
  </si>
  <si>
    <t>ESD Command To Process PLC</t>
  </si>
  <si>
    <t>ESD Command To Process PLC Normal value</t>
  </si>
  <si>
    <t>Siren Activated</t>
  </si>
  <si>
    <t>Siren Activated Normal value</t>
  </si>
  <si>
    <t>ESD Hooter activated in control room</t>
  </si>
  <si>
    <t>ESD Hooter activated in control room Normal value</t>
  </si>
  <si>
    <t>Power ESD Activation after 120 Sec</t>
  </si>
  <si>
    <t>Power ESD Activation after 120 Sec Normal value</t>
  </si>
  <si>
    <t>TTL Dispatch in Dormant Mode</t>
  </si>
  <si>
    <t>TTL Dispatch in Dormant Mode Normal value</t>
  </si>
  <si>
    <t>ESD-01</t>
  </si>
  <si>
    <t>ESDPB-01</t>
  </si>
  <si>
    <t>INSIDE CONTROLROOM</t>
  </si>
  <si>
    <t>ESD.ESD-01.ESD_STATUS</t>
  </si>
  <si>
    <t>ESD.ESD-01.MAINTENANCE_STATUS</t>
  </si>
  <si>
    <t>PLC.SFTPLC.ALL_ROSOV_CLOSE</t>
  </si>
  <si>
    <t>PLC.SFTPLC.GATE_BARRIER_OPENED</t>
  </si>
  <si>
    <t>PLC.SFTPLC.TLF_GANTRY_PERMISSIVE_OFF</t>
  </si>
  <si>
    <t>PLC.SFTPLC.ALL_TLF_PUMP_STOPPED</t>
  </si>
  <si>
    <t>PLC.SFTPLC.EFFECT_ALL_TANKS_IN_DORMANT_EXCP_RECIEPT</t>
  </si>
  <si>
    <t>PLC.SFTPLC.ALL_DBBV_CLOSED</t>
  </si>
  <si>
    <t>PLC.SFTPLC.ESD_RELAY_PCC_PANEL</t>
  </si>
  <si>
    <t>PLC.SFTPLC.SIREN_ACTIVATED</t>
  </si>
  <si>
    <t>PLC.SFTPLC.EFFECT_POWER_ESD_ACTI</t>
  </si>
  <si>
    <t>PLC.SFTPLC.ALL_DISPATCH_TANKS_IN_DORMANT</t>
  </si>
  <si>
    <t>ESD-02</t>
  </si>
  <si>
    <t>ESDPB-02</t>
  </si>
  <si>
    <t>MCC ROOM</t>
  </si>
  <si>
    <t>ESD.ESD-02.ESD_STATUS</t>
  </si>
  <si>
    <t>ESD.ESD-02.MAINTENANCE_STATUS</t>
  </si>
  <si>
    <t>ESD-03</t>
  </si>
  <si>
    <t>ESDPB-03</t>
  </si>
  <si>
    <t>SECURITY ROOM</t>
  </si>
  <si>
    <t>ESD.ESD-03.ESD_STATUS</t>
  </si>
  <si>
    <t>ESD.ESD-03.MAINTENANCE_STATUS</t>
  </si>
  <si>
    <t>ESD-04</t>
  </si>
  <si>
    <t>ESDPB-04</t>
  </si>
  <si>
    <t>ESD.ESD-04.ESD_STATUS</t>
  </si>
  <si>
    <t>ESD.ESD-04.MAINTENANCE_STATUS</t>
  </si>
  <si>
    <t>ESD-05</t>
  </si>
  <si>
    <t>ESDPB-05</t>
  </si>
  <si>
    <t>LOCATION IN CHARGE ROOM</t>
  </si>
  <si>
    <t>ESD.ESD-05.ESD_STATUS</t>
  </si>
  <si>
    <t>ESD.ESD-05.MAINTENANCE_STATUS</t>
  </si>
  <si>
    <t>ESD-06</t>
  </si>
  <si>
    <t>ESDPB-06</t>
  </si>
  <si>
    <t>NEAR LUBE GODOWN - 1</t>
  </si>
  <si>
    <t>ESD.ESD-06.ESD_STATUS</t>
  </si>
  <si>
    <t>ESD.ESD-06.MAINTENANCE_STATUS</t>
  </si>
  <si>
    <t>ESD-07</t>
  </si>
  <si>
    <t>ESDPB-07</t>
  </si>
  <si>
    <t>NEAR FIRE WATER PUMP HOUSE</t>
  </si>
  <si>
    <t>ESD.ESD-07.ESD_STATUS</t>
  </si>
  <si>
    <t>ESD.ESD-07.MAINTENANCE_STATUS</t>
  </si>
  <si>
    <t>ESD-08</t>
  </si>
  <si>
    <t>ESDPB-08</t>
  </si>
  <si>
    <t>IN BETWEEN TK-08 AND TK-09 CATWALK SIDE</t>
  </si>
  <si>
    <t>ESD.ESD-08.ESD_STATUS</t>
  </si>
  <si>
    <t>ESD.ESD-08.MAINTENANCE_STATUS</t>
  </si>
  <si>
    <t>ESD-09</t>
  </si>
  <si>
    <t>ESDPB-09</t>
  </si>
  <si>
    <t>NEAR TANK-10 CATWALK SIDE</t>
  </si>
  <si>
    <t>ESD.ESD-09.ESD_STATUS</t>
  </si>
  <si>
    <t>ESD.ESD-09.MAINTENANCE_STATUS</t>
  </si>
  <si>
    <t>ESD-10</t>
  </si>
  <si>
    <t>ESDPB-10</t>
  </si>
  <si>
    <t>NEAR BULK AIR ELUMINATER</t>
  </si>
  <si>
    <t>ESD.ESD-10.ESD_STATUS</t>
  </si>
  <si>
    <t>ESD.ESD-10.MAINTENANCE_STATUS</t>
  </si>
  <si>
    <t>ESD-11</t>
  </si>
  <si>
    <t>ESDPB-11</t>
  </si>
  <si>
    <t>ESD.ESD-11.ESD_STATUS</t>
  </si>
  <si>
    <t>ESD.ESD-11.MAINTENANCE_STATUS</t>
  </si>
  <si>
    <t>ESD-12</t>
  </si>
  <si>
    <t>ESDPB-12</t>
  </si>
  <si>
    <t>NEAR U/G TANK - 15/16 (BEHIND GANTRY)</t>
  </si>
  <si>
    <t>ESD.ESD-12.ESD_STATUS</t>
  </si>
  <si>
    <t>ESD.ESD-12.MAINTENANCE_STATUS</t>
  </si>
  <si>
    <t>ESD-13</t>
  </si>
  <si>
    <t>ESDPB-13</t>
  </si>
  <si>
    <t>IN BETWEEN TK-11 and TK-12 CATWALK SIDE</t>
  </si>
  <si>
    <t>ESD.ESD-13.ESD_STATUS</t>
  </si>
  <si>
    <t>ESD.ESD-13.MAINTENANCE_STATUS</t>
  </si>
  <si>
    <t>ESD-14</t>
  </si>
  <si>
    <t>ESDPB-14</t>
  </si>
  <si>
    <t>GANTRY CABIN</t>
  </si>
  <si>
    <t>ESD.ESD-14.ESD_STATUS</t>
  </si>
  <si>
    <t>ESD.ESD-14.MAINTENANCE_STATUS</t>
  </si>
  <si>
    <t>ESD-15</t>
  </si>
  <si>
    <t>ESDPB-15</t>
  </si>
  <si>
    <t>GANTRY BAY 2 STAIRCASE</t>
  </si>
  <si>
    <t>ESD.ESD-15.ESD_STATUS</t>
  </si>
  <si>
    <t>ESD.ESD-15.MAINTENANCE_STATUS</t>
  </si>
  <si>
    <t>ESD-16</t>
  </si>
  <si>
    <t>ESD-SYSTEM</t>
  </si>
  <si>
    <t>CENTRAL ESD</t>
  </si>
  <si>
    <t>ESD.ESD-16.ESD_STATUS</t>
  </si>
  <si>
    <t>ESD-17</t>
  </si>
  <si>
    <t>ESD-VFT</t>
  </si>
  <si>
    <t>ESD DUE TO VIBRATING FORK</t>
  </si>
  <si>
    <t>ESD.ESD-17.ESD_STATUS</t>
  </si>
  <si>
    <t>ESD-18</t>
  </si>
  <si>
    <t>ESD-RDR</t>
  </si>
  <si>
    <t>ESD DUE TO RADAR RELAY</t>
  </si>
  <si>
    <t>ESD.ESD-18.ESD_STATUS</t>
  </si>
  <si>
    <t>ESD-IOCL</t>
  </si>
  <si>
    <t>ESD.ESD-IOCL.ESD_STATUS</t>
  </si>
  <si>
    <t>ESD-SOFT</t>
  </si>
  <si>
    <t>SOFT FROM OIC</t>
  </si>
  <si>
    <t>ESD.ESD-SOFT.ESD_STATUS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</si>
  <si>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</si>
  <si>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</si>
  <si>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</si>
  <si>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</si>
  <si>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</si>
  <si>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</si>
  <si>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</si>
  <si>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</si>
  <si>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</si>
  <si>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</si>
  <si>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</si>
  <si>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</si>
  <si>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</si>
  <si>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</si>
  <si>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</si>
  <si>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</si>
  <si>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</si>
  <si>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</si>
  <si>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</si>
  <si>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</si>
  <si>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</si>
  <si>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</si>
  <si>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</si>
  <si>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TLF</t>
  </si>
  <si>
    <t>BC-501A</t>
  </si>
  <si>
    <t>SmartLoad-Dual.BC-501A.EARTH_ALARM_STATUS</t>
  </si>
  <si>
    <t>SmartLoad-Dual.BC-501A.NO_FLOW_ALARM_STATUS_M1</t>
  </si>
  <si>
    <t>SmartLoad-Dual.BC-501A.NO_FLOW_ALARM_STATUS_M2</t>
  </si>
  <si>
    <t>SmartLoad-Dual.BC-501A.LOW_FLOW_ALARM_STATUS_M1</t>
  </si>
  <si>
    <t>SmartLoad-Dual.BC-501A.LOW_FLOW_ALARM_STATUS_M2</t>
  </si>
  <si>
    <t>SmartLoad-Dual.BC-501A.HIGH_FLOW_ALARM_STATUS_M1</t>
  </si>
  <si>
    <t>SmartLoad-Dual.BC-501A.HIGH_FLOW_ALARM_STATUS_M2</t>
  </si>
  <si>
    <t>SmartLoad-Dual.BC-501A.UNAUTHORIZE_FLOW_ALARM_STATUS_M1</t>
  </si>
  <si>
    <t>SmartLoad-Dual.BC-501A.METER_OVERRUN_ALARM_STATUS_M1</t>
  </si>
  <si>
    <t>SmartLoad-Dual.BC-501A.BLEND_OVERDOSE_ALARM_STATUS</t>
  </si>
  <si>
    <t>SmartLoad-Dual.BC-501A.BLEND_UNDERDOSE_ALARM_STATUS</t>
  </si>
  <si>
    <t>SmartLoad-Dual.BC-501A.ADDITIVE_OVERDOSE_ALARM_STATUS</t>
  </si>
  <si>
    <t>SmartLoad-Dual.BC-501A.ADDITIVE_UNDERDOSE_ALARM_STATUS</t>
  </si>
  <si>
    <t>SmartLoad-Dual.BC-501A.BATCH_STATUS</t>
  </si>
  <si>
    <t>SmartLoad-Dual.BC-501A.NOMINAL_ARM1_COMP1_KFACTOR_CHANGED</t>
  </si>
  <si>
    <t>SmartLoad-Dual.BC-501A.NOMINAL_ARM1_COMP2_KFACTOR_CHANGED</t>
  </si>
  <si>
    <t>SmartLoad-Dual.BC-501A.MFM_BCU_QTY_BEYOND_TOLERANCE_LIMIT_STATUS</t>
  </si>
  <si>
    <t>SmartLoad-Dual.BC-501A.BCU_C1_TOTALIZER_MISMATCH_ALARM</t>
  </si>
  <si>
    <t>SmartLoad-Dual.BC-501A.BCU_C2_TOTALIZER_MISMATCH_ALARM</t>
  </si>
  <si>
    <t>LP 02</t>
  </si>
  <si>
    <t>BC-501B</t>
  </si>
  <si>
    <t>SmartLoad-Dual.BC-501B.EARTH_ALARM_STATUS</t>
  </si>
  <si>
    <t>SmartLoad-Dual.BC-501B.NO_FLOW_ALARM_STATUS_M3</t>
  </si>
  <si>
    <t>SmartLoad-Dual.BC-501B.LOW_FLOW_ALARM_STATUS_M3</t>
  </si>
  <si>
    <t>SmartLoad-Dual.BC-501B.HIGH_FLOW_ALARM_STATUS_M3</t>
  </si>
  <si>
    <t>SmartLoad-Dual.BC-501B.UNAUTHORIZE_FLOW_ALARM_STATUS_M3</t>
  </si>
  <si>
    <t>SmartLoad-Dual.BC-501B.METER_OVERRUN_ALARM_STATUS_M3</t>
  </si>
  <si>
    <t>SmartLoad-Dual.BC-501B.BLEND_OVERDOSE_ALARM_STATUS</t>
  </si>
  <si>
    <t>SmartLoad-Dual.BC-501B.BLEND_UNDERDOSE_ALARM_STATUS</t>
  </si>
  <si>
    <t>SmartLoad-Dual.BC-501B.ADDITIVE_OVERDOSE_ALARM_STATUS</t>
  </si>
  <si>
    <t>SmartLoad-Dual.BC-501B.ADDITIVE_UNDERDOSE_ALARM_STATUS</t>
  </si>
  <si>
    <t>SmartLoad-Dual.BC-501B.BATCH_STATUS</t>
  </si>
  <si>
    <t>SmartLoad-Dual.BC-501B.NOMINAL_ARM2_COMP1_KFACTOR_CHANGED</t>
  </si>
  <si>
    <t>SmartLoad-Dual.BC-501B.MFM_BCU_QTY_BEYOND_TOLERANCE_LIMIT_STATUS</t>
  </si>
  <si>
    <t>SmartLoad-Dual.BC-501B.BCU_C3_TOTALIZER_MISMATCH_ALARM</t>
  </si>
  <si>
    <t>LP 03</t>
  </si>
  <si>
    <t>BC-502A</t>
  </si>
  <si>
    <t>SmartLoad-Dual.BC-502A.EARTH_ALARM_STATUS</t>
  </si>
  <si>
    <t>SmartLoad-Dual.BC-502A.NO_FLOW_ALARM_STATUS_M1</t>
  </si>
  <si>
    <t>SmartLoad-Dual.BC-502A.NO_FLOW_ALARM_STATUS_M2</t>
  </si>
  <si>
    <t>SmartLoad-Dual.BC-502A.LOW_FLOW_ALARM_STATUS_M1</t>
  </si>
  <si>
    <t>SmartLoad-Dual.BC-502A.LOW_FLOW_ALARM_STATUS_M2</t>
  </si>
  <si>
    <t>SmartLoad-Dual.BC-502A.HIGH_FLOW_ALARM_STATUS_M1</t>
  </si>
  <si>
    <t>SmartLoad-Dual.BC-502A.HIGH_FLOW_ALARM_STATUS_M2</t>
  </si>
  <si>
    <t>SmartLoad-Dual.BC-502A.UNAUTHORIZE_FLOW_ALARM_STATUS_M1</t>
  </si>
  <si>
    <t>SmartLoad-Dual.BC-502A.METER_OVERRUN_ALARM_STATUS_M1</t>
  </si>
  <si>
    <t>SmartLoad-Dual.BC-502A.BLEND_OVERDOSE_ALARM_STATUS</t>
  </si>
  <si>
    <t>SmartLoad-Dual.BC-502A.BLEND_UNDERDOSE_ALARM_STATUS</t>
  </si>
  <si>
    <t>SmartLoad-Dual.BC-502A.ADDITIVE_OVERDOSE_ALARM_STATUS</t>
  </si>
  <si>
    <t>SmartLoad-Dual.BC-502A.ADDITIVE_UNDERDOSE_ALARM_STATUS</t>
  </si>
  <si>
    <t>SmartLoad-Dual.BC-502A.BATCH_STATUS</t>
  </si>
  <si>
    <t>SmartLoad-Dual.BC-502A.NOMINAL_ARM1_COMP1_KFACTOR_CHANGED</t>
  </si>
  <si>
    <t>SmartLoad-Dual.BC-502A.NOMINAL_ARM1_COMP2_KFACTOR_CHANGED</t>
  </si>
  <si>
    <t>SmartLoad-Dual.BC-502A.MFM_BCU_QTY_BEYOND_TOLERANCE_LIMIT_STATUS</t>
  </si>
  <si>
    <t>SmartLoad-Dual.BC-502A.BCU_C1_TOTALIZER_MISMATCH_ALARM</t>
  </si>
  <si>
    <t>SmartLoad-Dual.BC-502A.BCU_C2_TOTALIZER_MISMATCH_ALARM</t>
  </si>
  <si>
    <t>LP 04</t>
  </si>
  <si>
    <t>BC-502B</t>
  </si>
  <si>
    <t>SmartLoad-Dual.BC-502B.EARTH_ALARM_STATUS</t>
  </si>
  <si>
    <t>SmartLoad-Dual.BC-502B.NO_FLOW_ALARM_STATUS_M3</t>
  </si>
  <si>
    <t>SmartLoad-Dual.BC-502B.LOW_FLOW_ALARM_STATUS_M3</t>
  </si>
  <si>
    <t>SmartLoad-Dual.BC-502B.HIGH_FLOW_ALARM_STATUS_M3</t>
  </si>
  <si>
    <t>SmartLoad-Dual.BC-502B.UNAUTHORIZE_FLOW_ALARM_STATUS_M3</t>
  </si>
  <si>
    <t>SmartLoad-Dual.BC-502B.METER_OVERRUN_ALARM_STATUS_M3</t>
  </si>
  <si>
    <t>SmartLoad-Dual.BC-502B.BLEND_OVERDOSE_ALARM_STATUS</t>
  </si>
  <si>
    <t>SmartLoad-Dual.BC-502B.BLEND_UNDERDOSE_ALARM_STATUS</t>
  </si>
  <si>
    <t>SmartLoad-Dual.BC-502B.ADDITIVE_OVERDOSE_ALARM_STATUS</t>
  </si>
  <si>
    <t>SmartLoad-Dual.BC-502B.ADDITIVE_UNDERDOSE_ALARM_STATUS</t>
  </si>
  <si>
    <t>SmartLoad-Dual.BC-502B.BATCH_STATUS</t>
  </si>
  <si>
    <t>SmartLoad-Dual.BC-502B.NOMINAL_ARM2_COMP1_KFACTOR_CHANGED</t>
  </si>
  <si>
    <t>SmartLoad-Dual.BC-502B.MFM_BCU_QTY_BEYOND_TOLERANCE_LIMIT_STATUS</t>
  </si>
  <si>
    <t>SmartLoad-Dual.BC-502B.BCU_C3_TOTALIZER_MISMATCH_ALARM</t>
  </si>
  <si>
    <t>LP 05</t>
  </si>
  <si>
    <t>BC-503A</t>
  </si>
  <si>
    <t>SmartLoad-Dual.BC-503A.EARTH_ALARM_STATUS</t>
  </si>
  <si>
    <t>SmartLoad-Dual.BC-503A.NO_FLOW_ALARM_STATUS_M1</t>
  </si>
  <si>
    <t>SmartLoad-Dual.BC-503A.NO_FLOW_ALARM_STATUS_M2</t>
  </si>
  <si>
    <t>SmartLoad-Dual.BC-503A.LOW_FLOW_ALARM_STATUS_M1</t>
  </si>
  <si>
    <t>SmartLoad-Dual.BC-503A.LOW_FLOW_ALARM_STATUS_M2</t>
  </si>
  <si>
    <t>SmartLoad-Dual.BC-503A.HIGH_FLOW_ALARM_STATUS_M1</t>
  </si>
  <si>
    <t>SmartLoad-Dual.BC-503A.HIGH_FLOW_ALARM_STATUS_M2</t>
  </si>
  <si>
    <t>SmartLoad-Dual.BC-503A.UNAUTHORIZE_FLOW_ALARM_STATUS_M1</t>
  </si>
  <si>
    <t>SmartLoad-Dual.BC-503A.METER_OVERRUN_ALARM_STATUS_M1</t>
  </si>
  <si>
    <t>SmartLoad-Dual.BC-503A.BLEND_OVERDOSE_ALARM_STATUS</t>
  </si>
  <si>
    <t>SmartLoad-Dual.BC-503A.BLEND_UNDERDOSE_ALARM_STATUS</t>
  </si>
  <si>
    <t>SmartLoad-Dual.BC-503A.ADDITIVE_OVERDOSE_ALARM_STATUS</t>
  </si>
  <si>
    <t>SmartLoad-Dual.BC-503A.ADDITIVE_UNDERDOSE_ALARM_STATUS</t>
  </si>
  <si>
    <t>SmartLoad-Dual.BC-503A.BATCH_STATUS</t>
  </si>
  <si>
    <t>SmartLoad-Dual.BC-503A.NOMINAL_ARM1_COMP1_KFACTOR_CHANGED</t>
  </si>
  <si>
    <t>SmartLoad-Dual.BC-503A.NOMINAL_ARM1_COMP2_KFACTOR_CHANGED</t>
  </si>
  <si>
    <t>SmartLoad-Dual.BC-503A.MFM_BCU_QTY_BEYOND_TOLERANCE_LIMIT_STATUS</t>
  </si>
  <si>
    <t>SmartLoad-Dual.BC-503A.BCU_C1_TOTALIZER_MISMATCH_ALARM</t>
  </si>
  <si>
    <t>SmartLoad-Dual.BC-503A.BCU_C3_TOTALIZER_MISMATCH_ALARM</t>
  </si>
  <si>
    <t>LP 06</t>
  </si>
  <si>
    <t>BC-503B</t>
  </si>
  <si>
    <t>SmartLoad-Dual.BC-503B.EARTH_ALARM_STATUS</t>
  </si>
  <si>
    <t>SmartLoad-Dual.BC-503B.NO_FLOW_ALARM_STATUS_M3</t>
  </si>
  <si>
    <t>SmartLoad-Dual.BC-503B.LOW_FLOW_ALARM_STATUS_M3</t>
  </si>
  <si>
    <t>SmartLoad-Dual.BC-503B.HIGH_FLOW_ALARM_STATUS_M3</t>
  </si>
  <si>
    <t>SmartLoad-Dual.BC-503B.UNAUTHORIZE_FLOW_ALARM_STATUS_M3</t>
  </si>
  <si>
    <t>SmartLoad-Dual.BC-503B.METER_OVERRUN_ALARM_STATUS_M3</t>
  </si>
  <si>
    <t>SmartLoad-Dual.BC-503B.BLEND_OVERDOSE_ALARM_STATUS</t>
  </si>
  <si>
    <t>SmartLoad-Dual.BC-503B.BLEND_UNDERDOSE_ALARM_STATUS</t>
  </si>
  <si>
    <t>SmartLoad-Dual.BC-503B.ADDITIVE_OVERDOSE_ALARM_STATUS</t>
  </si>
  <si>
    <t>SmartLoad-Dual.BC-503B.ADDITIVE_UNDERDOSE_ALARM_STATUS</t>
  </si>
  <si>
    <t>SmartLoad-Dual.BC-503B.BATCH_STATUS</t>
  </si>
  <si>
    <t>SmartLoad-Dual.BC-503B.NOMINAL_ARM2_COMP1_KFACTOR_CHANGED</t>
  </si>
  <si>
    <t>SmartLoad-Dual.BC-503B.MFM_BCU_QTY_BEYOND_TOLERANCE_LIMIT_STATUS</t>
  </si>
  <si>
    <t>SmartLoad-Dual.BC-503B.BCU_C3_TOTALIZER_MISMATCH_ALARM</t>
  </si>
  <si>
    <t>LP 07</t>
  </si>
  <si>
    <t>BC-504A</t>
  </si>
  <si>
    <t>SmartLoad-Dual.BC-504A.EARTH_ALARM_STATUS</t>
  </si>
  <si>
    <t>SmartLoad-Dual.BC-504A.NO_FLOW_ALARM_STATUS_M1</t>
  </si>
  <si>
    <t>SmartLoad-Dual.BC-504A.NO_FLOW_ALARM_STATUS_M2</t>
  </si>
  <si>
    <t>SmartLoad-Dual.BC-504A.LOW_FLOW_ALARM_STATUS_M1</t>
  </si>
  <si>
    <t>SmartLoad-Dual.BC-504A.LOW_FLOW_ALARM_STATUS_M2</t>
  </si>
  <si>
    <t>SmartLoad-Dual.BC-504A.HIGH_FLOW_ALARM_STATUS_M1</t>
  </si>
  <si>
    <t>SmartLoad-Dual.BC-504A.HIGH_FLOW_ALARM_STATUS_M2</t>
  </si>
  <si>
    <t>SmartLoad-Dual.BC-504A.UNAUTHORIZE_FLOW_ALARM_STATUS_M1</t>
  </si>
  <si>
    <t>SmartLoad-Dual.BC-504A.METER_OVERRUN_ALARM_STATUS_M1</t>
  </si>
  <si>
    <t>SmartLoad-Dual.BC-504A.BLEND_OVERDOSE_ALARM_STATUS</t>
  </si>
  <si>
    <t>SmartLoad-Dual.BC-504A.BLEND_UNDERDOSE_ALARM_STATUS</t>
  </si>
  <si>
    <t>SmartLoad-Dual.BC-504A.ADDITIVE_OVERDOSE_ALARM_STATUS</t>
  </si>
  <si>
    <t>SmartLoad-Dual.BC-504A.ADDITIVE_UNDERDOSE_ALARM_STATUS</t>
  </si>
  <si>
    <t>SmartLoad-Dual.BC-504A.BATCH_STATUS</t>
  </si>
  <si>
    <t>SmartLoad-Dual.BC-504A.NOMINAL_ARM1_COMP1_KFACTOR_CHANGED</t>
  </si>
  <si>
    <t>SmartLoad-Dual.BC-504A.NOMINAL_ARM1_COMP2_KFACTOR_CHANGED</t>
  </si>
  <si>
    <t>SmartLoad-Dual.BC-504A.MFM_BCU_QTY_BEYOND_TOLERANCE_LIMIT_STATUS</t>
  </si>
  <si>
    <t>SmartLoad-Dual.BC-504A.BCU_C1_TOTALIZER_MISMATCH_ALARM</t>
  </si>
  <si>
    <t>LP 08</t>
  </si>
  <si>
    <t>BC-504B</t>
  </si>
  <si>
    <t>SmartLoad-Dual.BC-504B.EARTH_ALARM_STATUS</t>
  </si>
  <si>
    <t>SmartLoad-Dual.BC-504B.NO_FLOW_ALARM_STATUS_M3</t>
  </si>
  <si>
    <t>SmartLoad-Dual.BC-504B.LOW_FLOW_ALARM_STATUS_M3</t>
  </si>
  <si>
    <t>SmartLoad-Dual.BC-504B.HIGH_FLOW_ALARM_STATUS_M3</t>
  </si>
  <si>
    <t>SmartLoad-Dual.BC-504B.UNAUTHORIZE_FLOW_ALARM_STATUS_M3</t>
  </si>
  <si>
    <t>SmartLoad-Dual.BC-504B.METER_OVERRUN_ALARM_STATUS_M3</t>
  </si>
  <si>
    <t>SmartLoad-Dual.BC-504B.BLEND_OVERDOSE_ALARM_STATUS</t>
  </si>
  <si>
    <t>SmartLoad-Dual.BC-504B.BLEND_UNDERDOSE_ALARM_STATUS</t>
  </si>
  <si>
    <t>SmartLoad-Dual.BC-504B.ADDITIVE_OVERDOSE_ALARM_STATUS</t>
  </si>
  <si>
    <t>SmartLoad-Dual.BC-504B.ADDITIVE_UNDERDOSE_ALARM_STATUS</t>
  </si>
  <si>
    <t>SmartLoad-Dual.BC-504B.BATCH_STATUS</t>
  </si>
  <si>
    <t>SmartLoad-Dual.BC-504B.NOMINAL_ARM2_COMP1_KFACTOR_CHANGED</t>
  </si>
  <si>
    <t>SmartLoad-Dual.BC-504B.MFM_BCU_QTY_BEYOND_TOLERANCE_LIMIT_STATUS</t>
  </si>
  <si>
    <t>SmartLoad-Dual.BC-504B.BCU_C3_TOTALIZER_MISMATCH_ALARM</t>
  </si>
  <si>
    <t>LP 09</t>
  </si>
  <si>
    <t>BC-505A</t>
  </si>
  <si>
    <t>BS IV MS</t>
  </si>
  <si>
    <t>SmartLoad-Dual.BC-505A.EARTH_ALARM_STATUS</t>
  </si>
  <si>
    <t>SmartLoad-Dual.BC-505A.NO_FLOW_ALARM_STATUS_M1</t>
  </si>
  <si>
    <t>SmartLoad-Dual.BC-505A.NO_FLOW_ALARM_STATUS_M2</t>
  </si>
  <si>
    <t>SmartLoad-Dual.BC-505A.LOW_FLOW_ALARM_STATUS_M1</t>
  </si>
  <si>
    <t>SmartLoad-Dual.BC-505A.LOW_FLOW_ALARM_STATUS_M2</t>
  </si>
  <si>
    <t>SmartLoad-Dual.BC-505A.HIGH_FLOW_ALARM_STATUS_M1</t>
  </si>
  <si>
    <t>SmartLoad-Dual.BC-505A.HIGH_FLOW_ALARM_STATUS_M2</t>
  </si>
  <si>
    <t>SmartLoad-Dual.BC-505A.UNAUTHORIZE_FLOW_ALARM_STATUS_M1</t>
  </si>
  <si>
    <t>SmartLoad-Dual.BC-505A.METER_OVERRUN_ALARM_STATUS_M1</t>
  </si>
  <si>
    <t>SmartLoad-Dual.BC-505A.BLEND_OVERDOSE_ALARM_STATUS</t>
  </si>
  <si>
    <t>SmartLoad-Dual.BC-505A.BLEND_UNDERDOSE_ALARM_STATUS</t>
  </si>
  <si>
    <t>SmartLoad-Dual.BC-505A.ADDITIVE_OVERDOSE_ALARM_STATUS</t>
  </si>
  <si>
    <t>SmartLoad-Dual.BC-505A.ADDITIVE_UNDERDOSE_ALARM_STATUS</t>
  </si>
  <si>
    <t>SmartLoad-Dual.BC-505A.BATCH_STATUS</t>
  </si>
  <si>
    <t>SmartLoad-Dual.BC-505A.NOMINAL_ARM1_COMP1_KFACTOR_CHANGED</t>
  </si>
  <si>
    <t>SmartLoad-Dual.BC-505A.NOMINAL_ARM1_COMP2_KFACTOR_CHANGED</t>
  </si>
  <si>
    <t>SmartLoad-Dual.BC-505A.MFM_BCU_QTY_BEYOND_TOLERANCE_LIMIT_STATUS</t>
  </si>
  <si>
    <t>SmartLoad-Dual.BC-505A.BCU_C1_TOTALIZER_MISMATCH_ALARM</t>
  </si>
  <si>
    <t>SmartLoad-Dual.BC-505A.BCU_C4_TOTALIZER_MISMATCH_ALARM</t>
  </si>
  <si>
    <t xml:space="preserve"> Permissive override ID</t>
  </si>
  <si>
    <t xml:space="preserve">OVERRIDE STATUS </t>
  </si>
  <si>
    <t>TLF Product Pumps Stopped</t>
  </si>
  <si>
    <t>Cause ID</t>
  </si>
  <si>
    <t>Cause</t>
  </si>
  <si>
    <t>Cause Normal value</t>
  </si>
  <si>
    <t>TLF Header Line MOV Close</t>
  </si>
  <si>
    <t>TLF Header Line MOV Close Normal value</t>
  </si>
  <si>
    <t>Hooter activated in control room</t>
  </si>
  <si>
    <t>Two Fire Engine Running status</t>
  </si>
  <si>
    <t>PLC.SFTPLC.CAUSE_ANY_FWP_IS_RUNNING</t>
  </si>
  <si>
    <t>PLC.SFTPLC.EFFECT_ALL_HEADER_MOV_CLOSED</t>
  </si>
  <si>
    <t>WATER Level below Ref. Volume</t>
  </si>
  <si>
    <t>PLC.SFTPLC.CAUSE_WATERTK_VOL_BELOW_90PCT</t>
  </si>
  <si>
    <t>Main Fire Engines not in REMOTE</t>
  </si>
  <si>
    <t>PLC.SFTPLC.CAUSE_ANY_MAIN_FWP_IN_REMOTE_MANUAL</t>
  </si>
  <si>
    <t>Gantry Permissive Off</t>
  </si>
  <si>
    <t>SmartLoad-Dual.BC-501A.PERMISSIVE_FROM_DNC_STATUS</t>
  </si>
  <si>
    <t>Air Compressor ID</t>
  </si>
  <si>
    <t>AIR COMPRESSOR FAULT STATUS</t>
  </si>
  <si>
    <t>AIR COMPRESSOR FAULT STATUS Normal value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</si>
  <si>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</si>
  <si>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</si>
  <si>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</si>
  <si>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</si>
  <si>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</si>
  <si>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</si>
  <si>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</si>
  <si>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Jockey Pump Run1</t>
  </si>
  <si>
    <t>Jockey Pump Run2</t>
  </si>
  <si>
    <t>Farthest Point Pt</t>
  </si>
  <si>
    <t>Nearest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</si>
  <si>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</si>
  <si>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</si>
  <si>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</si>
  <si>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</si>
  <si>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</si>
  <si>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</si>
  <si>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</si>
  <si>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PressureTransmitter.PT-02.PRESSURE</t>
  </si>
  <si>
    <t>PressureTransmitter.PT-01.PRESSURE</t>
  </si>
  <si>
    <t>PLC.TASPLC.TOV_ON_SCREEN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</si>
</sst>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Arial"/>
    </font>
    <font>
      <b/>
      <sz val="11.0"/>
      <color rgb="FF222222"/>
      <name val="Arial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7F7E7"/>
        <bgColor rgb="FFF7F7E7"/>
      </patternFill>
    </fill>
    <fill>
      <patternFill patternType="solid">
        <fgColor rgb="FFFAD9D6"/>
        <bgColor rgb="FFFAD9D6"/>
      </patternFill>
    </fill>
    <fill>
      <patternFill patternType="solid">
        <fgColor rgb="FFD8E5F8"/>
        <bgColor rgb="FFD8E5F8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3" fontId="1" numFmtId="0" xfId="0" applyAlignment="1" applyBorder="1" applyFill="1" applyFont="1">
      <alignment horizontal="center" shrinkToFit="0" vertical="bottom" wrapText="1"/>
    </xf>
    <xf borderId="1" fillId="3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1" fillId="4" fontId="2" numFmtId="0" xfId="0" applyAlignment="1" applyBorder="1" applyFill="1" applyFont="1">
      <alignment shrinkToFit="0" vertical="bottom" wrapText="1"/>
    </xf>
    <xf borderId="2" fillId="4" fontId="2" numFmtId="0" xfId="0" applyAlignment="1" applyBorder="1" applyFont="1">
      <alignment shrinkToFit="0" vertical="bottom" wrapText="1"/>
    </xf>
    <xf borderId="3" fillId="0" fontId="2" numFmtId="0" xfId="0" applyBorder="1" applyFont="1"/>
    <xf borderId="0" fillId="0" fontId="2" numFmtId="0" xfId="0" applyAlignment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5" fillId="3" fontId="2" numFmtId="0" xfId="0" applyAlignment="1" applyBorder="1" applyFont="1">
      <alignment vertical="bottom"/>
    </xf>
    <xf borderId="6" fillId="3" fontId="2" numFmtId="0" xfId="0" applyAlignment="1" applyBorder="1" applyFont="1">
      <alignment vertical="bottom"/>
    </xf>
    <xf borderId="3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vertical="bottom"/>
    </xf>
    <xf borderId="7" fillId="3" fontId="2" numFmtId="0" xfId="0" applyAlignment="1" applyBorder="1" applyFont="1">
      <alignment vertical="bottom"/>
    </xf>
    <xf borderId="3" fillId="0" fontId="2" numFmtId="0" xfId="0" applyAlignment="1" applyBorder="1" applyFont="1">
      <alignment horizontal="center" shrinkToFit="0" vertical="bottom" wrapText="1"/>
    </xf>
    <xf borderId="7" fillId="3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readingOrder="0"/>
    </xf>
    <xf borderId="1" fillId="2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shrinkToFit="0" vertical="bottom" wrapText="1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2" numFmtId="0" xfId="0" applyBorder="1" applyFont="1"/>
    <xf borderId="1" fillId="2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1" fillId="5" fontId="2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1" fillId="5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8" fillId="4" fontId="2" numFmtId="0" xfId="0" applyAlignment="1" applyBorder="1" applyFont="1">
      <alignment shrinkToFit="0" vertical="bottom" wrapText="1"/>
    </xf>
    <xf borderId="9" fillId="4" fontId="2" numFmtId="0" xfId="0" applyAlignment="1" applyBorder="1" applyFont="1">
      <alignment shrinkToFit="0" vertical="bottom" wrapText="1"/>
    </xf>
    <xf borderId="0" fillId="0" fontId="2" numFmtId="0" xfId="0" applyAlignment="1" applyFont="1">
      <alignment horizontal="right" vertical="bottom"/>
    </xf>
    <xf borderId="0" fillId="6" fontId="4" numFmtId="0" xfId="0" applyAlignment="1" applyFill="1" applyFont="1">
      <alignment vertical="bottom"/>
    </xf>
    <xf borderId="1" fillId="0" fontId="2" numFmtId="0" xfId="0" applyAlignment="1" applyBorder="1" applyFont="1">
      <alignment horizontal="center" shrinkToFit="0" vertical="bottom" wrapText="1"/>
    </xf>
    <xf borderId="9" fillId="4" fontId="2" numFmtId="0" xfId="0" applyAlignment="1" applyBorder="1" applyFont="1">
      <alignment vertical="bottom"/>
    </xf>
    <xf borderId="1" fillId="0" fontId="5" numFmtId="0" xfId="0" applyAlignment="1" applyBorder="1" applyFont="1">
      <alignment horizontal="center" vertical="top"/>
    </xf>
    <xf borderId="6" fillId="3" fontId="1" numFmtId="0" xfId="0" applyAlignment="1" applyBorder="1" applyFont="1">
      <alignment vertical="bottom"/>
    </xf>
    <xf borderId="1" fillId="3" fontId="1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right" vertical="bottom"/>
    </xf>
    <xf borderId="0" fillId="3" fontId="2" numFmtId="0" xfId="0" applyAlignment="1" applyFont="1">
      <alignment vertical="bottom"/>
    </xf>
    <xf borderId="3" fillId="0" fontId="2" numFmtId="0" xfId="0" applyAlignment="1" applyBorder="1" applyFont="1">
      <alignment horizontal="right" vertical="bottom"/>
    </xf>
    <xf borderId="1" fillId="0" fontId="5" numFmtId="0" xfId="0" applyAlignment="1" applyBorder="1" applyFont="1">
      <alignment vertical="top"/>
    </xf>
    <xf borderId="1" fillId="0" fontId="2" numFmtId="0" xfId="0" applyAlignment="1" applyBorder="1" applyFont="1">
      <alignment horizontal="center"/>
    </xf>
    <xf borderId="1" fillId="3" fontId="2" numFmtId="0" xfId="0" applyBorder="1" applyFont="1"/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7</v>
      </c>
      <c r="M1" s="2" t="s">
        <v>11</v>
      </c>
      <c r="N1" s="2" t="s">
        <v>7</v>
      </c>
      <c r="O1" s="2" t="s">
        <v>8</v>
      </c>
      <c r="P1" s="2" t="s">
        <v>12</v>
      </c>
      <c r="Q1" s="2" t="s">
        <v>13</v>
      </c>
      <c r="R1" s="2" t="s">
        <v>14</v>
      </c>
      <c r="S1" s="2" t="s">
        <v>8</v>
      </c>
      <c r="T1" s="2" t="s">
        <v>12</v>
      </c>
      <c r="U1" s="3" t="s">
        <v>15</v>
      </c>
      <c r="V1" s="4" t="s">
        <v>16</v>
      </c>
      <c r="W1" s="4" t="s">
        <v>8</v>
      </c>
      <c r="X1" s="4" t="s">
        <v>12</v>
      </c>
      <c r="Y1" s="2" t="s">
        <v>17</v>
      </c>
      <c r="Z1" s="2" t="s">
        <v>18</v>
      </c>
      <c r="AA1" s="2" t="s">
        <v>8</v>
      </c>
      <c r="AB1" s="2" t="s">
        <v>12</v>
      </c>
      <c r="AC1" s="2" t="s">
        <v>19</v>
      </c>
      <c r="AD1" s="2" t="s">
        <v>20</v>
      </c>
      <c r="AE1" s="2" t="s">
        <v>8</v>
      </c>
      <c r="AF1" s="2" t="s">
        <v>12</v>
      </c>
      <c r="AG1" s="2" t="s">
        <v>21</v>
      </c>
      <c r="AH1" s="2" t="s">
        <v>22</v>
      </c>
      <c r="AI1" s="2" t="s">
        <v>8</v>
      </c>
      <c r="AJ1" s="2" t="s">
        <v>12</v>
      </c>
      <c r="AK1" s="2" t="s">
        <v>23</v>
      </c>
      <c r="AL1" s="2" t="s">
        <v>24</v>
      </c>
      <c r="AM1" s="2" t="s">
        <v>8</v>
      </c>
      <c r="AN1" s="2" t="s">
        <v>12</v>
      </c>
      <c r="AO1" s="2" t="s">
        <v>25</v>
      </c>
      <c r="AP1" s="2" t="s">
        <v>26</v>
      </c>
      <c r="AQ1" s="2" t="s">
        <v>8</v>
      </c>
      <c r="AR1" s="2" t="s">
        <v>12</v>
      </c>
      <c r="AS1" s="2" t="s">
        <v>27</v>
      </c>
      <c r="AT1" s="2" t="s">
        <v>28</v>
      </c>
      <c r="AU1" s="2" t="s">
        <v>8</v>
      </c>
      <c r="AV1" s="2" t="s">
        <v>12</v>
      </c>
      <c r="AW1" s="2" t="s">
        <v>29</v>
      </c>
      <c r="AX1" s="2" t="s">
        <v>30</v>
      </c>
      <c r="AY1" s="2" t="s">
        <v>8</v>
      </c>
      <c r="AZ1" s="2" t="s">
        <v>12</v>
      </c>
      <c r="BA1" s="2" t="s">
        <v>31</v>
      </c>
      <c r="BB1" s="2" t="s">
        <v>7</v>
      </c>
      <c r="BC1" s="2" t="s">
        <v>8</v>
      </c>
      <c r="BD1" s="2" t="s">
        <v>12</v>
      </c>
      <c r="BE1" s="2" t="s">
        <v>32</v>
      </c>
      <c r="BF1" s="2" t="s">
        <v>14</v>
      </c>
      <c r="BG1" s="2" t="s">
        <v>8</v>
      </c>
      <c r="BH1" s="2" t="s">
        <v>12</v>
      </c>
      <c r="BI1" s="2" t="s">
        <v>33</v>
      </c>
      <c r="BJ1" s="2" t="s">
        <v>7</v>
      </c>
      <c r="BK1" s="2" t="s">
        <v>8</v>
      </c>
      <c r="BL1" s="2" t="s">
        <v>12</v>
      </c>
      <c r="BM1" s="2" t="s">
        <v>34</v>
      </c>
      <c r="BN1" s="2" t="s">
        <v>35</v>
      </c>
      <c r="BO1" s="2" t="s">
        <v>8</v>
      </c>
      <c r="BP1" s="2" t="s">
        <v>12</v>
      </c>
      <c r="BQ1" s="2" t="s">
        <v>36</v>
      </c>
      <c r="BR1" s="2" t="s">
        <v>37</v>
      </c>
      <c r="BS1" s="2" t="s">
        <v>8</v>
      </c>
      <c r="BT1" s="2" t="s">
        <v>12</v>
      </c>
      <c r="BU1" s="2" t="s">
        <v>38</v>
      </c>
      <c r="BV1" s="2" t="s">
        <v>39</v>
      </c>
      <c r="BW1" s="2" t="s">
        <v>8</v>
      </c>
      <c r="BX1" s="2" t="s">
        <v>12</v>
      </c>
      <c r="BY1" s="2" t="s">
        <v>40</v>
      </c>
      <c r="BZ1" s="2" t="s">
        <v>7</v>
      </c>
      <c r="CA1" s="2" t="s">
        <v>8</v>
      </c>
      <c r="CB1" s="2" t="s">
        <v>12</v>
      </c>
      <c r="CC1" s="2" t="s">
        <v>41</v>
      </c>
      <c r="CD1" s="2" t="s">
        <v>7</v>
      </c>
      <c r="CE1" s="2" t="s">
        <v>8</v>
      </c>
      <c r="CF1" s="2" t="s">
        <v>12</v>
      </c>
      <c r="CG1" s="2" t="s">
        <v>42</v>
      </c>
      <c r="CH1" s="2" t="s">
        <v>14</v>
      </c>
      <c r="CI1" s="2" t="s">
        <v>8</v>
      </c>
      <c r="CJ1" s="2" t="s">
        <v>12</v>
      </c>
      <c r="CK1" s="2" t="s">
        <v>43</v>
      </c>
      <c r="CL1" s="2" t="s">
        <v>14</v>
      </c>
      <c r="CM1" s="2" t="s">
        <v>8</v>
      </c>
      <c r="CN1" s="2" t="s">
        <v>12</v>
      </c>
      <c r="CO1" s="2" t="s">
        <v>44</v>
      </c>
      <c r="CP1" s="2" t="s">
        <v>14</v>
      </c>
      <c r="CQ1" s="2" t="s">
        <v>8</v>
      </c>
      <c r="CR1" s="2" t="s">
        <v>12</v>
      </c>
      <c r="CS1" s="2" t="s">
        <v>45</v>
      </c>
      <c r="CT1" s="2" t="s">
        <v>14</v>
      </c>
      <c r="CU1" s="2" t="s">
        <v>8</v>
      </c>
      <c r="CV1" s="2" t="s">
        <v>12</v>
      </c>
      <c r="CW1" s="2" t="s">
        <v>46</v>
      </c>
      <c r="CX1" s="2" t="s">
        <v>14</v>
      </c>
      <c r="CY1" s="2" t="s">
        <v>8</v>
      </c>
      <c r="CZ1" s="2" t="s">
        <v>12</v>
      </c>
      <c r="DA1" s="2" t="s">
        <v>47</v>
      </c>
      <c r="DB1" s="2" t="s">
        <v>14</v>
      </c>
      <c r="DC1" s="2" t="s">
        <v>8</v>
      </c>
      <c r="DD1" s="2" t="s">
        <v>12</v>
      </c>
    </row>
    <row r="2" ht="15.75" customHeight="1">
      <c r="A2" s="5">
        <v>1155.0</v>
      </c>
      <c r="B2" s="6" t="s">
        <v>48</v>
      </c>
      <c r="C2" s="5" t="str">
        <f t="shared" ref="C2:C18" si="1">CONCATENATE(D2,"_",F2)</f>
        <v>TK-01_BS VI MS</v>
      </c>
      <c r="D2" s="7" t="s">
        <v>49</v>
      </c>
      <c r="E2" s="6"/>
      <c r="F2" s="8" t="s">
        <v>50</v>
      </c>
      <c r="G2" s="9" t="s">
        <v>51</v>
      </c>
      <c r="H2" s="10">
        <v>0.0</v>
      </c>
      <c r="I2" s="6"/>
      <c r="J2" s="6"/>
      <c r="K2" s="6"/>
      <c r="L2" s="6"/>
      <c r="M2" s="11" t="s">
        <v>52</v>
      </c>
      <c r="N2" s="6"/>
      <c r="O2" s="10" t="str">
        <f t="shared" ref="O2:O18" si="2">MID(M2,6,5)</f>
        <v>TK-01</v>
      </c>
      <c r="P2" s="10" t="s">
        <v>53</v>
      </c>
      <c r="Q2" s="11" t="s">
        <v>54</v>
      </c>
      <c r="R2" s="11">
        <v>0.0</v>
      </c>
      <c r="S2" s="10" t="str">
        <f t="shared" ref="S2:S18" si="3">MID(Q2,6,5)</f>
        <v>TK-01</v>
      </c>
      <c r="T2" s="10" t="s">
        <v>53</v>
      </c>
      <c r="U2" s="11" t="s">
        <v>55</v>
      </c>
      <c r="V2" s="10">
        <v>0.0</v>
      </c>
      <c r="W2" s="10" t="str">
        <f t="shared" ref="W2:W18" si="4">MID(U2,6,5)</f>
        <v>TK-01</v>
      </c>
      <c r="X2" s="10" t="s">
        <v>53</v>
      </c>
      <c r="Y2" s="11" t="s">
        <v>56</v>
      </c>
      <c r="Z2" s="11">
        <v>0.0</v>
      </c>
      <c r="AA2" s="10" t="str">
        <f t="shared" ref="AA2:AA18" si="5">MID(Y2,6,5)</f>
        <v>TK-01</v>
      </c>
      <c r="AB2" s="10" t="s">
        <v>53</v>
      </c>
      <c r="AC2" s="12"/>
      <c r="AD2" s="12"/>
      <c r="AE2" s="6"/>
      <c r="AF2" s="6"/>
      <c r="AG2" s="12"/>
      <c r="AH2" s="12"/>
      <c r="AI2" s="6"/>
      <c r="AJ2" s="6"/>
      <c r="AK2" s="12"/>
      <c r="AL2" s="12"/>
      <c r="AM2" s="6"/>
      <c r="AN2" s="6"/>
      <c r="AO2" s="12"/>
      <c r="AP2" s="12"/>
      <c r="AQ2" s="6"/>
      <c r="AR2" s="6"/>
      <c r="AS2" s="12"/>
      <c r="AT2" s="12"/>
      <c r="AU2" s="6"/>
      <c r="AV2" s="6"/>
      <c r="AW2" s="12"/>
      <c r="AX2" s="12"/>
      <c r="AY2" s="6"/>
      <c r="AZ2" s="6"/>
      <c r="BA2" s="12"/>
      <c r="BB2" s="12"/>
      <c r="BC2" s="13"/>
      <c r="BD2" s="13"/>
      <c r="BE2" s="12"/>
      <c r="BF2" s="12"/>
      <c r="BG2" s="13"/>
      <c r="BH2" s="14"/>
      <c r="BI2" s="13"/>
      <c r="BJ2" s="13"/>
      <c r="BK2" s="13"/>
      <c r="BL2" s="14"/>
      <c r="BM2" s="14"/>
      <c r="BN2" s="14"/>
      <c r="BO2" s="13"/>
      <c r="BP2" s="14"/>
      <c r="BQ2" s="12"/>
      <c r="BR2" s="12"/>
      <c r="BS2" s="13"/>
      <c r="BT2" s="13"/>
      <c r="BU2" s="12"/>
      <c r="BV2" s="15"/>
      <c r="BW2" s="13"/>
      <c r="BX2" s="14"/>
      <c r="BY2" s="12"/>
      <c r="BZ2" s="15"/>
      <c r="CA2" s="14"/>
      <c r="CB2" s="14"/>
      <c r="CC2" s="12"/>
      <c r="CD2" s="15"/>
      <c r="CE2" s="14"/>
      <c r="CF2" s="6"/>
      <c r="CG2" s="12"/>
      <c r="CH2" s="15"/>
      <c r="CI2" s="6"/>
      <c r="CJ2" s="6"/>
      <c r="CK2" s="6"/>
      <c r="CL2" s="16"/>
      <c r="CM2" s="6"/>
      <c r="CN2" s="6"/>
      <c r="CO2" s="12"/>
      <c r="CP2" s="15"/>
      <c r="CQ2" s="6"/>
      <c r="CR2" s="6"/>
      <c r="CS2" s="12"/>
      <c r="CT2" s="12"/>
      <c r="CU2" s="6"/>
      <c r="CV2" s="6"/>
      <c r="CW2" s="6"/>
      <c r="CX2" s="16"/>
      <c r="CY2" s="6"/>
      <c r="CZ2" s="6"/>
      <c r="DA2" s="6"/>
      <c r="DB2" s="16"/>
      <c r="DC2" s="6"/>
      <c r="DD2" s="6"/>
    </row>
    <row r="3" ht="15.75" customHeight="1">
      <c r="A3" s="5">
        <v>1155.0</v>
      </c>
      <c r="B3" s="6" t="s">
        <v>48</v>
      </c>
      <c r="C3" s="5" t="str">
        <f t="shared" si="1"/>
        <v>TK-02_BS VI MS</v>
      </c>
      <c r="D3" s="7" t="s">
        <v>57</v>
      </c>
      <c r="E3" s="6"/>
      <c r="F3" s="8" t="s">
        <v>50</v>
      </c>
      <c r="G3" s="9" t="s">
        <v>51</v>
      </c>
      <c r="H3" s="10">
        <v>0.0</v>
      </c>
      <c r="I3" s="6"/>
      <c r="J3" s="6"/>
      <c r="K3" s="6"/>
      <c r="L3" s="6"/>
      <c r="M3" s="17" t="s">
        <v>58</v>
      </c>
      <c r="N3" s="6"/>
      <c r="O3" s="10" t="str">
        <f t="shared" si="2"/>
        <v>TK-02</v>
      </c>
      <c r="P3" s="10" t="s">
        <v>53</v>
      </c>
      <c r="Q3" s="17" t="s">
        <v>59</v>
      </c>
      <c r="R3" s="17">
        <v>0.0</v>
      </c>
      <c r="S3" s="10" t="str">
        <f t="shared" si="3"/>
        <v>TK-02</v>
      </c>
      <c r="T3" s="10" t="s">
        <v>53</v>
      </c>
      <c r="U3" s="17" t="s">
        <v>60</v>
      </c>
      <c r="V3" s="6"/>
      <c r="W3" s="10" t="str">
        <f t="shared" si="4"/>
        <v>TK-02</v>
      </c>
      <c r="X3" s="10" t="s">
        <v>53</v>
      </c>
      <c r="Y3" s="17" t="s">
        <v>61</v>
      </c>
      <c r="Z3" s="17">
        <v>0.0</v>
      </c>
      <c r="AA3" s="10" t="str">
        <f t="shared" si="5"/>
        <v>TK-02</v>
      </c>
      <c r="AB3" s="10" t="s">
        <v>53</v>
      </c>
      <c r="AC3" s="18"/>
      <c r="AD3" s="18"/>
      <c r="AE3" s="6"/>
      <c r="AF3" s="6"/>
      <c r="AG3" s="18"/>
      <c r="AH3" s="18"/>
      <c r="AI3" s="6"/>
      <c r="AJ3" s="6"/>
      <c r="AK3" s="18"/>
      <c r="AL3" s="18"/>
      <c r="AM3" s="6"/>
      <c r="AN3" s="6"/>
      <c r="AO3" s="18"/>
      <c r="AP3" s="18"/>
      <c r="AQ3" s="6"/>
      <c r="AR3" s="6"/>
      <c r="AS3" s="18"/>
      <c r="AT3" s="18"/>
      <c r="AU3" s="6"/>
      <c r="AV3" s="6"/>
      <c r="AW3" s="18"/>
      <c r="AX3" s="18"/>
      <c r="AY3" s="6"/>
      <c r="AZ3" s="6"/>
      <c r="BA3" s="18"/>
      <c r="BB3" s="18"/>
      <c r="BC3" s="6"/>
      <c r="BD3" s="6"/>
      <c r="BE3" s="18"/>
      <c r="BF3" s="18"/>
      <c r="BG3" s="6"/>
      <c r="BH3" s="6"/>
      <c r="BI3" s="6"/>
      <c r="BJ3" s="6"/>
      <c r="BK3" s="6"/>
      <c r="BL3" s="6"/>
      <c r="BM3" s="6"/>
      <c r="BN3" s="6"/>
      <c r="BO3" s="6"/>
      <c r="BP3" s="6"/>
      <c r="BQ3" s="18"/>
      <c r="BR3" s="18"/>
      <c r="BS3" s="6"/>
      <c r="BT3" s="6"/>
      <c r="BU3" s="18"/>
      <c r="BV3" s="19"/>
      <c r="BW3" s="6"/>
      <c r="BX3" s="6"/>
      <c r="BY3" s="18"/>
      <c r="BZ3" s="19"/>
      <c r="CA3" s="6"/>
      <c r="CB3" s="6"/>
      <c r="CC3" s="18"/>
      <c r="CD3" s="19"/>
      <c r="CE3" s="6"/>
      <c r="CF3" s="6"/>
      <c r="CG3" s="18"/>
      <c r="CH3" s="19"/>
      <c r="CI3" s="6"/>
      <c r="CJ3" s="6"/>
      <c r="CK3" s="6"/>
      <c r="CL3" s="6"/>
      <c r="CM3" s="6"/>
      <c r="CN3" s="6"/>
      <c r="CO3" s="18"/>
      <c r="CP3" s="19"/>
      <c r="CQ3" s="6"/>
      <c r="CR3" s="6"/>
      <c r="CS3" s="18"/>
      <c r="CT3" s="18"/>
      <c r="CU3" s="6"/>
      <c r="CV3" s="6"/>
      <c r="CW3" s="6"/>
      <c r="CX3" s="6"/>
      <c r="CY3" s="6"/>
      <c r="CZ3" s="6"/>
      <c r="DA3" s="6"/>
      <c r="DB3" s="6"/>
      <c r="DC3" s="6"/>
      <c r="DD3" s="6"/>
    </row>
    <row r="4" ht="15.75" customHeight="1">
      <c r="A4" s="5">
        <v>1155.0</v>
      </c>
      <c r="B4" s="6" t="s">
        <v>48</v>
      </c>
      <c r="C4" s="5" t="str">
        <f t="shared" si="1"/>
        <v>TK-03_ETHANOL</v>
      </c>
      <c r="D4" s="7" t="s">
        <v>62</v>
      </c>
      <c r="E4" s="6"/>
      <c r="F4" s="8" t="s">
        <v>63</v>
      </c>
      <c r="G4" s="9" t="s">
        <v>51</v>
      </c>
      <c r="H4" s="10">
        <v>0.0</v>
      </c>
      <c r="I4" s="6"/>
      <c r="J4" s="6"/>
      <c r="K4" s="6"/>
      <c r="L4" s="6"/>
      <c r="M4" s="17" t="s">
        <v>64</v>
      </c>
      <c r="N4" s="6"/>
      <c r="O4" s="10" t="str">
        <f t="shared" si="2"/>
        <v>TK-03</v>
      </c>
      <c r="P4" s="10" t="s">
        <v>53</v>
      </c>
      <c r="Q4" s="17" t="s">
        <v>65</v>
      </c>
      <c r="R4" s="17">
        <v>0.0</v>
      </c>
      <c r="S4" s="10" t="str">
        <f t="shared" si="3"/>
        <v>TK-03</v>
      </c>
      <c r="T4" s="10" t="s">
        <v>53</v>
      </c>
      <c r="U4" s="17" t="s">
        <v>66</v>
      </c>
      <c r="V4" s="6"/>
      <c r="W4" s="10" t="str">
        <f t="shared" si="4"/>
        <v>TK-03</v>
      </c>
      <c r="X4" s="10" t="s">
        <v>53</v>
      </c>
      <c r="Y4" s="17" t="s">
        <v>67</v>
      </c>
      <c r="Z4" s="17">
        <v>0.0</v>
      </c>
      <c r="AA4" s="10" t="str">
        <f t="shared" si="5"/>
        <v>TK-03</v>
      </c>
      <c r="AB4" s="10" t="s">
        <v>53</v>
      </c>
      <c r="AC4" s="18"/>
      <c r="AD4" s="18"/>
      <c r="AE4" s="6"/>
      <c r="AF4" s="6"/>
      <c r="AG4" s="18"/>
      <c r="AH4" s="18"/>
      <c r="AI4" s="6"/>
      <c r="AJ4" s="6"/>
      <c r="AK4" s="18"/>
      <c r="AL4" s="18"/>
      <c r="AM4" s="6"/>
      <c r="AN4" s="6"/>
      <c r="AO4" s="18"/>
      <c r="AP4" s="18"/>
      <c r="AQ4" s="6"/>
      <c r="AR4" s="6"/>
      <c r="AS4" s="18"/>
      <c r="AT4" s="18"/>
      <c r="AU4" s="6"/>
      <c r="AV4" s="6"/>
      <c r="AW4" s="18"/>
      <c r="AX4" s="18"/>
      <c r="AY4" s="6"/>
      <c r="AZ4" s="6"/>
      <c r="BA4" s="18"/>
      <c r="BB4" s="18"/>
      <c r="BC4" s="6"/>
      <c r="BD4" s="6"/>
      <c r="BE4" s="18"/>
      <c r="BF4" s="18"/>
      <c r="BG4" s="6"/>
      <c r="BH4" s="6"/>
      <c r="BI4" s="6"/>
      <c r="BJ4" s="6"/>
      <c r="BK4" s="6"/>
      <c r="BL4" s="6"/>
      <c r="BM4" s="6"/>
      <c r="BN4" s="6"/>
      <c r="BO4" s="6"/>
      <c r="BP4" s="6"/>
      <c r="BQ4" s="18"/>
      <c r="BR4" s="18"/>
      <c r="BS4" s="6"/>
      <c r="BT4" s="6"/>
      <c r="BU4" s="18"/>
      <c r="BV4" s="19"/>
      <c r="BW4" s="6"/>
      <c r="BX4" s="6"/>
      <c r="BY4" s="18"/>
      <c r="BZ4" s="19"/>
      <c r="CA4" s="6"/>
      <c r="CB4" s="6"/>
      <c r="CC4" s="18"/>
      <c r="CD4" s="19"/>
      <c r="CE4" s="6"/>
      <c r="CF4" s="6"/>
      <c r="CG4" s="18"/>
      <c r="CH4" s="19"/>
      <c r="CI4" s="6"/>
      <c r="CJ4" s="6"/>
      <c r="CK4" s="6"/>
      <c r="CL4" s="6"/>
      <c r="CM4" s="6"/>
      <c r="CN4" s="6"/>
      <c r="CO4" s="18"/>
      <c r="CP4" s="19"/>
      <c r="CQ4" s="6"/>
      <c r="CR4" s="6"/>
      <c r="CS4" s="18"/>
      <c r="CT4" s="18"/>
      <c r="CU4" s="6"/>
      <c r="CV4" s="6"/>
      <c r="CW4" s="6"/>
      <c r="CX4" s="6"/>
      <c r="CY4" s="6"/>
      <c r="CZ4" s="6"/>
      <c r="DA4" s="6"/>
      <c r="DB4" s="6"/>
      <c r="DC4" s="6"/>
      <c r="DD4" s="6"/>
    </row>
    <row r="5" ht="15.75" customHeight="1">
      <c r="A5" s="5">
        <v>1155.0</v>
      </c>
      <c r="B5" s="6" t="s">
        <v>48</v>
      </c>
      <c r="C5" s="5" t="str">
        <f t="shared" si="1"/>
        <v>TK-04_ETHANOL</v>
      </c>
      <c r="D5" s="7" t="s">
        <v>68</v>
      </c>
      <c r="E5" s="6"/>
      <c r="F5" s="8" t="s">
        <v>63</v>
      </c>
      <c r="G5" s="9" t="s">
        <v>51</v>
      </c>
      <c r="H5" s="10">
        <v>0.0</v>
      </c>
      <c r="I5" s="6"/>
      <c r="J5" s="6"/>
      <c r="K5" s="6"/>
      <c r="L5" s="6"/>
      <c r="M5" s="17" t="s">
        <v>69</v>
      </c>
      <c r="N5" s="6"/>
      <c r="O5" s="10" t="str">
        <f t="shared" si="2"/>
        <v>TK-04</v>
      </c>
      <c r="P5" s="10" t="s">
        <v>53</v>
      </c>
      <c r="Q5" s="17" t="s">
        <v>70</v>
      </c>
      <c r="R5" s="17">
        <v>0.0</v>
      </c>
      <c r="S5" s="10" t="str">
        <f t="shared" si="3"/>
        <v>TK-04</v>
      </c>
      <c r="T5" s="10" t="s">
        <v>53</v>
      </c>
      <c r="U5" s="17" t="s">
        <v>71</v>
      </c>
      <c r="V5" s="6"/>
      <c r="W5" s="10" t="str">
        <f t="shared" si="4"/>
        <v>TK-04</v>
      </c>
      <c r="X5" s="10" t="s">
        <v>53</v>
      </c>
      <c r="Y5" s="17" t="s">
        <v>72</v>
      </c>
      <c r="Z5" s="17">
        <v>0.0</v>
      </c>
      <c r="AA5" s="10" t="str">
        <f t="shared" si="5"/>
        <v>TK-04</v>
      </c>
      <c r="AB5" s="10" t="s">
        <v>53</v>
      </c>
      <c r="AC5" s="18"/>
      <c r="AD5" s="18"/>
      <c r="AE5" s="6"/>
      <c r="AF5" s="6"/>
      <c r="AG5" s="18"/>
      <c r="AH5" s="18"/>
      <c r="AI5" s="6"/>
      <c r="AJ5" s="6"/>
      <c r="AK5" s="18"/>
      <c r="AL5" s="18"/>
      <c r="AM5" s="6"/>
      <c r="AN5" s="6"/>
      <c r="AO5" s="18"/>
      <c r="AP5" s="18"/>
      <c r="AQ5" s="6"/>
      <c r="AR5" s="6"/>
      <c r="AS5" s="18"/>
      <c r="AT5" s="18"/>
      <c r="AU5" s="6"/>
      <c r="AV5" s="6"/>
      <c r="AW5" s="18"/>
      <c r="AX5" s="18"/>
      <c r="AY5" s="6"/>
      <c r="AZ5" s="6"/>
      <c r="BA5" s="18"/>
      <c r="BB5" s="18"/>
      <c r="BC5" s="6"/>
      <c r="BD5" s="6"/>
      <c r="BE5" s="18"/>
      <c r="BF5" s="18"/>
      <c r="BG5" s="6"/>
      <c r="BH5" s="6"/>
      <c r="BI5" s="6"/>
      <c r="BJ5" s="6"/>
      <c r="BK5" s="6"/>
      <c r="BL5" s="6"/>
      <c r="BM5" s="6"/>
      <c r="BN5" s="6"/>
      <c r="BO5" s="6"/>
      <c r="BP5" s="6"/>
      <c r="BQ5" s="18"/>
      <c r="BR5" s="18"/>
      <c r="BS5" s="6"/>
      <c r="BT5" s="6"/>
      <c r="BU5" s="18"/>
      <c r="BV5" s="19"/>
      <c r="BW5" s="6"/>
      <c r="BX5" s="6"/>
      <c r="BY5" s="18"/>
      <c r="BZ5" s="19"/>
      <c r="CA5" s="6"/>
      <c r="CB5" s="6"/>
      <c r="CC5" s="18"/>
      <c r="CD5" s="19"/>
      <c r="CE5" s="6"/>
      <c r="CF5" s="6"/>
      <c r="CG5" s="18"/>
      <c r="CH5" s="19"/>
      <c r="CI5" s="6"/>
      <c r="CJ5" s="6"/>
      <c r="CK5" s="6"/>
      <c r="CL5" s="6"/>
      <c r="CM5" s="6"/>
      <c r="CN5" s="6"/>
      <c r="CO5" s="18"/>
      <c r="CP5" s="19"/>
      <c r="CQ5" s="6"/>
      <c r="CR5" s="6"/>
      <c r="CS5" s="18"/>
      <c r="CT5" s="18"/>
      <c r="CU5" s="6"/>
      <c r="CV5" s="6"/>
      <c r="CW5" s="6"/>
      <c r="CX5" s="6"/>
      <c r="CY5" s="6"/>
      <c r="CZ5" s="6"/>
      <c r="DA5" s="6"/>
      <c r="DB5" s="6"/>
      <c r="DC5" s="6"/>
      <c r="DD5" s="6"/>
    </row>
    <row r="6" ht="15.75" customHeight="1">
      <c r="A6" s="5">
        <v>1155.0</v>
      </c>
      <c r="B6" s="6" t="s">
        <v>48</v>
      </c>
      <c r="C6" s="5" t="str">
        <f t="shared" si="1"/>
        <v>TK-05_BIO DIESEL</v>
      </c>
      <c r="D6" s="7" t="s">
        <v>73</v>
      </c>
      <c r="E6" s="6"/>
      <c r="F6" s="8" t="s">
        <v>74</v>
      </c>
      <c r="G6" s="9" t="s">
        <v>51</v>
      </c>
      <c r="H6" s="10">
        <v>0.0</v>
      </c>
      <c r="I6" s="6"/>
      <c r="J6" s="6"/>
      <c r="K6" s="6"/>
      <c r="L6" s="6"/>
      <c r="M6" s="17" t="s">
        <v>75</v>
      </c>
      <c r="N6" s="6"/>
      <c r="O6" s="10" t="str">
        <f t="shared" si="2"/>
        <v>TK-05</v>
      </c>
      <c r="P6" s="10" t="s">
        <v>53</v>
      </c>
      <c r="Q6" s="17" t="s">
        <v>76</v>
      </c>
      <c r="R6" s="17">
        <v>0.0</v>
      </c>
      <c r="S6" s="10" t="str">
        <f t="shared" si="3"/>
        <v>TK-05</v>
      </c>
      <c r="T6" s="10" t="s">
        <v>53</v>
      </c>
      <c r="U6" s="17" t="s">
        <v>77</v>
      </c>
      <c r="V6" s="6"/>
      <c r="W6" s="10" t="str">
        <f t="shared" si="4"/>
        <v>TK-05</v>
      </c>
      <c r="X6" s="10" t="s">
        <v>53</v>
      </c>
      <c r="Y6" s="17" t="s">
        <v>78</v>
      </c>
      <c r="Z6" s="17">
        <v>0.0</v>
      </c>
      <c r="AA6" s="10" t="str">
        <f t="shared" si="5"/>
        <v>TK-05</v>
      </c>
      <c r="AB6" s="10" t="s">
        <v>53</v>
      </c>
      <c r="AC6" s="18"/>
      <c r="AD6" s="18"/>
      <c r="AE6" s="6"/>
      <c r="AF6" s="6"/>
      <c r="AG6" s="18"/>
      <c r="AH6" s="18"/>
      <c r="AI6" s="6"/>
      <c r="AJ6" s="6"/>
      <c r="AK6" s="18"/>
      <c r="AL6" s="18"/>
      <c r="AM6" s="6"/>
      <c r="AN6" s="6"/>
      <c r="AO6" s="18"/>
      <c r="AP6" s="18"/>
      <c r="AQ6" s="6"/>
      <c r="AR6" s="6"/>
      <c r="AS6" s="18"/>
      <c r="AT6" s="18"/>
      <c r="AU6" s="6"/>
      <c r="AV6" s="6"/>
      <c r="AW6" s="18"/>
      <c r="AX6" s="18"/>
      <c r="AY6" s="6"/>
      <c r="AZ6" s="6"/>
      <c r="BA6" s="18"/>
      <c r="BB6" s="18"/>
      <c r="BC6" s="6"/>
      <c r="BD6" s="6"/>
      <c r="BE6" s="18"/>
      <c r="BF6" s="18"/>
      <c r="BG6" s="6"/>
      <c r="BH6" s="6"/>
      <c r="BI6" s="6"/>
      <c r="BJ6" s="6"/>
      <c r="BK6" s="6"/>
      <c r="BL6" s="6"/>
      <c r="BM6" s="6"/>
      <c r="BN6" s="6"/>
      <c r="BO6" s="6"/>
      <c r="BP6" s="6"/>
      <c r="BQ6" s="18"/>
      <c r="BR6" s="18"/>
      <c r="BS6" s="6"/>
      <c r="BT6" s="6"/>
      <c r="BU6" s="18"/>
      <c r="BV6" s="19"/>
      <c r="BW6" s="6"/>
      <c r="BX6" s="6"/>
      <c r="BY6" s="18"/>
      <c r="BZ6" s="19"/>
      <c r="CA6" s="6"/>
      <c r="CB6" s="6"/>
      <c r="CC6" s="18"/>
      <c r="CD6" s="19"/>
      <c r="CE6" s="6"/>
      <c r="CF6" s="6"/>
      <c r="CG6" s="18"/>
      <c r="CH6" s="19"/>
      <c r="CI6" s="6"/>
      <c r="CJ6" s="6"/>
      <c r="CK6" s="6"/>
      <c r="CL6" s="6"/>
      <c r="CM6" s="6"/>
      <c r="CN6" s="6"/>
      <c r="CO6" s="18"/>
      <c r="CP6" s="19"/>
      <c r="CQ6" s="6"/>
      <c r="CR6" s="6"/>
      <c r="CS6" s="18"/>
      <c r="CT6" s="18"/>
      <c r="CU6" s="6"/>
      <c r="CV6" s="6"/>
      <c r="CW6" s="6"/>
      <c r="CX6" s="6"/>
      <c r="CY6" s="6"/>
      <c r="CZ6" s="6"/>
      <c r="DA6" s="6"/>
      <c r="DB6" s="6"/>
      <c r="DC6" s="6"/>
      <c r="DD6" s="6"/>
    </row>
    <row r="7" ht="15.75" customHeight="1">
      <c r="A7" s="5">
        <v>1155.0</v>
      </c>
      <c r="B7" s="6" t="s">
        <v>48</v>
      </c>
      <c r="C7" s="5" t="str">
        <f t="shared" si="1"/>
        <v>TK-06_ETHANOL</v>
      </c>
      <c r="D7" s="7" t="s">
        <v>79</v>
      </c>
      <c r="E7" s="6"/>
      <c r="F7" s="8" t="s">
        <v>63</v>
      </c>
      <c r="G7" s="9" t="s">
        <v>51</v>
      </c>
      <c r="H7" s="10">
        <v>0.0</v>
      </c>
      <c r="I7" s="6"/>
      <c r="J7" s="6"/>
      <c r="K7" s="6"/>
      <c r="L7" s="6"/>
      <c r="M7" s="17" t="s">
        <v>80</v>
      </c>
      <c r="N7" s="6"/>
      <c r="O7" s="10" t="str">
        <f t="shared" si="2"/>
        <v>TK-06</v>
      </c>
      <c r="P7" s="10" t="s">
        <v>53</v>
      </c>
      <c r="Q7" s="17" t="s">
        <v>81</v>
      </c>
      <c r="R7" s="17">
        <v>0.0</v>
      </c>
      <c r="S7" s="10" t="str">
        <f t="shared" si="3"/>
        <v>TK-06</v>
      </c>
      <c r="T7" s="10" t="s">
        <v>53</v>
      </c>
      <c r="U7" s="17" t="s">
        <v>82</v>
      </c>
      <c r="V7" s="6"/>
      <c r="W7" s="10" t="str">
        <f t="shared" si="4"/>
        <v>TK-06</v>
      </c>
      <c r="X7" s="10" t="s">
        <v>53</v>
      </c>
      <c r="Y7" s="17" t="s">
        <v>83</v>
      </c>
      <c r="Z7" s="17">
        <v>0.0</v>
      </c>
      <c r="AA7" s="10" t="str">
        <f t="shared" si="5"/>
        <v>TK-06</v>
      </c>
      <c r="AB7" s="10" t="s">
        <v>53</v>
      </c>
      <c r="AC7" s="18"/>
      <c r="AD7" s="18"/>
      <c r="AE7" s="6"/>
      <c r="AF7" s="6"/>
      <c r="AG7" s="18"/>
      <c r="AH7" s="18"/>
      <c r="AI7" s="6"/>
      <c r="AJ7" s="6"/>
      <c r="AK7" s="18"/>
      <c r="AL7" s="18"/>
      <c r="AM7" s="6"/>
      <c r="AN7" s="6"/>
      <c r="AO7" s="18"/>
      <c r="AP7" s="18"/>
      <c r="AQ7" s="6"/>
      <c r="AR7" s="6"/>
      <c r="AS7" s="18"/>
      <c r="AT7" s="18"/>
      <c r="AU7" s="6"/>
      <c r="AV7" s="6"/>
      <c r="AW7" s="18"/>
      <c r="AX7" s="18"/>
      <c r="AY7" s="6"/>
      <c r="AZ7" s="6"/>
      <c r="BA7" s="18"/>
      <c r="BB7" s="18"/>
      <c r="BC7" s="6"/>
      <c r="BD7" s="6"/>
      <c r="BE7" s="18"/>
      <c r="BF7" s="18"/>
      <c r="BG7" s="6"/>
      <c r="BH7" s="6"/>
      <c r="BI7" s="6"/>
      <c r="BJ7" s="6"/>
      <c r="BK7" s="6"/>
      <c r="BL7" s="6"/>
      <c r="BM7" s="6"/>
      <c r="BN7" s="6"/>
      <c r="BO7" s="6"/>
      <c r="BP7" s="6"/>
      <c r="BQ7" s="18"/>
      <c r="BR7" s="18"/>
      <c r="BS7" s="6"/>
      <c r="BT7" s="6"/>
      <c r="BU7" s="18"/>
      <c r="BV7" s="19"/>
      <c r="BW7" s="6"/>
      <c r="BX7" s="6"/>
      <c r="BY7" s="18"/>
      <c r="BZ7" s="19"/>
      <c r="CA7" s="6"/>
      <c r="CB7" s="6"/>
      <c r="CC7" s="18"/>
      <c r="CD7" s="19"/>
      <c r="CE7" s="6"/>
      <c r="CF7" s="6"/>
      <c r="CG7" s="18"/>
      <c r="CH7" s="19"/>
      <c r="CI7" s="6"/>
      <c r="CJ7" s="6"/>
      <c r="CK7" s="6"/>
      <c r="CL7" s="6"/>
      <c r="CM7" s="6"/>
      <c r="CN7" s="6"/>
      <c r="CO7" s="18"/>
      <c r="CP7" s="19"/>
      <c r="CQ7" s="6"/>
      <c r="CR7" s="6"/>
      <c r="CS7" s="18"/>
      <c r="CT7" s="18"/>
      <c r="CU7" s="6"/>
      <c r="CV7" s="6"/>
      <c r="CW7" s="6"/>
      <c r="CX7" s="6"/>
      <c r="CY7" s="6"/>
      <c r="CZ7" s="6"/>
      <c r="DA7" s="6"/>
      <c r="DB7" s="6"/>
      <c r="DC7" s="6"/>
      <c r="DD7" s="6"/>
    </row>
    <row r="8" ht="15.75" customHeight="1">
      <c r="A8" s="5">
        <v>1155.0</v>
      </c>
      <c r="B8" s="6" t="s">
        <v>48</v>
      </c>
      <c r="C8" s="5" t="str">
        <f t="shared" si="1"/>
        <v>TK-07_SKO</v>
      </c>
      <c r="D8" s="7" t="s">
        <v>84</v>
      </c>
      <c r="E8" s="6"/>
      <c r="F8" s="8" t="s">
        <v>85</v>
      </c>
      <c r="G8" s="9" t="s">
        <v>51</v>
      </c>
      <c r="H8" s="10">
        <v>0.0</v>
      </c>
      <c r="I8" s="6"/>
      <c r="J8" s="6"/>
      <c r="K8" s="6"/>
      <c r="L8" s="6"/>
      <c r="M8" s="17" t="s">
        <v>86</v>
      </c>
      <c r="N8" s="6"/>
      <c r="O8" s="10" t="str">
        <f t="shared" si="2"/>
        <v>TK-07</v>
      </c>
      <c r="P8" s="10" t="s">
        <v>53</v>
      </c>
      <c r="Q8" s="17" t="s">
        <v>87</v>
      </c>
      <c r="R8" s="17">
        <v>0.0</v>
      </c>
      <c r="S8" s="10" t="str">
        <f t="shared" si="3"/>
        <v>TK-07</v>
      </c>
      <c r="T8" s="10" t="s">
        <v>53</v>
      </c>
      <c r="U8" s="17" t="s">
        <v>88</v>
      </c>
      <c r="V8" s="6"/>
      <c r="W8" s="10" t="str">
        <f t="shared" si="4"/>
        <v>TK-07</v>
      </c>
      <c r="X8" s="10" t="s">
        <v>53</v>
      </c>
      <c r="Y8" s="17" t="s">
        <v>89</v>
      </c>
      <c r="Z8" s="17">
        <v>0.0</v>
      </c>
      <c r="AA8" s="10" t="str">
        <f t="shared" si="5"/>
        <v>TK-07</v>
      </c>
      <c r="AB8" s="10" t="s">
        <v>53</v>
      </c>
      <c r="AC8" s="18"/>
      <c r="AD8" s="18"/>
      <c r="AE8" s="6"/>
      <c r="AF8" s="6"/>
      <c r="AG8" s="18"/>
      <c r="AH8" s="18"/>
      <c r="AI8" s="6"/>
      <c r="AJ8" s="6"/>
      <c r="AK8" s="18"/>
      <c r="AL8" s="18"/>
      <c r="AM8" s="6"/>
      <c r="AN8" s="6"/>
      <c r="AO8" s="18"/>
      <c r="AP8" s="18"/>
      <c r="AQ8" s="6"/>
      <c r="AR8" s="6"/>
      <c r="AS8" s="18"/>
      <c r="AT8" s="18"/>
      <c r="AU8" s="6"/>
      <c r="AV8" s="6"/>
      <c r="AW8" s="18"/>
      <c r="AX8" s="18"/>
      <c r="AY8" s="6"/>
      <c r="AZ8" s="6"/>
      <c r="BA8" s="18"/>
      <c r="BB8" s="18"/>
      <c r="BC8" s="6"/>
      <c r="BD8" s="6"/>
      <c r="BE8" s="18"/>
      <c r="BF8" s="18"/>
      <c r="BG8" s="6"/>
      <c r="BH8" s="6"/>
      <c r="BI8" s="6"/>
      <c r="BJ8" s="6"/>
      <c r="BK8" s="6"/>
      <c r="BL8" s="6"/>
      <c r="BM8" s="6"/>
      <c r="BN8" s="6"/>
      <c r="BO8" s="6"/>
      <c r="BP8" s="6"/>
      <c r="BQ8" s="18"/>
      <c r="BR8" s="18"/>
      <c r="BS8" s="6"/>
      <c r="BT8" s="6"/>
      <c r="BU8" s="18"/>
      <c r="BV8" s="19"/>
      <c r="BW8" s="6"/>
      <c r="BX8" s="6"/>
      <c r="BY8" s="18"/>
      <c r="BZ8" s="19"/>
      <c r="CA8" s="6"/>
      <c r="CB8" s="6"/>
      <c r="CC8" s="18"/>
      <c r="CD8" s="19"/>
      <c r="CE8" s="6"/>
      <c r="CF8" s="6"/>
      <c r="CG8" s="18"/>
      <c r="CH8" s="19"/>
      <c r="CI8" s="6"/>
      <c r="CJ8" s="6"/>
      <c r="CK8" s="6"/>
      <c r="CL8" s="6"/>
      <c r="CM8" s="6"/>
      <c r="CN8" s="6"/>
      <c r="CO8" s="18"/>
      <c r="CP8" s="19"/>
      <c r="CQ8" s="6"/>
      <c r="CR8" s="6"/>
      <c r="CS8" s="18"/>
      <c r="CT8" s="19"/>
      <c r="CU8" s="6"/>
      <c r="CV8" s="6"/>
      <c r="CW8" s="6"/>
      <c r="CX8" s="6"/>
      <c r="CY8" s="6"/>
      <c r="CZ8" s="6"/>
      <c r="DA8" s="6"/>
      <c r="DB8" s="6"/>
      <c r="DC8" s="6"/>
      <c r="DD8" s="6"/>
    </row>
    <row r="9" ht="15.75" customHeight="1">
      <c r="A9" s="5">
        <v>1155.0</v>
      </c>
      <c r="B9" s="6" t="s">
        <v>48</v>
      </c>
      <c r="C9" s="5" t="str">
        <f t="shared" si="1"/>
        <v>TK-08_ETHANOL</v>
      </c>
      <c r="D9" s="7" t="s">
        <v>90</v>
      </c>
      <c r="E9" s="6"/>
      <c r="F9" s="8" t="s">
        <v>63</v>
      </c>
      <c r="G9" s="9" t="s">
        <v>51</v>
      </c>
      <c r="H9" s="10">
        <v>0.0</v>
      </c>
      <c r="I9" s="6"/>
      <c r="J9" s="6"/>
      <c r="K9" s="6"/>
      <c r="L9" s="6"/>
      <c r="M9" s="17" t="s">
        <v>91</v>
      </c>
      <c r="N9" s="6"/>
      <c r="O9" s="10" t="str">
        <f t="shared" si="2"/>
        <v>TK-08</v>
      </c>
      <c r="P9" s="10" t="s">
        <v>53</v>
      </c>
      <c r="Q9" s="17" t="s">
        <v>92</v>
      </c>
      <c r="R9" s="17">
        <v>0.0</v>
      </c>
      <c r="S9" s="10" t="str">
        <f t="shared" si="3"/>
        <v>TK-08</v>
      </c>
      <c r="T9" s="10" t="s">
        <v>53</v>
      </c>
      <c r="U9" s="17" t="s">
        <v>93</v>
      </c>
      <c r="V9" s="6"/>
      <c r="W9" s="10" t="str">
        <f t="shared" si="4"/>
        <v>TK-08</v>
      </c>
      <c r="X9" s="10" t="s">
        <v>53</v>
      </c>
      <c r="Y9" s="17" t="s">
        <v>94</v>
      </c>
      <c r="Z9" s="17">
        <v>0.0</v>
      </c>
      <c r="AA9" s="10" t="str">
        <f t="shared" si="5"/>
        <v>TK-08</v>
      </c>
      <c r="AB9" s="10" t="s">
        <v>53</v>
      </c>
      <c r="AC9" s="17" t="s">
        <v>95</v>
      </c>
      <c r="AD9" s="17">
        <v>0.0</v>
      </c>
      <c r="AE9" s="6" t="str">
        <f t="shared" ref="AE9:AE18" si="6">MID(AC9,13,6)</f>
        <v>LSW-01</v>
      </c>
      <c r="AF9" s="10" t="s">
        <v>96</v>
      </c>
      <c r="AG9" s="17" t="s">
        <v>97</v>
      </c>
      <c r="AH9" s="17">
        <v>0.0</v>
      </c>
      <c r="AI9" s="6" t="str">
        <f t="shared" ref="AI9:AI18" si="7">MID(AG9,13,6)</f>
        <v>LSW-01</v>
      </c>
      <c r="AJ9" s="10" t="s">
        <v>96</v>
      </c>
      <c r="AK9" s="17" t="s">
        <v>98</v>
      </c>
      <c r="AL9" s="17">
        <v>0.0</v>
      </c>
      <c r="AM9" s="6" t="str">
        <f t="shared" ref="AM9:AM18" si="8">MID(AK9,13,6)</f>
        <v>LSW-01</v>
      </c>
      <c r="AN9" s="6" t="s">
        <v>96</v>
      </c>
      <c r="AO9" s="17" t="s">
        <v>99</v>
      </c>
      <c r="AP9" s="17">
        <v>0.0</v>
      </c>
      <c r="AQ9" s="6" t="str">
        <f t="shared" ref="AQ9:AQ18" si="9">MID(AO9,13,6)</f>
        <v>RDR-01</v>
      </c>
      <c r="AR9" s="10" t="s">
        <v>100</v>
      </c>
      <c r="AS9" s="17" t="s">
        <v>101</v>
      </c>
      <c r="AT9" s="17">
        <v>0.0</v>
      </c>
      <c r="AU9" s="6" t="str">
        <f t="shared" ref="AU9:AU18" si="10">MID(AS9,13,6)</f>
        <v>RDR-01</v>
      </c>
      <c r="AV9" s="6" t="s">
        <v>100</v>
      </c>
      <c r="AW9" s="17" t="s">
        <v>102</v>
      </c>
      <c r="AX9" s="17">
        <v>0.0</v>
      </c>
      <c r="AY9" s="6" t="str">
        <f t="shared" ref="AY9:AY18" si="11">MID(AW9,13,6)</f>
        <v>RDR-01</v>
      </c>
      <c r="AZ9" s="6" t="s">
        <v>100</v>
      </c>
      <c r="BA9" s="17" t="s">
        <v>103</v>
      </c>
      <c r="BB9" s="17">
        <v>0.0</v>
      </c>
      <c r="BC9" s="6" t="str">
        <f t="shared" ref="BC9:BC18" si="12">MID(BA9,5,8)</f>
        <v>ROSOV-01</v>
      </c>
      <c r="BD9" s="5" t="s">
        <v>104</v>
      </c>
      <c r="BE9" s="17" t="s">
        <v>105</v>
      </c>
      <c r="BF9" s="17">
        <v>0.0</v>
      </c>
      <c r="BG9" s="6" t="str">
        <f t="shared" ref="BG9:BG18" si="13">MID(BE9,5,8)</f>
        <v>ROSOV-01</v>
      </c>
      <c r="BH9" s="5" t="s">
        <v>106</v>
      </c>
      <c r="BI9" s="6"/>
      <c r="BJ9" s="6"/>
      <c r="BK9" s="6"/>
      <c r="BL9" s="6"/>
      <c r="BM9" s="6"/>
      <c r="BN9" s="6"/>
      <c r="BO9" s="6"/>
      <c r="BP9" s="6"/>
      <c r="BQ9" s="20" t="s">
        <v>107</v>
      </c>
      <c r="BR9" s="17">
        <v>0.0</v>
      </c>
      <c r="BS9" s="6" t="str">
        <f t="shared" ref="BS9:BS13" si="14">MID(BQ9,5,8)</f>
        <v>ROSOV-02</v>
      </c>
      <c r="BT9" s="6" t="s">
        <v>108</v>
      </c>
      <c r="BU9" s="20" t="s">
        <v>109</v>
      </c>
      <c r="BV9" s="17">
        <v>0.0</v>
      </c>
      <c r="BW9" s="6" t="str">
        <f t="shared" ref="BW9:BW13" si="15">MID(BU9,5,8)</f>
        <v>ROSOV-02</v>
      </c>
      <c r="BX9" s="6" t="s">
        <v>110</v>
      </c>
      <c r="BY9" s="18"/>
      <c r="BZ9" s="19"/>
      <c r="CA9" s="6"/>
      <c r="CB9" s="6"/>
      <c r="CC9" s="18"/>
      <c r="CD9" s="19"/>
      <c r="CE9" s="6"/>
      <c r="CF9" s="6"/>
      <c r="CG9" s="20" t="s">
        <v>111</v>
      </c>
      <c r="CH9" s="21">
        <v>1.0</v>
      </c>
      <c r="CI9" s="6" t="str">
        <f t="shared" ref="CI9:CI13" si="16">MID(CG9,5,8)</f>
        <v>DBBV-001</v>
      </c>
      <c r="CJ9" s="6" t="s">
        <v>112</v>
      </c>
      <c r="CK9" s="6"/>
      <c r="CL9" s="6"/>
      <c r="CM9" s="6"/>
      <c r="CN9" s="6"/>
      <c r="CO9" s="20" t="s">
        <v>113</v>
      </c>
      <c r="CP9" s="21">
        <v>1.0</v>
      </c>
      <c r="CQ9" s="6" t="str">
        <f t="shared" ref="CQ9:CQ13" si="17">MID(CO9,5,8)</f>
        <v>DBBV-003</v>
      </c>
      <c r="CR9" s="6" t="s">
        <v>114</v>
      </c>
      <c r="CS9" s="18"/>
      <c r="CT9" s="19"/>
      <c r="CU9" s="6"/>
      <c r="CV9" s="6"/>
      <c r="CW9" s="6"/>
      <c r="CX9" s="6"/>
      <c r="CY9" s="6"/>
      <c r="CZ9" s="6"/>
      <c r="DA9" s="6"/>
      <c r="DB9" s="6"/>
      <c r="DC9" s="6"/>
      <c r="DD9" s="6"/>
    </row>
    <row r="10" ht="15.75" customHeight="1">
      <c r="A10" s="5">
        <v>1155.0</v>
      </c>
      <c r="B10" s="6" t="s">
        <v>48</v>
      </c>
      <c r="C10" s="5" t="str">
        <f t="shared" si="1"/>
        <v>TK-09_BS VI HSD</v>
      </c>
      <c r="D10" s="7" t="s">
        <v>115</v>
      </c>
      <c r="E10" s="6"/>
      <c r="F10" s="8" t="s">
        <v>116</v>
      </c>
      <c r="G10" s="9" t="s">
        <v>51</v>
      </c>
      <c r="H10" s="10">
        <v>0.0</v>
      </c>
      <c r="I10" s="6"/>
      <c r="J10" s="6"/>
      <c r="K10" s="6"/>
      <c r="L10" s="6"/>
      <c r="M10" s="17" t="s">
        <v>117</v>
      </c>
      <c r="N10" s="6"/>
      <c r="O10" s="10" t="str">
        <f t="shared" si="2"/>
        <v>TK-09</v>
      </c>
      <c r="P10" s="10" t="s">
        <v>53</v>
      </c>
      <c r="Q10" s="17" t="s">
        <v>118</v>
      </c>
      <c r="R10" s="17">
        <v>0.0</v>
      </c>
      <c r="S10" s="10" t="str">
        <f t="shared" si="3"/>
        <v>TK-09</v>
      </c>
      <c r="T10" s="10" t="s">
        <v>53</v>
      </c>
      <c r="U10" s="17" t="s">
        <v>119</v>
      </c>
      <c r="V10" s="6"/>
      <c r="W10" s="10" t="str">
        <f t="shared" si="4"/>
        <v>TK-09</v>
      </c>
      <c r="X10" s="10" t="s">
        <v>53</v>
      </c>
      <c r="Y10" s="17" t="s">
        <v>120</v>
      </c>
      <c r="Z10" s="17">
        <v>0.0</v>
      </c>
      <c r="AA10" s="10" t="str">
        <f t="shared" si="5"/>
        <v>TK-09</v>
      </c>
      <c r="AB10" s="10" t="s">
        <v>53</v>
      </c>
      <c r="AC10" s="17" t="s">
        <v>121</v>
      </c>
      <c r="AD10" s="17">
        <v>0.0</v>
      </c>
      <c r="AE10" s="6" t="str">
        <f t="shared" si="6"/>
        <v>LSW-02</v>
      </c>
      <c r="AF10" s="10" t="s">
        <v>96</v>
      </c>
      <c r="AG10" s="17" t="s">
        <v>122</v>
      </c>
      <c r="AH10" s="17">
        <v>0.0</v>
      </c>
      <c r="AI10" s="6" t="str">
        <f t="shared" si="7"/>
        <v>LSW-02</v>
      </c>
      <c r="AJ10" s="10" t="s">
        <v>96</v>
      </c>
      <c r="AK10" s="17" t="s">
        <v>123</v>
      </c>
      <c r="AL10" s="17">
        <v>0.0</v>
      </c>
      <c r="AM10" s="6" t="str">
        <f t="shared" si="8"/>
        <v>LSW-02</v>
      </c>
      <c r="AN10" s="6" t="s">
        <v>96</v>
      </c>
      <c r="AO10" s="17" t="s">
        <v>124</v>
      </c>
      <c r="AP10" s="17">
        <v>0.0</v>
      </c>
      <c r="AQ10" s="6" t="str">
        <f t="shared" si="9"/>
        <v>RDR-02</v>
      </c>
      <c r="AR10" s="10" t="s">
        <v>100</v>
      </c>
      <c r="AS10" s="17" t="s">
        <v>125</v>
      </c>
      <c r="AT10" s="17">
        <v>0.0</v>
      </c>
      <c r="AU10" s="6" t="str">
        <f t="shared" si="10"/>
        <v>RDR-02</v>
      </c>
      <c r="AV10" s="6" t="s">
        <v>100</v>
      </c>
      <c r="AW10" s="17" t="s">
        <v>126</v>
      </c>
      <c r="AX10" s="17">
        <v>0.0</v>
      </c>
      <c r="AY10" s="6" t="str">
        <f t="shared" si="11"/>
        <v>RDR-02</v>
      </c>
      <c r="AZ10" s="6" t="s">
        <v>100</v>
      </c>
      <c r="BA10" s="17" t="s">
        <v>127</v>
      </c>
      <c r="BB10" s="17">
        <v>0.0</v>
      </c>
      <c r="BC10" s="6" t="str">
        <f t="shared" si="12"/>
        <v>ROSOV-06</v>
      </c>
      <c r="BD10" s="5" t="s">
        <v>104</v>
      </c>
      <c r="BE10" s="17" t="s">
        <v>128</v>
      </c>
      <c r="BF10" s="17">
        <v>0.0</v>
      </c>
      <c r="BG10" s="6" t="str">
        <f t="shared" si="13"/>
        <v>ROSOV-06</v>
      </c>
      <c r="BH10" s="6" t="s">
        <v>106</v>
      </c>
      <c r="BI10" s="6"/>
      <c r="BJ10" s="6"/>
      <c r="BK10" s="6"/>
      <c r="BL10" s="6"/>
      <c r="BM10" s="6"/>
      <c r="BN10" s="6"/>
      <c r="BO10" s="6"/>
      <c r="BP10" s="6"/>
      <c r="BQ10" s="20" t="s">
        <v>129</v>
      </c>
      <c r="BR10" s="17">
        <v>0.0</v>
      </c>
      <c r="BS10" s="6" t="str">
        <f t="shared" si="14"/>
        <v>ROSOV-05</v>
      </c>
      <c r="BT10" s="6" t="s">
        <v>108</v>
      </c>
      <c r="BU10" s="20" t="s">
        <v>130</v>
      </c>
      <c r="BV10" s="17">
        <v>0.0</v>
      </c>
      <c r="BW10" s="6" t="str">
        <f t="shared" si="15"/>
        <v>ROSOV-05</v>
      </c>
      <c r="BX10" s="6" t="s">
        <v>110</v>
      </c>
      <c r="BY10" s="20" t="s">
        <v>131</v>
      </c>
      <c r="BZ10" s="17">
        <v>0.0</v>
      </c>
      <c r="CA10" s="6" t="str">
        <f t="shared" ref="CA10:CA13" si="18">MID(BY10,5,8)</f>
        <v>ROSOV-04</v>
      </c>
      <c r="CB10" s="6" t="s">
        <v>132</v>
      </c>
      <c r="CC10" s="20" t="s">
        <v>133</v>
      </c>
      <c r="CD10" s="21">
        <v>0.0</v>
      </c>
      <c r="CE10" s="6" t="str">
        <f t="shared" ref="CE10:CE13" si="19">MID(CC10,5,8)</f>
        <v>ROSOV-04</v>
      </c>
      <c r="CF10" s="6" t="s">
        <v>132</v>
      </c>
      <c r="CG10" s="20" t="s">
        <v>134</v>
      </c>
      <c r="CH10" s="21">
        <v>1.0</v>
      </c>
      <c r="CI10" s="6" t="str">
        <f t="shared" si="16"/>
        <v>DBBV-006</v>
      </c>
      <c r="CJ10" s="6" t="s">
        <v>112</v>
      </c>
      <c r="CK10" s="6"/>
      <c r="CL10" s="6"/>
      <c r="CM10" s="6"/>
      <c r="CN10" s="6"/>
      <c r="CO10" s="20" t="s">
        <v>135</v>
      </c>
      <c r="CP10" s="21">
        <v>1.0</v>
      </c>
      <c r="CQ10" s="6" t="str">
        <f t="shared" si="17"/>
        <v>DBBV-005</v>
      </c>
      <c r="CR10" s="6" t="s">
        <v>114</v>
      </c>
      <c r="CS10" s="20" t="s">
        <v>136</v>
      </c>
      <c r="CT10" s="21">
        <v>1.0</v>
      </c>
      <c r="CU10" s="6" t="str">
        <f t="shared" ref="CU10:CU13" si="20">MID(CS10,5,8)</f>
        <v>DBBV-004</v>
      </c>
      <c r="CV10" s="6" t="s">
        <v>137</v>
      </c>
      <c r="CW10" s="6"/>
      <c r="CX10" s="6"/>
      <c r="CY10" s="6"/>
      <c r="CZ10" s="6"/>
      <c r="DA10" s="6"/>
      <c r="DB10" s="6"/>
      <c r="DC10" s="6"/>
      <c r="DD10" s="6"/>
    </row>
    <row r="11" ht="15.75" customHeight="1">
      <c r="A11" s="5">
        <v>1155.0</v>
      </c>
      <c r="B11" s="6" t="s">
        <v>48</v>
      </c>
      <c r="C11" s="5" t="str">
        <f t="shared" si="1"/>
        <v>TK-10_BS VI HSD</v>
      </c>
      <c r="D11" s="7" t="s">
        <v>138</v>
      </c>
      <c r="E11" s="6"/>
      <c r="F11" s="8" t="s">
        <v>116</v>
      </c>
      <c r="G11" s="9" t="s">
        <v>51</v>
      </c>
      <c r="H11" s="10">
        <v>0.0</v>
      </c>
      <c r="I11" s="6"/>
      <c r="J11" s="6"/>
      <c r="K11" s="6"/>
      <c r="L11" s="6"/>
      <c r="M11" s="17" t="s">
        <v>139</v>
      </c>
      <c r="N11" s="6"/>
      <c r="O11" s="10" t="str">
        <f t="shared" si="2"/>
        <v>TK-10</v>
      </c>
      <c r="P11" s="10" t="s">
        <v>53</v>
      </c>
      <c r="Q11" s="17" t="s">
        <v>140</v>
      </c>
      <c r="R11" s="17">
        <v>0.0</v>
      </c>
      <c r="S11" s="10" t="str">
        <f t="shared" si="3"/>
        <v>TK-10</v>
      </c>
      <c r="T11" s="10" t="s">
        <v>53</v>
      </c>
      <c r="U11" s="17" t="s">
        <v>141</v>
      </c>
      <c r="V11" s="6"/>
      <c r="W11" s="10" t="str">
        <f t="shared" si="4"/>
        <v>TK-10</v>
      </c>
      <c r="X11" s="10" t="s">
        <v>53</v>
      </c>
      <c r="Y11" s="17" t="s">
        <v>142</v>
      </c>
      <c r="Z11" s="17">
        <v>0.0</v>
      </c>
      <c r="AA11" s="10" t="str">
        <f t="shared" si="5"/>
        <v>TK-10</v>
      </c>
      <c r="AB11" s="10" t="s">
        <v>53</v>
      </c>
      <c r="AC11" s="17" t="s">
        <v>143</v>
      </c>
      <c r="AD11" s="17">
        <v>0.0</v>
      </c>
      <c r="AE11" s="6" t="str">
        <f t="shared" si="6"/>
        <v>LSW-03</v>
      </c>
      <c r="AF11" s="10" t="s">
        <v>96</v>
      </c>
      <c r="AG11" s="17" t="s">
        <v>144</v>
      </c>
      <c r="AH11" s="17">
        <v>0.0</v>
      </c>
      <c r="AI11" s="6" t="str">
        <f t="shared" si="7"/>
        <v>LSW-03</v>
      </c>
      <c r="AJ11" s="10" t="s">
        <v>96</v>
      </c>
      <c r="AK11" s="17" t="s">
        <v>145</v>
      </c>
      <c r="AL11" s="17">
        <v>0.0</v>
      </c>
      <c r="AM11" s="6" t="str">
        <f t="shared" si="8"/>
        <v>LSW-03</v>
      </c>
      <c r="AN11" s="6" t="s">
        <v>96</v>
      </c>
      <c r="AO11" s="17" t="s">
        <v>146</v>
      </c>
      <c r="AP11" s="17">
        <v>0.0</v>
      </c>
      <c r="AQ11" s="6" t="str">
        <f t="shared" si="9"/>
        <v>RDR-03</v>
      </c>
      <c r="AR11" s="10" t="s">
        <v>100</v>
      </c>
      <c r="AS11" s="17" t="s">
        <v>147</v>
      </c>
      <c r="AT11" s="17">
        <v>0.0</v>
      </c>
      <c r="AU11" s="6" t="str">
        <f t="shared" si="10"/>
        <v>RDR-03</v>
      </c>
      <c r="AV11" s="6" t="s">
        <v>100</v>
      </c>
      <c r="AW11" s="17" t="s">
        <v>148</v>
      </c>
      <c r="AX11" s="17">
        <v>0.0</v>
      </c>
      <c r="AY11" s="6" t="str">
        <f t="shared" si="11"/>
        <v>RDR-03</v>
      </c>
      <c r="AZ11" s="6" t="s">
        <v>100</v>
      </c>
      <c r="BA11" s="17" t="s">
        <v>149</v>
      </c>
      <c r="BB11" s="17">
        <v>0.0</v>
      </c>
      <c r="BC11" s="6" t="str">
        <f t="shared" si="12"/>
        <v>ROSOV-09</v>
      </c>
      <c r="BD11" s="5" t="s">
        <v>104</v>
      </c>
      <c r="BE11" s="17" t="s">
        <v>150</v>
      </c>
      <c r="BF11" s="17">
        <v>0.0</v>
      </c>
      <c r="BG11" s="6" t="str">
        <f t="shared" si="13"/>
        <v>ROSOV-09</v>
      </c>
      <c r="BH11" s="6" t="s">
        <v>106</v>
      </c>
      <c r="BI11" s="6"/>
      <c r="BJ11" s="6"/>
      <c r="BK11" s="6"/>
      <c r="BL11" s="6"/>
      <c r="BM11" s="6"/>
      <c r="BN11" s="6"/>
      <c r="BO11" s="6"/>
      <c r="BP11" s="6"/>
      <c r="BQ11" s="20" t="s">
        <v>151</v>
      </c>
      <c r="BR11" s="17">
        <v>0.0</v>
      </c>
      <c r="BS11" s="6" t="str">
        <f t="shared" si="14"/>
        <v>ROSOV-08</v>
      </c>
      <c r="BT11" s="6" t="s">
        <v>108</v>
      </c>
      <c r="BU11" s="20" t="s">
        <v>152</v>
      </c>
      <c r="BV11" s="17">
        <v>0.0</v>
      </c>
      <c r="BW11" s="6" t="str">
        <f t="shared" si="15"/>
        <v>ROSOV-08</v>
      </c>
      <c r="BX11" s="6" t="s">
        <v>110</v>
      </c>
      <c r="BY11" s="20" t="s">
        <v>153</v>
      </c>
      <c r="BZ11" s="17">
        <v>0.0</v>
      </c>
      <c r="CA11" s="6" t="str">
        <f t="shared" si="18"/>
        <v>ROSOV-07</v>
      </c>
      <c r="CB11" s="6" t="s">
        <v>132</v>
      </c>
      <c r="CC11" s="20" t="s">
        <v>154</v>
      </c>
      <c r="CD11" s="21">
        <v>0.0</v>
      </c>
      <c r="CE11" s="6" t="str">
        <f t="shared" si="19"/>
        <v>ROSOV-07</v>
      </c>
      <c r="CF11" s="6" t="s">
        <v>132</v>
      </c>
      <c r="CG11" s="20" t="s">
        <v>155</v>
      </c>
      <c r="CH11" s="21">
        <v>1.0</v>
      </c>
      <c r="CI11" s="6" t="str">
        <f t="shared" si="16"/>
        <v>DBBV-009</v>
      </c>
      <c r="CJ11" s="6" t="s">
        <v>112</v>
      </c>
      <c r="CK11" s="6"/>
      <c r="CL11" s="6"/>
      <c r="CM11" s="6"/>
      <c r="CN11" s="6"/>
      <c r="CO11" s="20" t="s">
        <v>156</v>
      </c>
      <c r="CP11" s="21">
        <v>1.0</v>
      </c>
      <c r="CQ11" s="6" t="str">
        <f t="shared" si="17"/>
        <v>DBBV-008</v>
      </c>
      <c r="CR11" s="6" t="s">
        <v>114</v>
      </c>
      <c r="CS11" s="20" t="s">
        <v>157</v>
      </c>
      <c r="CT11" s="21">
        <v>1.0</v>
      </c>
      <c r="CU11" s="6" t="str">
        <f t="shared" si="20"/>
        <v>DBBV-007</v>
      </c>
      <c r="CV11" s="6" t="s">
        <v>137</v>
      </c>
      <c r="CW11" s="6"/>
      <c r="CX11" s="6"/>
      <c r="CY11" s="6"/>
      <c r="CZ11" s="6"/>
      <c r="DA11" s="6"/>
      <c r="DB11" s="6"/>
      <c r="DC11" s="6"/>
      <c r="DD11" s="6"/>
    </row>
    <row r="12" ht="15.75" customHeight="1">
      <c r="A12" s="5">
        <v>1155.0</v>
      </c>
      <c r="B12" s="6" t="s">
        <v>48</v>
      </c>
      <c r="C12" s="5" t="str">
        <f t="shared" si="1"/>
        <v>TK-11_BS VI MS</v>
      </c>
      <c r="D12" s="7" t="s">
        <v>158</v>
      </c>
      <c r="E12" s="6"/>
      <c r="F12" s="8" t="s">
        <v>50</v>
      </c>
      <c r="G12" s="9" t="s">
        <v>51</v>
      </c>
      <c r="H12" s="10">
        <v>0.0</v>
      </c>
      <c r="I12" s="6"/>
      <c r="J12" s="6"/>
      <c r="K12" s="6"/>
      <c r="L12" s="6"/>
      <c r="M12" s="17" t="s">
        <v>159</v>
      </c>
      <c r="N12" s="6"/>
      <c r="O12" s="10" t="str">
        <f t="shared" si="2"/>
        <v>TK-11</v>
      </c>
      <c r="P12" s="10" t="s">
        <v>53</v>
      </c>
      <c r="Q12" s="17" t="s">
        <v>160</v>
      </c>
      <c r="R12" s="17">
        <v>0.0</v>
      </c>
      <c r="S12" s="10" t="str">
        <f t="shared" si="3"/>
        <v>TK-11</v>
      </c>
      <c r="T12" s="10" t="s">
        <v>53</v>
      </c>
      <c r="U12" s="17" t="s">
        <v>161</v>
      </c>
      <c r="V12" s="6"/>
      <c r="W12" s="10" t="str">
        <f t="shared" si="4"/>
        <v>TK-11</v>
      </c>
      <c r="X12" s="10" t="s">
        <v>53</v>
      </c>
      <c r="Y12" s="17" t="s">
        <v>162</v>
      </c>
      <c r="Z12" s="17">
        <v>0.0</v>
      </c>
      <c r="AA12" s="10" t="str">
        <f t="shared" si="5"/>
        <v>TK-11</v>
      </c>
      <c r="AB12" s="10" t="s">
        <v>53</v>
      </c>
      <c r="AC12" s="17" t="s">
        <v>163</v>
      </c>
      <c r="AD12" s="17">
        <v>0.0</v>
      </c>
      <c r="AE12" s="6" t="str">
        <f t="shared" si="6"/>
        <v>LSW-04</v>
      </c>
      <c r="AF12" s="10" t="s">
        <v>96</v>
      </c>
      <c r="AG12" s="17" t="s">
        <v>164</v>
      </c>
      <c r="AH12" s="17">
        <v>0.0</v>
      </c>
      <c r="AI12" s="6" t="str">
        <f t="shared" si="7"/>
        <v>LSW-04</v>
      </c>
      <c r="AJ12" s="10" t="s">
        <v>96</v>
      </c>
      <c r="AK12" s="17" t="s">
        <v>165</v>
      </c>
      <c r="AL12" s="17">
        <v>0.0</v>
      </c>
      <c r="AM12" s="6" t="str">
        <f t="shared" si="8"/>
        <v>LSW-04</v>
      </c>
      <c r="AN12" s="6" t="s">
        <v>96</v>
      </c>
      <c r="AO12" s="17" t="s">
        <v>166</v>
      </c>
      <c r="AP12" s="17">
        <v>0.0</v>
      </c>
      <c r="AQ12" s="6" t="str">
        <f t="shared" si="9"/>
        <v>RDR-04</v>
      </c>
      <c r="AR12" s="10" t="s">
        <v>100</v>
      </c>
      <c r="AS12" s="17" t="s">
        <v>167</v>
      </c>
      <c r="AT12" s="17">
        <v>0.0</v>
      </c>
      <c r="AU12" s="6" t="str">
        <f t="shared" si="10"/>
        <v>RDR-04</v>
      </c>
      <c r="AV12" s="6" t="s">
        <v>100</v>
      </c>
      <c r="AW12" s="17" t="s">
        <v>168</v>
      </c>
      <c r="AX12" s="17">
        <v>0.0</v>
      </c>
      <c r="AY12" s="6" t="str">
        <f t="shared" si="11"/>
        <v>RDR-04</v>
      </c>
      <c r="AZ12" s="6" t="s">
        <v>100</v>
      </c>
      <c r="BA12" s="17" t="s">
        <v>169</v>
      </c>
      <c r="BB12" s="17">
        <v>0.0</v>
      </c>
      <c r="BC12" s="6" t="str">
        <f t="shared" si="12"/>
        <v>ROSOV-12</v>
      </c>
      <c r="BD12" s="5" t="s">
        <v>104</v>
      </c>
      <c r="BE12" s="17" t="s">
        <v>170</v>
      </c>
      <c r="BF12" s="17">
        <v>0.0</v>
      </c>
      <c r="BG12" s="6" t="str">
        <f t="shared" si="13"/>
        <v>ROSOV-12</v>
      </c>
      <c r="BH12" s="6" t="s">
        <v>106</v>
      </c>
      <c r="BI12" s="6"/>
      <c r="BJ12" s="6"/>
      <c r="BK12" s="6"/>
      <c r="BL12" s="6"/>
      <c r="BM12" s="6"/>
      <c r="BN12" s="6"/>
      <c r="BO12" s="6"/>
      <c r="BP12" s="6"/>
      <c r="BQ12" s="20" t="s">
        <v>171</v>
      </c>
      <c r="BR12" s="17">
        <v>0.0</v>
      </c>
      <c r="BS12" s="6" t="str">
        <f t="shared" si="14"/>
        <v>ROSOV-11</v>
      </c>
      <c r="BT12" s="6" t="s">
        <v>108</v>
      </c>
      <c r="BU12" s="20" t="s">
        <v>172</v>
      </c>
      <c r="BV12" s="17">
        <v>0.0</v>
      </c>
      <c r="BW12" s="6" t="str">
        <f t="shared" si="15"/>
        <v>ROSOV-11</v>
      </c>
      <c r="BX12" s="6" t="s">
        <v>110</v>
      </c>
      <c r="BY12" s="20" t="s">
        <v>173</v>
      </c>
      <c r="BZ12" s="17">
        <v>0.0</v>
      </c>
      <c r="CA12" s="6" t="str">
        <f t="shared" si="18"/>
        <v>ROSOV-10</v>
      </c>
      <c r="CB12" s="6" t="s">
        <v>132</v>
      </c>
      <c r="CC12" s="20" t="s">
        <v>174</v>
      </c>
      <c r="CD12" s="21">
        <v>0.0</v>
      </c>
      <c r="CE12" s="6" t="str">
        <f t="shared" si="19"/>
        <v>ROSOV-10</v>
      </c>
      <c r="CF12" s="6" t="s">
        <v>132</v>
      </c>
      <c r="CG12" s="20" t="s">
        <v>175</v>
      </c>
      <c r="CH12" s="21">
        <v>1.0</v>
      </c>
      <c r="CI12" s="6" t="str">
        <f t="shared" si="16"/>
        <v>DBBV-012</v>
      </c>
      <c r="CJ12" s="6" t="s">
        <v>112</v>
      </c>
      <c r="CK12" s="6"/>
      <c r="CL12" s="6"/>
      <c r="CM12" s="6"/>
      <c r="CN12" s="6"/>
      <c r="CO12" s="20" t="s">
        <v>176</v>
      </c>
      <c r="CP12" s="21">
        <v>1.0</v>
      </c>
      <c r="CQ12" s="6" t="str">
        <f t="shared" si="17"/>
        <v>DBBV-011</v>
      </c>
      <c r="CR12" s="6" t="s">
        <v>114</v>
      </c>
      <c r="CS12" s="20" t="s">
        <v>177</v>
      </c>
      <c r="CT12" s="21">
        <v>1.0</v>
      </c>
      <c r="CU12" s="6" t="str">
        <f t="shared" si="20"/>
        <v>DBBV-010</v>
      </c>
      <c r="CV12" s="6" t="s">
        <v>137</v>
      </c>
      <c r="CW12" s="6"/>
      <c r="CX12" s="6"/>
      <c r="CY12" s="6"/>
      <c r="CZ12" s="6"/>
      <c r="DA12" s="6"/>
      <c r="DB12" s="6"/>
      <c r="DC12" s="6"/>
      <c r="DD12" s="6"/>
    </row>
    <row r="13" ht="15.75" customHeight="1">
      <c r="A13" s="5">
        <v>1155.0</v>
      </c>
      <c r="B13" s="6" t="s">
        <v>48</v>
      </c>
      <c r="C13" s="5" t="str">
        <f t="shared" si="1"/>
        <v>TK-12_BS VI MS</v>
      </c>
      <c r="D13" s="7" t="s">
        <v>178</v>
      </c>
      <c r="E13" s="6"/>
      <c r="F13" s="8" t="s">
        <v>50</v>
      </c>
      <c r="G13" s="9" t="s">
        <v>51</v>
      </c>
      <c r="H13" s="10">
        <v>0.0</v>
      </c>
      <c r="I13" s="6"/>
      <c r="J13" s="6"/>
      <c r="K13" s="6"/>
      <c r="L13" s="6"/>
      <c r="M13" s="17" t="s">
        <v>179</v>
      </c>
      <c r="N13" s="6"/>
      <c r="O13" s="10" t="str">
        <f t="shared" si="2"/>
        <v>TK-12</v>
      </c>
      <c r="P13" s="10" t="s">
        <v>53</v>
      </c>
      <c r="Q13" s="17" t="s">
        <v>180</v>
      </c>
      <c r="R13" s="17">
        <v>0.0</v>
      </c>
      <c r="S13" s="10" t="str">
        <f t="shared" si="3"/>
        <v>TK-12</v>
      </c>
      <c r="T13" s="10" t="s">
        <v>53</v>
      </c>
      <c r="U13" s="17" t="s">
        <v>181</v>
      </c>
      <c r="V13" s="6"/>
      <c r="W13" s="10" t="str">
        <f t="shared" si="4"/>
        <v>TK-12</v>
      </c>
      <c r="X13" s="10" t="s">
        <v>53</v>
      </c>
      <c r="Y13" s="17" t="s">
        <v>182</v>
      </c>
      <c r="Z13" s="17">
        <v>0.0</v>
      </c>
      <c r="AA13" s="10" t="str">
        <f t="shared" si="5"/>
        <v>TK-12</v>
      </c>
      <c r="AB13" s="10" t="s">
        <v>53</v>
      </c>
      <c r="AC13" s="17" t="s">
        <v>183</v>
      </c>
      <c r="AD13" s="17">
        <v>0.0</v>
      </c>
      <c r="AE13" s="6" t="str">
        <f t="shared" si="6"/>
        <v>LSW-05</v>
      </c>
      <c r="AF13" s="10" t="s">
        <v>96</v>
      </c>
      <c r="AG13" s="17" t="s">
        <v>184</v>
      </c>
      <c r="AH13" s="17">
        <v>0.0</v>
      </c>
      <c r="AI13" s="6" t="str">
        <f t="shared" si="7"/>
        <v>LSW-05</v>
      </c>
      <c r="AJ13" s="10" t="s">
        <v>96</v>
      </c>
      <c r="AK13" s="17" t="s">
        <v>185</v>
      </c>
      <c r="AL13" s="17">
        <v>0.0</v>
      </c>
      <c r="AM13" s="6" t="str">
        <f t="shared" si="8"/>
        <v>LSW-05</v>
      </c>
      <c r="AN13" s="6" t="s">
        <v>96</v>
      </c>
      <c r="AO13" s="17" t="s">
        <v>186</v>
      </c>
      <c r="AP13" s="17">
        <v>0.0</v>
      </c>
      <c r="AQ13" s="6" t="str">
        <f t="shared" si="9"/>
        <v>RDR-05</v>
      </c>
      <c r="AR13" s="10" t="s">
        <v>100</v>
      </c>
      <c r="AS13" s="17" t="s">
        <v>187</v>
      </c>
      <c r="AT13" s="17">
        <v>0.0</v>
      </c>
      <c r="AU13" s="6" t="str">
        <f t="shared" si="10"/>
        <v>RDR-05</v>
      </c>
      <c r="AV13" s="6" t="s">
        <v>100</v>
      </c>
      <c r="AW13" s="17" t="s">
        <v>188</v>
      </c>
      <c r="AX13" s="17">
        <v>0.0</v>
      </c>
      <c r="AY13" s="6" t="str">
        <f t="shared" si="11"/>
        <v>RDR-05</v>
      </c>
      <c r="AZ13" s="6" t="s">
        <v>100</v>
      </c>
      <c r="BA13" s="17" t="s">
        <v>189</v>
      </c>
      <c r="BB13" s="17">
        <v>0.0</v>
      </c>
      <c r="BC13" s="6" t="str">
        <f t="shared" si="12"/>
        <v>ROSOV-15</v>
      </c>
      <c r="BD13" s="5" t="s">
        <v>104</v>
      </c>
      <c r="BE13" s="17" t="s">
        <v>190</v>
      </c>
      <c r="BF13" s="17">
        <v>0.0</v>
      </c>
      <c r="BG13" s="6" t="str">
        <f t="shared" si="13"/>
        <v>ROSOV-15</v>
      </c>
      <c r="BH13" s="6" t="s">
        <v>106</v>
      </c>
      <c r="BI13" s="6"/>
      <c r="BJ13" s="6"/>
      <c r="BK13" s="6"/>
      <c r="BL13" s="6"/>
      <c r="BM13" s="6"/>
      <c r="BN13" s="6"/>
      <c r="BO13" s="6"/>
      <c r="BP13" s="6"/>
      <c r="BQ13" s="20" t="s">
        <v>191</v>
      </c>
      <c r="BR13" s="17">
        <v>0.0</v>
      </c>
      <c r="BS13" s="6" t="str">
        <f t="shared" si="14"/>
        <v>ROSOV-14</v>
      </c>
      <c r="BT13" s="6" t="s">
        <v>108</v>
      </c>
      <c r="BU13" s="20" t="s">
        <v>192</v>
      </c>
      <c r="BV13" s="17">
        <v>0.0</v>
      </c>
      <c r="BW13" s="6" t="str">
        <f t="shared" si="15"/>
        <v>ROSOV-14</v>
      </c>
      <c r="BX13" s="6" t="s">
        <v>110</v>
      </c>
      <c r="BY13" s="20" t="s">
        <v>193</v>
      </c>
      <c r="BZ13" s="17">
        <v>0.0</v>
      </c>
      <c r="CA13" s="6" t="str">
        <f t="shared" si="18"/>
        <v>ROSOV-13</v>
      </c>
      <c r="CB13" s="6" t="s">
        <v>132</v>
      </c>
      <c r="CC13" s="20" t="s">
        <v>194</v>
      </c>
      <c r="CD13" s="21">
        <v>0.0</v>
      </c>
      <c r="CE13" s="6" t="str">
        <f t="shared" si="19"/>
        <v>ROSOV-13</v>
      </c>
      <c r="CF13" s="6" t="s">
        <v>132</v>
      </c>
      <c r="CG13" s="20" t="s">
        <v>195</v>
      </c>
      <c r="CH13" s="21">
        <v>1.0</v>
      </c>
      <c r="CI13" s="6" t="str">
        <f t="shared" si="16"/>
        <v>DBBV-015</v>
      </c>
      <c r="CJ13" s="6" t="s">
        <v>112</v>
      </c>
      <c r="CK13" s="6"/>
      <c r="CL13" s="6"/>
      <c r="CM13" s="6"/>
      <c r="CN13" s="6"/>
      <c r="CO13" s="20" t="s">
        <v>196</v>
      </c>
      <c r="CP13" s="21">
        <v>1.0</v>
      </c>
      <c r="CQ13" s="6" t="str">
        <f t="shared" si="17"/>
        <v>DBBV-014</v>
      </c>
      <c r="CR13" s="6" t="s">
        <v>114</v>
      </c>
      <c r="CS13" s="20" t="s">
        <v>197</v>
      </c>
      <c r="CT13" s="21">
        <v>1.0</v>
      </c>
      <c r="CU13" s="6" t="str">
        <f t="shared" si="20"/>
        <v>DBBV-013</v>
      </c>
      <c r="CV13" s="6" t="s">
        <v>137</v>
      </c>
      <c r="CW13" s="6"/>
      <c r="CX13" s="6"/>
      <c r="CY13" s="6"/>
      <c r="CZ13" s="6"/>
      <c r="DA13" s="6"/>
      <c r="DB13" s="6"/>
      <c r="DC13" s="6"/>
      <c r="DD13" s="6"/>
    </row>
    <row r="14" ht="15.75" customHeight="1">
      <c r="A14" s="5">
        <v>1155.0</v>
      </c>
      <c r="B14" s="6" t="s">
        <v>48</v>
      </c>
      <c r="C14" s="5" t="str">
        <f t="shared" si="1"/>
        <v>TK-13_WATER</v>
      </c>
      <c r="D14" s="7" t="s">
        <v>198</v>
      </c>
      <c r="E14" s="6"/>
      <c r="F14" s="8" t="s">
        <v>199</v>
      </c>
      <c r="G14" s="9" t="s">
        <v>51</v>
      </c>
      <c r="H14" s="10">
        <v>0.0</v>
      </c>
      <c r="I14" s="6"/>
      <c r="J14" s="6"/>
      <c r="K14" s="6"/>
      <c r="L14" s="6"/>
      <c r="M14" s="17" t="s">
        <v>200</v>
      </c>
      <c r="N14" s="6"/>
      <c r="O14" s="10" t="str">
        <f t="shared" si="2"/>
        <v>TK-13</v>
      </c>
      <c r="P14" s="10" t="s">
        <v>53</v>
      </c>
      <c r="Q14" s="18"/>
      <c r="R14" s="18"/>
      <c r="S14" s="6" t="str">
        <f t="shared" si="3"/>
        <v/>
      </c>
      <c r="T14" s="6"/>
      <c r="U14" s="17" t="s">
        <v>201</v>
      </c>
      <c r="V14" s="6"/>
      <c r="W14" s="10" t="str">
        <f t="shared" si="4"/>
        <v>TK-13</v>
      </c>
      <c r="X14" s="10" t="s">
        <v>53</v>
      </c>
      <c r="Y14" s="18"/>
      <c r="Z14" s="18"/>
      <c r="AA14" s="6" t="str">
        <f t="shared" si="5"/>
        <v/>
      </c>
      <c r="AB14" s="6"/>
      <c r="AC14" s="18"/>
      <c r="AD14" s="18"/>
      <c r="AE14" s="6" t="str">
        <f t="shared" si="6"/>
        <v/>
      </c>
      <c r="AF14" s="6"/>
      <c r="AG14" s="18"/>
      <c r="AH14" s="18"/>
      <c r="AI14" s="6" t="str">
        <f t="shared" si="7"/>
        <v/>
      </c>
      <c r="AJ14" s="6"/>
      <c r="AK14" s="18"/>
      <c r="AL14" s="18"/>
      <c r="AM14" s="6" t="str">
        <f t="shared" si="8"/>
        <v/>
      </c>
      <c r="AN14" s="6"/>
      <c r="AO14" s="18"/>
      <c r="AP14" s="18"/>
      <c r="AQ14" s="6" t="str">
        <f t="shared" si="9"/>
        <v/>
      </c>
      <c r="AR14" s="6"/>
      <c r="AS14" s="18"/>
      <c r="AT14" s="18"/>
      <c r="AU14" s="6" t="str">
        <f t="shared" si="10"/>
        <v/>
      </c>
      <c r="AV14" s="6"/>
      <c r="AW14" s="18"/>
      <c r="AX14" s="18"/>
      <c r="AY14" s="6" t="str">
        <f t="shared" si="11"/>
        <v/>
      </c>
      <c r="AZ14" s="6"/>
      <c r="BA14" s="18"/>
      <c r="BB14" s="18"/>
      <c r="BC14" s="6" t="str">
        <f t="shared" si="12"/>
        <v/>
      </c>
      <c r="BD14" s="6"/>
      <c r="BE14" s="18"/>
      <c r="BF14" s="18"/>
      <c r="BG14" s="6" t="str">
        <f t="shared" si="13"/>
        <v/>
      </c>
      <c r="BH14" s="6"/>
      <c r="BI14" s="6"/>
      <c r="BJ14" s="6"/>
      <c r="BK14" s="6"/>
      <c r="BL14" s="6"/>
      <c r="BM14" s="6"/>
      <c r="BN14" s="6"/>
      <c r="BO14" s="6"/>
      <c r="BP14" s="6"/>
      <c r="BQ14" s="18"/>
      <c r="BR14" s="18"/>
      <c r="BS14" s="6"/>
      <c r="BT14" s="6"/>
      <c r="BU14" s="18"/>
      <c r="BV14" s="18"/>
      <c r="BW14" s="6"/>
      <c r="BX14" s="6"/>
      <c r="BY14" s="18"/>
      <c r="BZ14" s="18"/>
      <c r="CA14" s="6"/>
      <c r="CB14" s="6"/>
      <c r="CC14" s="18"/>
      <c r="CD14" s="19"/>
      <c r="CE14" s="6"/>
      <c r="CF14" s="6"/>
      <c r="CG14" s="18"/>
      <c r="CH14" s="19"/>
      <c r="CI14" s="6"/>
      <c r="CJ14" s="6"/>
      <c r="CK14" s="6"/>
      <c r="CL14" s="6"/>
      <c r="CM14" s="6"/>
      <c r="CN14" s="6"/>
      <c r="CO14" s="18"/>
      <c r="CP14" s="19"/>
      <c r="CQ14" s="6"/>
      <c r="CR14" s="6"/>
      <c r="CS14" s="18"/>
      <c r="CT14" s="19"/>
      <c r="CU14" s="6"/>
      <c r="CV14" s="6"/>
      <c r="CW14" s="6"/>
      <c r="CX14" s="6"/>
      <c r="CY14" s="6"/>
      <c r="CZ14" s="6"/>
      <c r="DA14" s="6"/>
      <c r="DB14" s="6"/>
      <c r="DC14" s="6"/>
      <c r="DD14" s="6"/>
    </row>
    <row r="15" ht="15.75" customHeight="1">
      <c r="A15" s="5">
        <v>1155.0</v>
      </c>
      <c r="B15" s="6" t="s">
        <v>48</v>
      </c>
      <c r="C15" s="5" t="str">
        <f t="shared" si="1"/>
        <v>TK-14_WATER</v>
      </c>
      <c r="D15" s="7" t="s">
        <v>202</v>
      </c>
      <c r="E15" s="6"/>
      <c r="F15" s="8" t="s">
        <v>199</v>
      </c>
      <c r="G15" s="9" t="s">
        <v>51</v>
      </c>
      <c r="H15" s="10">
        <v>0.0</v>
      </c>
      <c r="I15" s="6"/>
      <c r="J15" s="6"/>
      <c r="K15" s="6"/>
      <c r="L15" s="6"/>
      <c r="M15" s="17" t="s">
        <v>203</v>
      </c>
      <c r="N15" s="6"/>
      <c r="O15" s="10" t="str">
        <f t="shared" si="2"/>
        <v>TK-14</v>
      </c>
      <c r="P15" s="10" t="s">
        <v>53</v>
      </c>
      <c r="Q15" s="18"/>
      <c r="R15" s="18"/>
      <c r="S15" s="6" t="str">
        <f t="shared" si="3"/>
        <v/>
      </c>
      <c r="T15" s="6"/>
      <c r="U15" s="17" t="s">
        <v>204</v>
      </c>
      <c r="V15" s="6"/>
      <c r="W15" s="10" t="str">
        <f t="shared" si="4"/>
        <v>TK-14</v>
      </c>
      <c r="X15" s="10" t="s">
        <v>53</v>
      </c>
      <c r="Y15" s="18"/>
      <c r="Z15" s="18"/>
      <c r="AA15" s="6" t="str">
        <f t="shared" si="5"/>
        <v/>
      </c>
      <c r="AB15" s="6"/>
      <c r="AC15" s="18"/>
      <c r="AD15" s="18"/>
      <c r="AE15" s="6" t="str">
        <f t="shared" si="6"/>
        <v/>
      </c>
      <c r="AF15" s="6"/>
      <c r="AG15" s="18"/>
      <c r="AH15" s="18"/>
      <c r="AI15" s="6" t="str">
        <f t="shared" si="7"/>
        <v/>
      </c>
      <c r="AJ15" s="6"/>
      <c r="AK15" s="18"/>
      <c r="AL15" s="18"/>
      <c r="AM15" s="6" t="str">
        <f t="shared" si="8"/>
        <v/>
      </c>
      <c r="AN15" s="6"/>
      <c r="AO15" s="18"/>
      <c r="AP15" s="18"/>
      <c r="AQ15" s="6" t="str">
        <f t="shared" si="9"/>
        <v/>
      </c>
      <c r="AR15" s="6"/>
      <c r="AS15" s="18"/>
      <c r="AT15" s="18"/>
      <c r="AU15" s="6" t="str">
        <f t="shared" si="10"/>
        <v/>
      </c>
      <c r="AV15" s="6"/>
      <c r="AW15" s="18"/>
      <c r="AX15" s="18"/>
      <c r="AY15" s="6" t="str">
        <f t="shared" si="11"/>
        <v/>
      </c>
      <c r="AZ15" s="6"/>
      <c r="BA15" s="18"/>
      <c r="BB15" s="18"/>
      <c r="BC15" s="6" t="str">
        <f t="shared" si="12"/>
        <v/>
      </c>
      <c r="BD15" s="6"/>
      <c r="BE15" s="18"/>
      <c r="BF15" s="18"/>
      <c r="BG15" s="6" t="str">
        <f t="shared" si="13"/>
        <v/>
      </c>
      <c r="BH15" s="6"/>
      <c r="BI15" s="6"/>
      <c r="BJ15" s="6"/>
      <c r="BK15" s="6"/>
      <c r="BL15" s="6"/>
      <c r="BM15" s="6"/>
      <c r="BN15" s="6"/>
      <c r="BO15" s="6"/>
      <c r="BP15" s="6"/>
      <c r="BQ15" s="18"/>
      <c r="BR15" s="18"/>
      <c r="BS15" s="6"/>
      <c r="BT15" s="6"/>
      <c r="BU15" s="18"/>
      <c r="BV15" s="18"/>
      <c r="BW15" s="6"/>
      <c r="BX15" s="6"/>
      <c r="BY15" s="18"/>
      <c r="BZ15" s="18"/>
      <c r="CA15" s="6"/>
      <c r="CB15" s="6"/>
      <c r="CC15" s="18"/>
      <c r="CD15" s="19"/>
      <c r="CE15" s="6"/>
      <c r="CF15" s="6"/>
      <c r="CG15" s="18"/>
      <c r="CH15" s="19"/>
      <c r="CI15" s="6"/>
      <c r="CJ15" s="6"/>
      <c r="CK15" s="6"/>
      <c r="CL15" s="6"/>
      <c r="CM15" s="6"/>
      <c r="CN15" s="6"/>
      <c r="CO15" s="18"/>
      <c r="CP15" s="19"/>
      <c r="CQ15" s="6"/>
      <c r="CR15" s="6"/>
      <c r="CS15" s="18"/>
      <c r="CT15" s="19"/>
      <c r="CU15" s="6"/>
      <c r="CV15" s="6"/>
      <c r="CW15" s="6"/>
      <c r="CX15" s="6"/>
      <c r="CY15" s="6"/>
      <c r="CZ15" s="6"/>
      <c r="DA15" s="6"/>
      <c r="DB15" s="6"/>
      <c r="DC15" s="6"/>
      <c r="DD15" s="6"/>
    </row>
    <row r="16" ht="15.75" customHeight="1">
      <c r="A16" s="5">
        <v>1155.0</v>
      </c>
      <c r="B16" s="6" t="s">
        <v>48</v>
      </c>
      <c r="C16" s="5" t="str">
        <f t="shared" si="1"/>
        <v>TK-15_BS VI MS</v>
      </c>
      <c r="D16" s="7" t="s">
        <v>205</v>
      </c>
      <c r="E16" s="6"/>
      <c r="F16" s="8" t="s">
        <v>50</v>
      </c>
      <c r="G16" s="9" t="s">
        <v>51</v>
      </c>
      <c r="H16" s="10">
        <v>0.0</v>
      </c>
      <c r="I16" s="6"/>
      <c r="J16" s="6"/>
      <c r="K16" s="6"/>
      <c r="L16" s="6"/>
      <c r="M16" s="17" t="s">
        <v>206</v>
      </c>
      <c r="N16" s="6"/>
      <c r="O16" s="10" t="str">
        <f t="shared" si="2"/>
        <v>TK-15</v>
      </c>
      <c r="P16" s="10" t="s">
        <v>53</v>
      </c>
      <c r="Q16" s="17" t="s">
        <v>207</v>
      </c>
      <c r="R16" s="17">
        <v>0.0</v>
      </c>
      <c r="S16" s="10" t="str">
        <f t="shared" si="3"/>
        <v>TK-15</v>
      </c>
      <c r="T16" s="10" t="s">
        <v>53</v>
      </c>
      <c r="U16" s="17" t="s">
        <v>208</v>
      </c>
      <c r="V16" s="6"/>
      <c r="W16" s="10" t="str">
        <f t="shared" si="4"/>
        <v>TK-15</v>
      </c>
      <c r="X16" s="10" t="s">
        <v>53</v>
      </c>
      <c r="Y16" s="17" t="s">
        <v>209</v>
      </c>
      <c r="Z16" s="17">
        <v>0.0</v>
      </c>
      <c r="AA16" s="10" t="str">
        <f t="shared" si="5"/>
        <v>TK-15</v>
      </c>
      <c r="AB16" s="10" t="s">
        <v>53</v>
      </c>
      <c r="AC16" s="18"/>
      <c r="AD16" s="18"/>
      <c r="AE16" s="6" t="str">
        <f t="shared" si="6"/>
        <v/>
      </c>
      <c r="AF16" s="6"/>
      <c r="AG16" s="18"/>
      <c r="AH16" s="18"/>
      <c r="AI16" s="6" t="str">
        <f t="shared" si="7"/>
        <v/>
      </c>
      <c r="AJ16" s="6"/>
      <c r="AK16" s="18"/>
      <c r="AL16" s="18"/>
      <c r="AM16" s="6" t="str">
        <f t="shared" si="8"/>
        <v/>
      </c>
      <c r="AN16" s="6"/>
      <c r="AO16" s="18"/>
      <c r="AP16" s="18"/>
      <c r="AQ16" s="6" t="str">
        <f t="shared" si="9"/>
        <v/>
      </c>
      <c r="AR16" s="6"/>
      <c r="AS16" s="18"/>
      <c r="AT16" s="18"/>
      <c r="AU16" s="6" t="str">
        <f t="shared" si="10"/>
        <v/>
      </c>
      <c r="AV16" s="6"/>
      <c r="AW16" s="18"/>
      <c r="AX16" s="18"/>
      <c r="AY16" s="6" t="str">
        <f t="shared" si="11"/>
        <v/>
      </c>
      <c r="AZ16" s="6"/>
      <c r="BA16" s="18"/>
      <c r="BB16" s="18"/>
      <c r="BC16" s="6" t="str">
        <f t="shared" si="12"/>
        <v/>
      </c>
      <c r="BD16" s="6"/>
      <c r="BE16" s="18"/>
      <c r="BF16" s="18"/>
      <c r="BG16" s="6" t="str">
        <f t="shared" si="13"/>
        <v/>
      </c>
      <c r="BH16" s="6"/>
      <c r="BI16" s="6"/>
      <c r="BJ16" s="6"/>
      <c r="BK16" s="6"/>
      <c r="BL16" s="6"/>
      <c r="BM16" s="6"/>
      <c r="BN16" s="6"/>
      <c r="BO16" s="6"/>
      <c r="BP16" s="6"/>
      <c r="BQ16" s="18"/>
      <c r="BR16" s="18"/>
      <c r="BS16" s="6"/>
      <c r="BT16" s="6"/>
      <c r="BU16" s="18"/>
      <c r="BV16" s="18"/>
      <c r="BW16" s="6"/>
      <c r="BX16" s="6"/>
      <c r="BY16" s="18"/>
      <c r="BZ16" s="18"/>
      <c r="CA16" s="6"/>
      <c r="CB16" s="6"/>
      <c r="CC16" s="18"/>
      <c r="CD16" s="19"/>
      <c r="CE16" s="6"/>
      <c r="CF16" s="6"/>
      <c r="CG16" s="18"/>
      <c r="CH16" s="19"/>
      <c r="CI16" s="6"/>
      <c r="CJ16" s="6"/>
      <c r="CK16" s="6"/>
      <c r="CL16" s="6"/>
      <c r="CM16" s="6"/>
      <c r="CN16" s="6"/>
      <c r="CO16" s="18"/>
      <c r="CP16" s="19"/>
      <c r="CQ16" s="6"/>
      <c r="CR16" s="6"/>
      <c r="CS16" s="18"/>
      <c r="CT16" s="19"/>
      <c r="CU16" s="6"/>
      <c r="CV16" s="6"/>
      <c r="CW16" s="6"/>
      <c r="CX16" s="6"/>
      <c r="CY16" s="6"/>
      <c r="CZ16" s="6"/>
      <c r="DA16" s="6"/>
      <c r="DB16" s="6"/>
      <c r="DC16" s="6"/>
      <c r="DD16" s="6"/>
    </row>
    <row r="17" ht="15.75" customHeight="1">
      <c r="A17" s="5">
        <v>1155.0</v>
      </c>
      <c r="B17" s="6" t="s">
        <v>48</v>
      </c>
      <c r="C17" s="5" t="str">
        <f t="shared" si="1"/>
        <v>TK-16_BS VI MS</v>
      </c>
      <c r="D17" s="7" t="s">
        <v>210</v>
      </c>
      <c r="E17" s="6"/>
      <c r="F17" s="8" t="s">
        <v>50</v>
      </c>
      <c r="G17" s="9" t="s">
        <v>51</v>
      </c>
      <c r="H17" s="10">
        <v>0.0</v>
      </c>
      <c r="I17" s="6"/>
      <c r="J17" s="6"/>
      <c r="K17" s="6"/>
      <c r="L17" s="6"/>
      <c r="M17" s="17" t="s">
        <v>211</v>
      </c>
      <c r="N17" s="6"/>
      <c r="O17" s="10" t="str">
        <f t="shared" si="2"/>
        <v>TK-16</v>
      </c>
      <c r="P17" s="10" t="s">
        <v>53</v>
      </c>
      <c r="Q17" s="17" t="s">
        <v>212</v>
      </c>
      <c r="R17" s="17">
        <v>0.0</v>
      </c>
      <c r="S17" s="10" t="str">
        <f t="shared" si="3"/>
        <v>TK-16</v>
      </c>
      <c r="T17" s="10" t="s">
        <v>53</v>
      </c>
      <c r="U17" s="17" t="s">
        <v>213</v>
      </c>
      <c r="V17" s="6"/>
      <c r="W17" s="10" t="str">
        <f t="shared" si="4"/>
        <v>TK-16</v>
      </c>
      <c r="X17" s="10" t="s">
        <v>53</v>
      </c>
      <c r="Y17" s="17" t="s">
        <v>214</v>
      </c>
      <c r="Z17" s="17">
        <v>0.0</v>
      </c>
      <c r="AA17" s="10" t="str">
        <f t="shared" si="5"/>
        <v>TK-16</v>
      </c>
      <c r="AB17" s="10" t="s">
        <v>53</v>
      </c>
      <c r="AC17" s="18"/>
      <c r="AD17" s="18"/>
      <c r="AE17" s="6" t="str">
        <f t="shared" si="6"/>
        <v/>
      </c>
      <c r="AF17" s="6"/>
      <c r="AG17" s="18"/>
      <c r="AH17" s="18"/>
      <c r="AI17" s="6" t="str">
        <f t="shared" si="7"/>
        <v/>
      </c>
      <c r="AJ17" s="6"/>
      <c r="AK17" s="18"/>
      <c r="AL17" s="18"/>
      <c r="AM17" s="6" t="str">
        <f t="shared" si="8"/>
        <v/>
      </c>
      <c r="AN17" s="6"/>
      <c r="AO17" s="18"/>
      <c r="AP17" s="18"/>
      <c r="AQ17" s="6" t="str">
        <f t="shared" si="9"/>
        <v/>
      </c>
      <c r="AR17" s="6"/>
      <c r="AS17" s="18"/>
      <c r="AT17" s="18"/>
      <c r="AU17" s="6" t="str">
        <f t="shared" si="10"/>
        <v/>
      </c>
      <c r="AV17" s="6"/>
      <c r="AW17" s="18"/>
      <c r="AX17" s="18"/>
      <c r="AY17" s="6" t="str">
        <f t="shared" si="11"/>
        <v/>
      </c>
      <c r="AZ17" s="6"/>
      <c r="BA17" s="18"/>
      <c r="BB17" s="18"/>
      <c r="BC17" s="6" t="str">
        <f t="shared" si="12"/>
        <v/>
      </c>
      <c r="BD17" s="6"/>
      <c r="BE17" s="18"/>
      <c r="BF17" s="18"/>
      <c r="BG17" s="6" t="str">
        <f t="shared" si="13"/>
        <v/>
      </c>
      <c r="BH17" s="6"/>
      <c r="BI17" s="6"/>
      <c r="BJ17" s="6"/>
      <c r="BK17" s="6"/>
      <c r="BL17" s="6"/>
      <c r="BM17" s="6"/>
      <c r="BN17" s="6"/>
      <c r="BO17" s="6"/>
      <c r="BP17" s="6"/>
      <c r="BQ17" s="18"/>
      <c r="BR17" s="18"/>
      <c r="BS17" s="6"/>
      <c r="BT17" s="6"/>
      <c r="BU17" s="18"/>
      <c r="BV17" s="18"/>
      <c r="BW17" s="6"/>
      <c r="BX17" s="6"/>
      <c r="BY17" s="18"/>
      <c r="BZ17" s="18"/>
      <c r="CA17" s="6"/>
      <c r="CB17" s="6"/>
      <c r="CC17" s="18"/>
      <c r="CD17" s="19"/>
      <c r="CE17" s="6"/>
      <c r="CF17" s="6"/>
      <c r="CG17" s="18"/>
      <c r="CH17" s="19"/>
      <c r="CI17" s="6"/>
      <c r="CJ17" s="6"/>
      <c r="CK17" s="6"/>
      <c r="CL17" s="6"/>
      <c r="CM17" s="6"/>
      <c r="CN17" s="6"/>
      <c r="CO17" s="18"/>
      <c r="CP17" s="19"/>
      <c r="CQ17" s="6"/>
      <c r="CR17" s="6"/>
      <c r="CS17" s="18"/>
      <c r="CT17" s="19"/>
      <c r="CU17" s="6"/>
      <c r="CV17" s="6"/>
      <c r="CW17" s="6"/>
      <c r="CX17" s="6"/>
      <c r="CY17" s="6"/>
      <c r="CZ17" s="6"/>
      <c r="DA17" s="6"/>
      <c r="DB17" s="6"/>
      <c r="DC17" s="6"/>
      <c r="DD17" s="6"/>
    </row>
    <row r="18" ht="15.75" customHeight="1">
      <c r="A18" s="5">
        <v>1155.0</v>
      </c>
      <c r="B18" s="6" t="s">
        <v>48</v>
      </c>
      <c r="C18" s="5" t="str">
        <f t="shared" si="1"/>
        <v>TK-17_BS VI HSD</v>
      </c>
      <c r="D18" s="7" t="s">
        <v>215</v>
      </c>
      <c r="E18" s="6"/>
      <c r="F18" s="8" t="s">
        <v>116</v>
      </c>
      <c r="G18" s="9" t="s">
        <v>51</v>
      </c>
      <c r="H18" s="10">
        <v>0.0</v>
      </c>
      <c r="I18" s="6"/>
      <c r="J18" s="6"/>
      <c r="K18" s="6"/>
      <c r="L18" s="6"/>
      <c r="M18" s="17" t="s">
        <v>216</v>
      </c>
      <c r="N18" s="6"/>
      <c r="O18" s="10" t="str">
        <f t="shared" si="2"/>
        <v>TK-17</v>
      </c>
      <c r="P18" s="10" t="s">
        <v>53</v>
      </c>
      <c r="Q18" s="17" t="s">
        <v>217</v>
      </c>
      <c r="R18" s="17">
        <v>0.0</v>
      </c>
      <c r="S18" s="10" t="str">
        <f t="shared" si="3"/>
        <v>TK-17</v>
      </c>
      <c r="T18" s="10" t="s">
        <v>53</v>
      </c>
      <c r="U18" s="17" t="s">
        <v>218</v>
      </c>
      <c r="V18" s="6"/>
      <c r="W18" s="10" t="str">
        <f t="shared" si="4"/>
        <v>TK-17</v>
      </c>
      <c r="X18" s="10" t="s">
        <v>53</v>
      </c>
      <c r="Y18" s="17" t="s">
        <v>219</v>
      </c>
      <c r="Z18" s="17">
        <v>0.0</v>
      </c>
      <c r="AA18" s="10" t="str">
        <f t="shared" si="5"/>
        <v>TK-17</v>
      </c>
      <c r="AB18" s="10" t="s">
        <v>53</v>
      </c>
      <c r="AC18" s="17" t="s">
        <v>220</v>
      </c>
      <c r="AD18" s="17">
        <v>0.0</v>
      </c>
      <c r="AE18" s="6" t="str">
        <f t="shared" si="6"/>
        <v>LSW-06</v>
      </c>
      <c r="AF18" s="10" t="s">
        <v>96</v>
      </c>
      <c r="AG18" s="17" t="s">
        <v>221</v>
      </c>
      <c r="AH18" s="17">
        <v>0.0</v>
      </c>
      <c r="AI18" s="6" t="str">
        <f t="shared" si="7"/>
        <v>LSW-06</v>
      </c>
      <c r="AJ18" s="10" t="s">
        <v>96</v>
      </c>
      <c r="AK18" s="17" t="s">
        <v>222</v>
      </c>
      <c r="AL18" s="17">
        <v>0.0</v>
      </c>
      <c r="AM18" s="6" t="str">
        <f t="shared" si="8"/>
        <v>LSW-06</v>
      </c>
      <c r="AN18" s="6" t="s">
        <v>96</v>
      </c>
      <c r="AO18" s="17" t="s">
        <v>223</v>
      </c>
      <c r="AP18" s="17">
        <v>0.0</v>
      </c>
      <c r="AQ18" s="6" t="str">
        <f t="shared" si="9"/>
        <v>RDR-06</v>
      </c>
      <c r="AR18" s="10" t="s">
        <v>100</v>
      </c>
      <c r="AS18" s="17" t="s">
        <v>224</v>
      </c>
      <c r="AT18" s="17">
        <v>0.0</v>
      </c>
      <c r="AU18" s="6" t="str">
        <f t="shared" si="10"/>
        <v>RDR-06</v>
      </c>
      <c r="AV18" s="10" t="s">
        <v>100</v>
      </c>
      <c r="AW18" s="17" t="s">
        <v>225</v>
      </c>
      <c r="AX18" s="17">
        <v>0.0</v>
      </c>
      <c r="AY18" s="6" t="str">
        <f t="shared" si="11"/>
        <v>RDR-06</v>
      </c>
      <c r="AZ18" s="6" t="s">
        <v>100</v>
      </c>
      <c r="BA18" s="17" t="s">
        <v>226</v>
      </c>
      <c r="BB18" s="17">
        <v>0.0</v>
      </c>
      <c r="BC18" s="6" t="str">
        <f t="shared" si="12"/>
        <v>ROSOV-16</v>
      </c>
      <c r="BD18" s="5" t="s">
        <v>104</v>
      </c>
      <c r="BE18" s="17" t="s">
        <v>227</v>
      </c>
      <c r="BF18" s="17">
        <v>0.0</v>
      </c>
      <c r="BG18" s="6" t="str">
        <f t="shared" si="13"/>
        <v>ROSOV-16</v>
      </c>
      <c r="BH18" s="6" t="s">
        <v>106</v>
      </c>
      <c r="BI18" s="6"/>
      <c r="BJ18" s="6"/>
      <c r="BK18" s="6"/>
      <c r="BL18" s="6"/>
      <c r="BM18" s="6"/>
      <c r="BN18" s="6"/>
      <c r="BO18" s="6"/>
      <c r="BP18" s="6"/>
      <c r="BQ18" s="20" t="s">
        <v>228</v>
      </c>
      <c r="BR18" s="17">
        <v>0.0</v>
      </c>
      <c r="BS18" s="6" t="str">
        <f>MID(BQ18,5,8)</f>
        <v>ROSOV-17</v>
      </c>
      <c r="BT18" s="6" t="s">
        <v>108</v>
      </c>
      <c r="BU18" s="20" t="s">
        <v>229</v>
      </c>
      <c r="BV18" s="17">
        <v>0.0</v>
      </c>
      <c r="BW18" s="6" t="str">
        <f>MID(BU18,5,8)</f>
        <v>ROSOV-17</v>
      </c>
      <c r="BX18" s="6" t="s">
        <v>110</v>
      </c>
      <c r="BY18" s="20" t="s">
        <v>230</v>
      </c>
      <c r="BZ18" s="17">
        <v>0.0</v>
      </c>
      <c r="CA18" s="6" t="str">
        <f>MID(BY18,5,8)</f>
        <v>ROSOV-18</v>
      </c>
      <c r="CB18" s="6" t="s">
        <v>132</v>
      </c>
      <c r="CC18" s="20" t="s">
        <v>231</v>
      </c>
      <c r="CD18" s="21">
        <v>0.0</v>
      </c>
      <c r="CE18" s="6" t="str">
        <f>MID(CC18,5,8)</f>
        <v>ROSOV-18</v>
      </c>
      <c r="CF18" s="6" t="s">
        <v>132</v>
      </c>
      <c r="CG18" s="20" t="s">
        <v>232</v>
      </c>
      <c r="CH18" s="21">
        <v>1.0</v>
      </c>
      <c r="CI18" s="6" t="str">
        <f>MID(CG18,5,8)</f>
        <v>DBBV-018</v>
      </c>
      <c r="CJ18" s="6" t="s">
        <v>112</v>
      </c>
      <c r="CK18" s="6"/>
      <c r="CL18" s="6"/>
      <c r="CM18" s="6"/>
      <c r="CN18" s="6"/>
      <c r="CO18" s="20" t="s">
        <v>233</v>
      </c>
      <c r="CP18" s="21">
        <v>1.0</v>
      </c>
      <c r="CQ18" s="6" t="str">
        <f>MID(CO18,5,8)</f>
        <v>DBBV-019</v>
      </c>
      <c r="CR18" s="6" t="s">
        <v>114</v>
      </c>
      <c r="CS18" s="20" t="s">
        <v>234</v>
      </c>
      <c r="CT18" s="21">
        <v>1.0</v>
      </c>
      <c r="CU18" s="6" t="str">
        <f>MID(CS18,5,8)</f>
        <v>DBBV-020</v>
      </c>
      <c r="CV18" s="6" t="s">
        <v>137</v>
      </c>
      <c r="CW18" s="6"/>
      <c r="CX18" s="6"/>
      <c r="CY18" s="6"/>
      <c r="CZ18" s="6"/>
      <c r="DA18" s="6"/>
      <c r="DB18" s="6"/>
      <c r="DC18" s="6"/>
      <c r="DD18" s="6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235</v>
      </c>
      <c r="H1" s="2" t="s">
        <v>7</v>
      </c>
      <c r="I1" s="2" t="s">
        <v>236</v>
      </c>
      <c r="J1" s="2" t="s">
        <v>14</v>
      </c>
      <c r="K1" s="2" t="s">
        <v>8</v>
      </c>
      <c r="L1" s="2" t="s">
        <v>12</v>
      </c>
      <c r="M1" s="2" t="s">
        <v>237</v>
      </c>
      <c r="N1" s="2" t="s">
        <v>7</v>
      </c>
      <c r="O1" s="2" t="s">
        <v>8</v>
      </c>
      <c r="P1" s="2" t="s">
        <v>12</v>
      </c>
      <c r="Q1" s="2" t="s">
        <v>238</v>
      </c>
      <c r="R1" s="2" t="s">
        <v>14</v>
      </c>
      <c r="S1" s="2" t="s">
        <v>8</v>
      </c>
      <c r="T1" s="2" t="s">
        <v>12</v>
      </c>
      <c r="U1" s="2" t="s">
        <v>239</v>
      </c>
      <c r="V1" s="2" t="s">
        <v>14</v>
      </c>
      <c r="W1" s="2" t="s">
        <v>240</v>
      </c>
      <c r="X1" s="2" t="s">
        <v>9</v>
      </c>
      <c r="Y1" s="2" t="s">
        <v>241</v>
      </c>
      <c r="Z1" s="2" t="s">
        <v>14</v>
      </c>
      <c r="AA1" s="2" t="s">
        <v>240</v>
      </c>
      <c r="AB1" s="2" t="s">
        <v>12</v>
      </c>
      <c r="AC1" s="2" t="s">
        <v>242</v>
      </c>
      <c r="AD1" s="2" t="s">
        <v>14</v>
      </c>
      <c r="AE1" s="2" t="s">
        <v>8</v>
      </c>
      <c r="AF1" s="2" t="s">
        <v>9</v>
      </c>
      <c r="AG1" s="2" t="s">
        <v>243</v>
      </c>
      <c r="AH1" s="2" t="s">
        <v>14</v>
      </c>
      <c r="AI1" s="2" t="s">
        <v>8</v>
      </c>
      <c r="AJ1" s="2" t="s">
        <v>12</v>
      </c>
      <c r="AK1" s="2" t="s">
        <v>244</v>
      </c>
      <c r="AL1" s="2" t="s">
        <v>14</v>
      </c>
      <c r="AM1" s="2" t="s">
        <v>8</v>
      </c>
      <c r="AN1" s="2" t="s">
        <v>12</v>
      </c>
      <c r="AO1" s="2" t="s">
        <v>245</v>
      </c>
      <c r="AP1" s="2" t="s">
        <v>14</v>
      </c>
      <c r="AQ1" s="2" t="s">
        <v>8</v>
      </c>
      <c r="AR1" s="2" t="s">
        <v>12</v>
      </c>
      <c r="AS1" s="2" t="s">
        <v>246</v>
      </c>
      <c r="AT1" s="2" t="s">
        <v>14</v>
      </c>
      <c r="AU1" s="2" t="s">
        <v>240</v>
      </c>
      <c r="AV1" s="2" t="s">
        <v>12</v>
      </c>
      <c r="AW1" s="22" t="s">
        <v>247</v>
      </c>
      <c r="AX1" s="22" t="s">
        <v>14</v>
      </c>
      <c r="AY1" s="6"/>
      <c r="AZ1" s="6"/>
      <c r="BA1" s="6"/>
      <c r="BB1" s="6"/>
      <c r="BC1" s="6"/>
      <c r="BD1" s="6"/>
      <c r="BE1" s="6"/>
    </row>
    <row r="2" ht="15.75" customHeight="1">
      <c r="A2" s="5">
        <v>1155.0</v>
      </c>
      <c r="B2" s="23" t="s">
        <v>248</v>
      </c>
      <c r="C2" s="5" t="str">
        <f t="shared" ref="C2:C18" si="1">CONCATENATE(D2,"_",F2)</f>
        <v>TK-01_BS VI MS</v>
      </c>
      <c r="D2" s="7" t="s">
        <v>49</v>
      </c>
      <c r="E2" s="6"/>
      <c r="F2" s="8" t="s">
        <v>50</v>
      </c>
      <c r="G2" s="11" t="s">
        <v>249</v>
      </c>
      <c r="H2" s="11">
        <v>0.0</v>
      </c>
      <c r="I2" s="12"/>
      <c r="J2" s="12"/>
      <c r="K2" s="6"/>
      <c r="L2" s="6"/>
      <c r="M2" s="12"/>
      <c r="N2" s="12"/>
      <c r="O2" s="6"/>
      <c r="P2" s="6"/>
      <c r="Q2" s="12"/>
      <c r="R2" s="12"/>
      <c r="S2" s="16"/>
      <c r="T2" s="16"/>
      <c r="U2" s="16"/>
      <c r="V2" s="16"/>
      <c r="W2" s="16"/>
      <c r="X2" s="16"/>
      <c r="Y2" s="12"/>
      <c r="Z2" s="15"/>
      <c r="AA2" s="16"/>
      <c r="AB2" s="16"/>
      <c r="AC2" s="12"/>
      <c r="AD2" s="15"/>
      <c r="AE2" s="16"/>
      <c r="AF2" s="16"/>
      <c r="AG2" s="12"/>
      <c r="AH2" s="15"/>
      <c r="AI2" s="16"/>
      <c r="AJ2" s="16"/>
      <c r="AK2" s="16"/>
      <c r="AL2" s="16"/>
      <c r="AM2" s="16"/>
      <c r="AN2" s="16"/>
      <c r="AO2" s="12"/>
      <c r="AP2" s="15"/>
      <c r="AQ2" s="16"/>
      <c r="AR2" s="16"/>
      <c r="AS2" s="12"/>
      <c r="AT2" s="12"/>
      <c r="AU2" s="16"/>
      <c r="AV2" s="16"/>
      <c r="AW2" s="6"/>
      <c r="AX2" s="6"/>
      <c r="AY2" s="6"/>
      <c r="AZ2" s="6"/>
      <c r="BA2" s="6"/>
      <c r="BB2" s="6"/>
      <c r="BC2" s="6"/>
      <c r="BD2" s="6"/>
      <c r="BE2" s="6"/>
    </row>
    <row r="3" ht="15.75" customHeight="1">
      <c r="A3" s="5">
        <v>1155.0</v>
      </c>
      <c r="B3" s="23" t="s">
        <v>248</v>
      </c>
      <c r="C3" s="5" t="str">
        <f t="shared" si="1"/>
        <v>TK-02_BS VI MS</v>
      </c>
      <c r="D3" s="7" t="s">
        <v>57</v>
      </c>
      <c r="E3" s="6"/>
      <c r="F3" s="8" t="s">
        <v>50</v>
      </c>
      <c r="G3" s="17" t="s">
        <v>250</v>
      </c>
      <c r="H3" s="17">
        <v>0.0</v>
      </c>
      <c r="I3" s="18"/>
      <c r="J3" s="18"/>
      <c r="K3" s="6"/>
      <c r="L3" s="6"/>
      <c r="M3" s="18"/>
      <c r="N3" s="18"/>
      <c r="O3" s="6"/>
      <c r="P3" s="6"/>
      <c r="Q3" s="18"/>
      <c r="R3" s="18"/>
      <c r="S3" s="16"/>
      <c r="T3" s="16"/>
      <c r="U3" s="16"/>
      <c r="V3" s="16"/>
      <c r="W3" s="16"/>
      <c r="X3" s="16"/>
      <c r="Y3" s="18"/>
      <c r="Z3" s="19"/>
      <c r="AA3" s="16"/>
      <c r="AB3" s="16"/>
      <c r="AC3" s="18"/>
      <c r="AD3" s="19"/>
      <c r="AE3" s="16"/>
      <c r="AF3" s="16"/>
      <c r="AG3" s="18"/>
      <c r="AH3" s="18"/>
      <c r="AI3" s="16"/>
      <c r="AJ3" s="16"/>
      <c r="AK3" s="16"/>
      <c r="AL3" s="16"/>
      <c r="AM3" s="16"/>
      <c r="AN3" s="16"/>
      <c r="AO3" s="18"/>
      <c r="AP3" s="19"/>
      <c r="AQ3" s="16"/>
      <c r="AR3" s="16"/>
      <c r="AS3" s="18"/>
      <c r="AT3" s="18"/>
      <c r="AU3" s="16"/>
      <c r="AV3" s="16"/>
      <c r="AW3" s="6"/>
      <c r="AX3" s="6"/>
      <c r="AY3" s="6"/>
      <c r="AZ3" s="6"/>
      <c r="BA3" s="6"/>
      <c r="BB3" s="6"/>
      <c r="BC3" s="6"/>
      <c r="BD3" s="6"/>
      <c r="BE3" s="6"/>
    </row>
    <row r="4" ht="15.75" customHeight="1">
      <c r="A4" s="5">
        <v>1155.0</v>
      </c>
      <c r="B4" s="23" t="s">
        <v>248</v>
      </c>
      <c r="C4" s="5" t="str">
        <f t="shared" si="1"/>
        <v>TK-03_ETHANOL</v>
      </c>
      <c r="D4" s="7" t="s">
        <v>62</v>
      </c>
      <c r="E4" s="6"/>
      <c r="F4" s="8" t="s">
        <v>63</v>
      </c>
      <c r="G4" s="17" t="s">
        <v>251</v>
      </c>
      <c r="H4" s="17">
        <v>0.0</v>
      </c>
      <c r="I4" s="18"/>
      <c r="J4" s="18"/>
      <c r="K4" s="6"/>
      <c r="L4" s="6"/>
      <c r="M4" s="18"/>
      <c r="N4" s="18"/>
      <c r="O4" s="6"/>
      <c r="P4" s="6"/>
      <c r="Q4" s="18"/>
      <c r="R4" s="18"/>
      <c r="S4" s="16"/>
      <c r="T4" s="16"/>
      <c r="U4" s="16"/>
      <c r="V4" s="16"/>
      <c r="W4" s="16"/>
      <c r="X4" s="16"/>
      <c r="Y4" s="18"/>
      <c r="Z4" s="19"/>
      <c r="AA4" s="16"/>
      <c r="AB4" s="16"/>
      <c r="AC4" s="18"/>
      <c r="AD4" s="19"/>
      <c r="AE4" s="16"/>
      <c r="AF4" s="16"/>
      <c r="AG4" s="18"/>
      <c r="AH4" s="18"/>
      <c r="AI4" s="16"/>
      <c r="AJ4" s="16"/>
      <c r="AK4" s="16"/>
      <c r="AL4" s="16"/>
      <c r="AM4" s="16"/>
      <c r="AN4" s="16"/>
      <c r="AO4" s="18"/>
      <c r="AP4" s="19"/>
      <c r="AQ4" s="16"/>
      <c r="AR4" s="16"/>
      <c r="AS4" s="18"/>
      <c r="AT4" s="18"/>
      <c r="AU4" s="16"/>
      <c r="AV4" s="16"/>
      <c r="AW4" s="6"/>
      <c r="AX4" s="6"/>
      <c r="AY4" s="6"/>
      <c r="AZ4" s="6"/>
      <c r="BA4" s="6"/>
      <c r="BB4" s="6"/>
      <c r="BC4" s="6"/>
      <c r="BD4" s="6"/>
      <c r="BE4" s="6"/>
    </row>
    <row r="5" ht="15.75" customHeight="1">
      <c r="A5" s="5">
        <v>1155.0</v>
      </c>
      <c r="B5" s="23" t="s">
        <v>248</v>
      </c>
      <c r="C5" s="5" t="str">
        <f t="shared" si="1"/>
        <v>TK-04_ETHANOL</v>
      </c>
      <c r="D5" s="7" t="s">
        <v>68</v>
      </c>
      <c r="E5" s="6"/>
      <c r="F5" s="8" t="s">
        <v>63</v>
      </c>
      <c r="G5" s="17" t="s">
        <v>252</v>
      </c>
      <c r="H5" s="17">
        <v>0.0</v>
      </c>
      <c r="I5" s="18"/>
      <c r="J5" s="18"/>
      <c r="K5" s="6"/>
      <c r="L5" s="6"/>
      <c r="M5" s="18"/>
      <c r="N5" s="18"/>
      <c r="O5" s="6"/>
      <c r="P5" s="6"/>
      <c r="Q5" s="18"/>
      <c r="R5" s="18"/>
      <c r="S5" s="16"/>
      <c r="T5" s="16"/>
      <c r="U5" s="16"/>
      <c r="V5" s="16"/>
      <c r="W5" s="16"/>
      <c r="X5" s="16"/>
      <c r="Y5" s="18"/>
      <c r="Z5" s="19"/>
      <c r="AA5" s="16"/>
      <c r="AB5" s="16"/>
      <c r="AC5" s="18"/>
      <c r="AD5" s="19"/>
      <c r="AE5" s="16"/>
      <c r="AF5" s="16"/>
      <c r="AG5" s="18"/>
      <c r="AH5" s="18"/>
      <c r="AI5" s="16"/>
      <c r="AJ5" s="16"/>
      <c r="AK5" s="16"/>
      <c r="AL5" s="16"/>
      <c r="AM5" s="16"/>
      <c r="AN5" s="16"/>
      <c r="AO5" s="18"/>
      <c r="AP5" s="18"/>
      <c r="AQ5" s="16"/>
      <c r="AR5" s="16"/>
      <c r="AS5" s="18"/>
      <c r="AT5" s="18"/>
      <c r="AU5" s="16"/>
      <c r="AV5" s="16"/>
      <c r="AW5" s="6"/>
      <c r="AX5" s="6"/>
      <c r="AY5" s="6"/>
      <c r="AZ5" s="6"/>
      <c r="BA5" s="6"/>
      <c r="BB5" s="6"/>
      <c r="BC5" s="6"/>
      <c r="BD5" s="6"/>
      <c r="BE5" s="6"/>
    </row>
    <row r="6" ht="15.75" customHeight="1">
      <c r="A6" s="5">
        <v>1155.0</v>
      </c>
      <c r="B6" s="23" t="s">
        <v>248</v>
      </c>
      <c r="C6" s="5" t="str">
        <f t="shared" si="1"/>
        <v>TK-05_BIO DIESEL</v>
      </c>
      <c r="D6" s="7" t="s">
        <v>73</v>
      </c>
      <c r="E6" s="6"/>
      <c r="F6" s="8" t="s">
        <v>74</v>
      </c>
      <c r="G6" s="17" t="s">
        <v>253</v>
      </c>
      <c r="H6" s="17">
        <v>0.0</v>
      </c>
      <c r="I6" s="18"/>
      <c r="J6" s="18"/>
      <c r="K6" s="6"/>
      <c r="L6" s="6"/>
      <c r="M6" s="18"/>
      <c r="N6" s="18"/>
      <c r="O6" s="6"/>
      <c r="P6" s="6"/>
      <c r="Q6" s="18"/>
      <c r="R6" s="18"/>
      <c r="S6" s="16"/>
      <c r="T6" s="16"/>
      <c r="U6" s="16"/>
      <c r="V6" s="16"/>
      <c r="W6" s="16"/>
      <c r="X6" s="16"/>
      <c r="Y6" s="18"/>
      <c r="Z6" s="19"/>
      <c r="AA6" s="16"/>
      <c r="AB6" s="16"/>
      <c r="AC6" s="18"/>
      <c r="AD6" s="19"/>
      <c r="AE6" s="16"/>
      <c r="AF6" s="16"/>
      <c r="AG6" s="18"/>
      <c r="AH6" s="18"/>
      <c r="AI6" s="16"/>
      <c r="AJ6" s="16"/>
      <c r="AK6" s="16"/>
      <c r="AL6" s="16"/>
      <c r="AM6" s="16"/>
      <c r="AN6" s="16"/>
      <c r="AO6" s="18"/>
      <c r="AP6" s="18"/>
      <c r="AQ6" s="16"/>
      <c r="AR6" s="16"/>
      <c r="AS6" s="18"/>
      <c r="AT6" s="18"/>
      <c r="AU6" s="16"/>
      <c r="AV6" s="16"/>
      <c r="AW6" s="6"/>
      <c r="AX6" s="6"/>
      <c r="AY6" s="6"/>
      <c r="AZ6" s="6"/>
      <c r="BA6" s="6"/>
      <c r="BB6" s="6"/>
      <c r="BC6" s="6"/>
      <c r="BD6" s="6"/>
      <c r="BE6" s="6"/>
    </row>
    <row r="7" ht="15.75" customHeight="1">
      <c r="A7" s="5">
        <v>1155.0</v>
      </c>
      <c r="B7" s="23" t="s">
        <v>248</v>
      </c>
      <c r="C7" s="5" t="str">
        <f t="shared" si="1"/>
        <v>TK-06_ETHANOL</v>
      </c>
      <c r="D7" s="7" t="s">
        <v>79</v>
      </c>
      <c r="E7" s="6"/>
      <c r="F7" s="8" t="s">
        <v>63</v>
      </c>
      <c r="G7" s="17" t="s">
        <v>254</v>
      </c>
      <c r="H7" s="17">
        <v>0.0</v>
      </c>
      <c r="I7" s="18"/>
      <c r="J7" s="18"/>
      <c r="K7" s="6"/>
      <c r="L7" s="6"/>
      <c r="M7" s="18"/>
      <c r="N7" s="18"/>
      <c r="O7" s="6"/>
      <c r="P7" s="6"/>
      <c r="Q7" s="18"/>
      <c r="R7" s="18"/>
      <c r="S7" s="16"/>
      <c r="T7" s="16"/>
      <c r="U7" s="16"/>
      <c r="V7" s="16"/>
      <c r="W7" s="16"/>
      <c r="X7" s="16"/>
      <c r="Y7" s="18"/>
      <c r="Z7" s="19"/>
      <c r="AA7" s="16"/>
      <c r="AB7" s="16"/>
      <c r="AC7" s="18"/>
      <c r="AD7" s="19"/>
      <c r="AE7" s="16"/>
      <c r="AF7" s="16"/>
      <c r="AG7" s="18"/>
      <c r="AH7" s="18"/>
      <c r="AI7" s="16"/>
      <c r="AJ7" s="16"/>
      <c r="AK7" s="16"/>
      <c r="AL7" s="16"/>
      <c r="AM7" s="16"/>
      <c r="AN7" s="16"/>
      <c r="AO7" s="18"/>
      <c r="AP7" s="18"/>
      <c r="AQ7" s="16"/>
      <c r="AR7" s="16"/>
      <c r="AS7" s="18"/>
      <c r="AT7" s="18"/>
      <c r="AU7" s="16"/>
      <c r="AV7" s="16"/>
      <c r="AW7" s="6"/>
      <c r="AX7" s="6"/>
      <c r="AY7" s="6"/>
      <c r="AZ7" s="6"/>
      <c r="BA7" s="6"/>
      <c r="BB7" s="6"/>
      <c r="BC7" s="6"/>
      <c r="BD7" s="6"/>
      <c r="BE7" s="6"/>
    </row>
    <row r="8" ht="15.75" customHeight="1">
      <c r="A8" s="5">
        <v>1155.0</v>
      </c>
      <c r="B8" s="23" t="s">
        <v>248</v>
      </c>
      <c r="C8" s="5" t="str">
        <f t="shared" si="1"/>
        <v>TK-07_SKO</v>
      </c>
      <c r="D8" s="7" t="s">
        <v>84</v>
      </c>
      <c r="E8" s="6"/>
      <c r="F8" s="8" t="s">
        <v>85</v>
      </c>
      <c r="G8" s="17" t="s">
        <v>255</v>
      </c>
      <c r="H8" s="17">
        <v>0.0</v>
      </c>
      <c r="I8" s="18"/>
      <c r="J8" s="18"/>
      <c r="K8" s="6"/>
      <c r="L8" s="6"/>
      <c r="M8" s="18"/>
      <c r="N8" s="18"/>
      <c r="O8" s="6"/>
      <c r="P8" s="6"/>
      <c r="Q8" s="18"/>
      <c r="R8" s="18"/>
      <c r="S8" s="16"/>
      <c r="T8" s="16"/>
      <c r="U8" s="16"/>
      <c r="V8" s="16"/>
      <c r="W8" s="16"/>
      <c r="X8" s="16"/>
      <c r="Y8" s="18"/>
      <c r="Z8" s="19"/>
      <c r="AA8" s="16"/>
      <c r="AB8" s="16"/>
      <c r="AC8" s="18"/>
      <c r="AD8" s="19"/>
      <c r="AE8" s="16"/>
      <c r="AF8" s="16"/>
      <c r="AG8" s="18"/>
      <c r="AH8" s="18"/>
      <c r="AI8" s="16"/>
      <c r="AJ8" s="16"/>
      <c r="AK8" s="16"/>
      <c r="AL8" s="16"/>
      <c r="AM8" s="16"/>
      <c r="AN8" s="16"/>
      <c r="AO8" s="18"/>
      <c r="AP8" s="18"/>
      <c r="AQ8" s="16"/>
      <c r="AR8" s="16"/>
      <c r="AS8" s="18"/>
      <c r="AT8" s="18"/>
      <c r="AU8" s="16"/>
      <c r="AV8" s="16"/>
      <c r="AW8" s="6"/>
      <c r="AX8" s="6"/>
      <c r="AY8" s="6"/>
      <c r="AZ8" s="6"/>
      <c r="BA8" s="6"/>
      <c r="BB8" s="6"/>
      <c r="BC8" s="6"/>
      <c r="BD8" s="6"/>
      <c r="BE8" s="6"/>
    </row>
    <row r="9" ht="15.75" customHeight="1">
      <c r="A9" s="5">
        <v>1155.0</v>
      </c>
      <c r="B9" s="23" t="s">
        <v>248</v>
      </c>
      <c r="C9" s="5" t="str">
        <f t="shared" si="1"/>
        <v>TK-08_ETHANOL</v>
      </c>
      <c r="D9" s="7" t="s">
        <v>90</v>
      </c>
      <c r="E9" s="6"/>
      <c r="F9" s="8" t="s">
        <v>63</v>
      </c>
      <c r="G9" s="17" t="s">
        <v>256</v>
      </c>
      <c r="H9" s="17">
        <v>0.0</v>
      </c>
      <c r="I9" s="17" t="s">
        <v>257</v>
      </c>
      <c r="J9" s="17">
        <v>0.0</v>
      </c>
      <c r="K9" s="6" t="str">
        <f t="shared" ref="K9:K18" si="2">MID(I9,13,6)</f>
        <v>LSW-01</v>
      </c>
      <c r="L9" s="6" t="s">
        <v>258</v>
      </c>
      <c r="M9" s="17" t="s">
        <v>259</v>
      </c>
      <c r="N9" s="17">
        <v>0.0</v>
      </c>
      <c r="O9" s="6" t="str">
        <f t="shared" ref="O9:O18" si="3">MID(M9,13,6)</f>
        <v>RDR-01</v>
      </c>
      <c r="P9" s="6" t="s">
        <v>100</v>
      </c>
      <c r="Q9" s="17" t="s">
        <v>260</v>
      </c>
      <c r="R9" s="17">
        <v>0.0</v>
      </c>
      <c r="S9" s="16" t="str">
        <f t="shared" ref="S9:S18" si="4">MID(Q9, 5,8)</f>
        <v>ROSOV-01</v>
      </c>
      <c r="T9" s="16" t="s">
        <v>104</v>
      </c>
      <c r="U9" s="16"/>
      <c r="V9" s="16"/>
      <c r="W9" s="16"/>
      <c r="X9" s="16"/>
      <c r="Y9" s="20" t="s">
        <v>261</v>
      </c>
      <c r="Z9" s="17">
        <v>0.0</v>
      </c>
      <c r="AA9" s="16" t="str">
        <f t="shared" ref="AA9:AA13" si="5">MID(Y9, 5,8)</f>
        <v>ROSOV-02</v>
      </c>
      <c r="AB9" s="16" t="s">
        <v>262</v>
      </c>
      <c r="AC9" s="18"/>
      <c r="AD9" s="19"/>
      <c r="AE9" s="16"/>
      <c r="AF9" s="16"/>
      <c r="AG9" s="20" t="s">
        <v>263</v>
      </c>
      <c r="AH9" s="17">
        <v>0.0</v>
      </c>
      <c r="AI9" s="16" t="str">
        <f t="shared" ref="AI9:AI13" si="6">MID(AG9, 5,8)</f>
        <v>DBBV-001</v>
      </c>
      <c r="AJ9" s="16" t="s">
        <v>112</v>
      </c>
      <c r="AK9" s="16"/>
      <c r="AL9" s="16"/>
      <c r="AM9" s="16"/>
      <c r="AN9" s="16"/>
      <c r="AO9" s="18"/>
      <c r="AP9" s="18"/>
      <c r="AQ9" s="16"/>
      <c r="AR9" s="16"/>
      <c r="AS9" s="20" t="s">
        <v>264</v>
      </c>
      <c r="AT9" s="17">
        <v>0.0</v>
      </c>
      <c r="AU9" s="16" t="str">
        <f t="shared" ref="AU9:AU13" si="7">MID(AS9, 5,8)</f>
        <v>DBBV-003</v>
      </c>
      <c r="AV9" s="16" t="s">
        <v>114</v>
      </c>
      <c r="AW9" s="6"/>
      <c r="AX9" s="6"/>
      <c r="AY9" s="6"/>
      <c r="AZ9" s="6"/>
      <c r="BA9" s="6"/>
      <c r="BB9" s="6"/>
      <c r="BC9" s="6"/>
      <c r="BD9" s="6"/>
      <c r="BE9" s="6"/>
    </row>
    <row r="10" ht="15.75" customHeight="1">
      <c r="A10" s="5">
        <v>1155.0</v>
      </c>
      <c r="B10" s="23" t="s">
        <v>248</v>
      </c>
      <c r="C10" s="5" t="str">
        <f t="shared" si="1"/>
        <v>TK-09_BS VI HSD</v>
      </c>
      <c r="D10" s="7" t="s">
        <v>115</v>
      </c>
      <c r="E10" s="6"/>
      <c r="F10" s="8" t="s">
        <v>116</v>
      </c>
      <c r="G10" s="17" t="s">
        <v>265</v>
      </c>
      <c r="H10" s="17">
        <v>0.0</v>
      </c>
      <c r="I10" s="17" t="s">
        <v>266</v>
      </c>
      <c r="J10" s="17">
        <v>0.0</v>
      </c>
      <c r="K10" s="6" t="str">
        <f t="shared" si="2"/>
        <v>LSW-02</v>
      </c>
      <c r="L10" s="6" t="s">
        <v>258</v>
      </c>
      <c r="M10" s="17" t="s">
        <v>267</v>
      </c>
      <c r="N10" s="17">
        <v>0.0</v>
      </c>
      <c r="O10" s="6" t="str">
        <f t="shared" si="3"/>
        <v>RDR-02</v>
      </c>
      <c r="P10" s="6" t="s">
        <v>100</v>
      </c>
      <c r="Q10" s="17" t="s">
        <v>268</v>
      </c>
      <c r="R10" s="17">
        <v>0.0</v>
      </c>
      <c r="S10" s="16" t="str">
        <f t="shared" si="4"/>
        <v>ROSOV-06</v>
      </c>
      <c r="T10" s="16" t="s">
        <v>104</v>
      </c>
      <c r="U10" s="16"/>
      <c r="V10" s="16"/>
      <c r="W10" s="16"/>
      <c r="X10" s="16"/>
      <c r="Y10" s="20" t="s">
        <v>269</v>
      </c>
      <c r="Z10" s="17">
        <v>0.0</v>
      </c>
      <c r="AA10" s="16" t="str">
        <f t="shared" si="5"/>
        <v>ROSOV-05</v>
      </c>
      <c r="AB10" s="16" t="s">
        <v>262</v>
      </c>
      <c r="AC10" s="20" t="s">
        <v>270</v>
      </c>
      <c r="AD10" s="21">
        <v>0.0</v>
      </c>
      <c r="AE10" s="16" t="str">
        <f t="shared" ref="AE10:AE13" si="8">MID(AC10, 5,8)</f>
        <v>ROSOV-04</v>
      </c>
      <c r="AF10" s="16" t="s">
        <v>132</v>
      </c>
      <c r="AG10" s="20" t="s">
        <v>271</v>
      </c>
      <c r="AH10" s="17">
        <v>0.0</v>
      </c>
      <c r="AI10" s="16" t="str">
        <f t="shared" si="6"/>
        <v>DBBV-006</v>
      </c>
      <c r="AJ10" s="16" t="s">
        <v>112</v>
      </c>
      <c r="AK10" s="16"/>
      <c r="AL10" s="16"/>
      <c r="AM10" s="16"/>
      <c r="AN10" s="16"/>
      <c r="AO10" s="20" t="s">
        <v>272</v>
      </c>
      <c r="AP10" s="17">
        <v>0.0</v>
      </c>
      <c r="AQ10" s="16" t="str">
        <f t="shared" ref="AQ10:AQ13" si="9">MID(AO10, 5,8)</f>
        <v>DBBV-004</v>
      </c>
      <c r="AR10" s="16" t="s">
        <v>137</v>
      </c>
      <c r="AS10" s="20" t="s">
        <v>273</v>
      </c>
      <c r="AT10" s="17">
        <v>0.0</v>
      </c>
      <c r="AU10" s="16" t="str">
        <f t="shared" si="7"/>
        <v>DBBV-005</v>
      </c>
      <c r="AV10" s="16" t="s">
        <v>114</v>
      </c>
      <c r="AW10" s="6"/>
      <c r="AX10" s="6"/>
      <c r="AY10" s="6"/>
      <c r="AZ10" s="6"/>
      <c r="BA10" s="6"/>
      <c r="BB10" s="6"/>
      <c r="BC10" s="6"/>
      <c r="BD10" s="6"/>
      <c r="BE10" s="6"/>
    </row>
    <row r="11" ht="15.75" customHeight="1">
      <c r="A11" s="5">
        <v>1155.0</v>
      </c>
      <c r="B11" s="23" t="s">
        <v>248</v>
      </c>
      <c r="C11" s="5" t="str">
        <f t="shared" si="1"/>
        <v>TK-10_BS VI HSD</v>
      </c>
      <c r="D11" s="7" t="s">
        <v>138</v>
      </c>
      <c r="E11" s="6"/>
      <c r="F11" s="8" t="s">
        <v>116</v>
      </c>
      <c r="G11" s="17" t="s">
        <v>274</v>
      </c>
      <c r="H11" s="17">
        <v>0.0</v>
      </c>
      <c r="I11" s="17" t="s">
        <v>275</v>
      </c>
      <c r="J11" s="17">
        <v>0.0</v>
      </c>
      <c r="K11" s="6" t="str">
        <f t="shared" si="2"/>
        <v>LSW-03</v>
      </c>
      <c r="L11" s="6" t="s">
        <v>258</v>
      </c>
      <c r="M11" s="17" t="s">
        <v>276</v>
      </c>
      <c r="N11" s="17">
        <v>0.0</v>
      </c>
      <c r="O11" s="6" t="str">
        <f t="shared" si="3"/>
        <v>RDR-03</v>
      </c>
      <c r="P11" s="6" t="s">
        <v>100</v>
      </c>
      <c r="Q11" s="17" t="s">
        <v>277</v>
      </c>
      <c r="R11" s="17">
        <v>0.0</v>
      </c>
      <c r="S11" s="16" t="str">
        <f t="shared" si="4"/>
        <v>ROSOV-09</v>
      </c>
      <c r="T11" s="16" t="s">
        <v>104</v>
      </c>
      <c r="U11" s="16"/>
      <c r="V11" s="16"/>
      <c r="W11" s="16"/>
      <c r="X11" s="16"/>
      <c r="Y11" s="20" t="s">
        <v>278</v>
      </c>
      <c r="Z11" s="17">
        <v>0.0</v>
      </c>
      <c r="AA11" s="16" t="str">
        <f t="shared" si="5"/>
        <v>ROSOV-08</v>
      </c>
      <c r="AB11" s="16" t="s">
        <v>262</v>
      </c>
      <c r="AC11" s="20" t="s">
        <v>279</v>
      </c>
      <c r="AD11" s="21">
        <v>0.0</v>
      </c>
      <c r="AE11" s="16" t="str">
        <f t="shared" si="8"/>
        <v>ROSOV-07</v>
      </c>
      <c r="AF11" s="16" t="s">
        <v>132</v>
      </c>
      <c r="AG11" s="20" t="s">
        <v>280</v>
      </c>
      <c r="AH11" s="17">
        <v>0.0</v>
      </c>
      <c r="AI11" s="16" t="str">
        <f t="shared" si="6"/>
        <v>DBBV-009</v>
      </c>
      <c r="AJ11" s="16" t="s">
        <v>112</v>
      </c>
      <c r="AK11" s="16"/>
      <c r="AL11" s="16"/>
      <c r="AM11" s="16"/>
      <c r="AN11" s="16"/>
      <c r="AO11" s="20" t="s">
        <v>281</v>
      </c>
      <c r="AP11" s="17">
        <v>0.0</v>
      </c>
      <c r="AQ11" s="16" t="str">
        <f t="shared" si="9"/>
        <v>DBBV-007</v>
      </c>
      <c r="AR11" s="16" t="s">
        <v>137</v>
      </c>
      <c r="AS11" s="20" t="s">
        <v>282</v>
      </c>
      <c r="AT11" s="17">
        <v>0.0</v>
      </c>
      <c r="AU11" s="16" t="str">
        <f t="shared" si="7"/>
        <v>DBBV-008</v>
      </c>
      <c r="AV11" s="16" t="s">
        <v>114</v>
      </c>
      <c r="AW11" s="6"/>
      <c r="AX11" s="6"/>
      <c r="AY11" s="6"/>
      <c r="AZ11" s="6"/>
      <c r="BA11" s="6"/>
      <c r="BB11" s="6"/>
      <c r="BC11" s="6"/>
      <c r="BD11" s="6"/>
      <c r="BE11" s="6"/>
    </row>
    <row r="12" ht="15.75" customHeight="1">
      <c r="A12" s="5">
        <v>1155.0</v>
      </c>
      <c r="B12" s="23" t="s">
        <v>248</v>
      </c>
      <c r="C12" s="5" t="str">
        <f t="shared" si="1"/>
        <v>TK-11_BS VI MS</v>
      </c>
      <c r="D12" s="7" t="s">
        <v>158</v>
      </c>
      <c r="E12" s="6"/>
      <c r="F12" s="8" t="s">
        <v>50</v>
      </c>
      <c r="G12" s="17" t="s">
        <v>283</v>
      </c>
      <c r="H12" s="17">
        <v>0.0</v>
      </c>
      <c r="I12" s="17" t="s">
        <v>284</v>
      </c>
      <c r="J12" s="17">
        <v>0.0</v>
      </c>
      <c r="K12" s="6" t="str">
        <f t="shared" si="2"/>
        <v>LSW-04</v>
      </c>
      <c r="L12" s="6" t="s">
        <v>258</v>
      </c>
      <c r="M12" s="17" t="s">
        <v>285</v>
      </c>
      <c r="N12" s="17">
        <v>0.0</v>
      </c>
      <c r="O12" s="6" t="str">
        <f t="shared" si="3"/>
        <v>RDR-04</v>
      </c>
      <c r="P12" s="6" t="s">
        <v>100</v>
      </c>
      <c r="Q12" s="17" t="s">
        <v>286</v>
      </c>
      <c r="R12" s="17">
        <v>0.0</v>
      </c>
      <c r="S12" s="16" t="str">
        <f t="shared" si="4"/>
        <v>ROSOV-12</v>
      </c>
      <c r="T12" s="16" t="s">
        <v>104</v>
      </c>
      <c r="U12" s="16"/>
      <c r="V12" s="16"/>
      <c r="W12" s="16"/>
      <c r="X12" s="16"/>
      <c r="Y12" s="20" t="s">
        <v>287</v>
      </c>
      <c r="Z12" s="17">
        <v>0.0</v>
      </c>
      <c r="AA12" s="16" t="str">
        <f t="shared" si="5"/>
        <v>ROSOV-11</v>
      </c>
      <c r="AB12" s="16" t="s">
        <v>262</v>
      </c>
      <c r="AC12" s="20" t="s">
        <v>288</v>
      </c>
      <c r="AD12" s="21">
        <v>0.0</v>
      </c>
      <c r="AE12" s="16" t="str">
        <f t="shared" si="8"/>
        <v>ROSOV-10</v>
      </c>
      <c r="AF12" s="16" t="s">
        <v>132</v>
      </c>
      <c r="AG12" s="20" t="s">
        <v>289</v>
      </c>
      <c r="AH12" s="17">
        <v>0.0</v>
      </c>
      <c r="AI12" s="16" t="str">
        <f t="shared" si="6"/>
        <v>DBBV-012</v>
      </c>
      <c r="AJ12" s="16" t="s">
        <v>112</v>
      </c>
      <c r="AK12" s="16"/>
      <c r="AL12" s="16"/>
      <c r="AM12" s="16"/>
      <c r="AN12" s="16"/>
      <c r="AO12" s="20" t="s">
        <v>290</v>
      </c>
      <c r="AP12" s="17">
        <v>0.0</v>
      </c>
      <c r="AQ12" s="16" t="str">
        <f t="shared" si="9"/>
        <v>DBBV-010</v>
      </c>
      <c r="AR12" s="16" t="s">
        <v>137</v>
      </c>
      <c r="AS12" s="20" t="s">
        <v>291</v>
      </c>
      <c r="AT12" s="17">
        <v>0.0</v>
      </c>
      <c r="AU12" s="16" t="str">
        <f t="shared" si="7"/>
        <v>DBBV-011</v>
      </c>
      <c r="AV12" s="16" t="s">
        <v>114</v>
      </c>
      <c r="AW12" s="6"/>
      <c r="AX12" s="6"/>
      <c r="AY12" s="6"/>
      <c r="AZ12" s="6"/>
      <c r="BA12" s="6"/>
      <c r="BB12" s="6"/>
      <c r="BC12" s="6"/>
      <c r="BD12" s="6"/>
      <c r="BE12" s="6"/>
    </row>
    <row r="13" ht="15.75" customHeight="1">
      <c r="A13" s="5">
        <v>1155.0</v>
      </c>
      <c r="B13" s="23" t="s">
        <v>248</v>
      </c>
      <c r="C13" s="5" t="str">
        <f t="shared" si="1"/>
        <v>TK-12_BS VI MS</v>
      </c>
      <c r="D13" s="7" t="s">
        <v>178</v>
      </c>
      <c r="E13" s="6"/>
      <c r="F13" s="8" t="s">
        <v>50</v>
      </c>
      <c r="G13" s="17" t="s">
        <v>292</v>
      </c>
      <c r="H13" s="17">
        <v>0.0</v>
      </c>
      <c r="I13" s="17" t="s">
        <v>293</v>
      </c>
      <c r="J13" s="17">
        <v>0.0</v>
      </c>
      <c r="K13" s="6" t="str">
        <f t="shared" si="2"/>
        <v>LSW-05</v>
      </c>
      <c r="L13" s="6" t="s">
        <v>258</v>
      </c>
      <c r="M13" s="17" t="s">
        <v>294</v>
      </c>
      <c r="N13" s="17">
        <v>0.0</v>
      </c>
      <c r="O13" s="6" t="str">
        <f t="shared" si="3"/>
        <v>RDR-05</v>
      </c>
      <c r="P13" s="6" t="s">
        <v>100</v>
      </c>
      <c r="Q13" s="17" t="s">
        <v>295</v>
      </c>
      <c r="R13" s="17">
        <v>0.0</v>
      </c>
      <c r="S13" s="16" t="str">
        <f t="shared" si="4"/>
        <v>ROSOV-15</v>
      </c>
      <c r="T13" s="16" t="s">
        <v>104</v>
      </c>
      <c r="U13" s="16"/>
      <c r="V13" s="16"/>
      <c r="W13" s="16"/>
      <c r="X13" s="16"/>
      <c r="Y13" s="20" t="s">
        <v>296</v>
      </c>
      <c r="Z13" s="17">
        <v>0.0</v>
      </c>
      <c r="AA13" s="16" t="str">
        <f t="shared" si="5"/>
        <v>ROSOV-14</v>
      </c>
      <c r="AB13" s="16" t="s">
        <v>262</v>
      </c>
      <c r="AC13" s="20" t="s">
        <v>297</v>
      </c>
      <c r="AD13" s="21">
        <v>0.0</v>
      </c>
      <c r="AE13" s="16" t="str">
        <f t="shared" si="8"/>
        <v>ROSOV-13</v>
      </c>
      <c r="AF13" s="16" t="s">
        <v>132</v>
      </c>
      <c r="AG13" s="20" t="s">
        <v>298</v>
      </c>
      <c r="AH13" s="17">
        <v>0.0</v>
      </c>
      <c r="AI13" s="16" t="str">
        <f t="shared" si="6"/>
        <v>DBBV-015</v>
      </c>
      <c r="AJ13" s="16" t="s">
        <v>112</v>
      </c>
      <c r="AK13" s="16"/>
      <c r="AL13" s="16"/>
      <c r="AM13" s="16"/>
      <c r="AN13" s="16"/>
      <c r="AO13" s="20" t="s">
        <v>299</v>
      </c>
      <c r="AP13" s="17">
        <v>0.0</v>
      </c>
      <c r="AQ13" s="16" t="str">
        <f t="shared" si="9"/>
        <v>DBBV-013</v>
      </c>
      <c r="AR13" s="16" t="s">
        <v>137</v>
      </c>
      <c r="AS13" s="20" t="s">
        <v>300</v>
      </c>
      <c r="AT13" s="17">
        <v>0.0</v>
      </c>
      <c r="AU13" s="16" t="str">
        <f t="shared" si="7"/>
        <v>DBBV-014</v>
      </c>
      <c r="AV13" s="16" t="s">
        <v>114</v>
      </c>
      <c r="AW13" s="6"/>
      <c r="AX13" s="6"/>
      <c r="AY13" s="6"/>
      <c r="AZ13" s="6"/>
      <c r="BA13" s="6"/>
      <c r="BB13" s="6"/>
      <c r="BC13" s="6"/>
      <c r="BD13" s="6"/>
      <c r="BE13" s="6"/>
    </row>
    <row r="14" ht="15.75" customHeight="1">
      <c r="A14" s="5">
        <v>1155.0</v>
      </c>
      <c r="B14" s="23" t="s">
        <v>248</v>
      </c>
      <c r="C14" s="5" t="str">
        <f t="shared" si="1"/>
        <v>TK-13_WATER</v>
      </c>
      <c r="D14" s="7" t="s">
        <v>198</v>
      </c>
      <c r="E14" s="6"/>
      <c r="F14" s="8" t="s">
        <v>199</v>
      </c>
      <c r="G14" s="17" t="s">
        <v>301</v>
      </c>
      <c r="H14" s="17">
        <v>0.0</v>
      </c>
      <c r="I14" s="18"/>
      <c r="J14" s="18"/>
      <c r="K14" s="6" t="str">
        <f t="shared" si="2"/>
        <v/>
      </c>
      <c r="L14" s="6"/>
      <c r="M14" s="18"/>
      <c r="N14" s="18"/>
      <c r="O14" s="6" t="str">
        <f t="shared" si="3"/>
        <v/>
      </c>
      <c r="P14" s="6"/>
      <c r="Q14" s="18"/>
      <c r="R14" s="18"/>
      <c r="S14" s="16" t="str">
        <f t="shared" si="4"/>
        <v/>
      </c>
      <c r="T14" s="16"/>
      <c r="U14" s="16"/>
      <c r="V14" s="16"/>
      <c r="W14" s="16"/>
      <c r="X14" s="16"/>
      <c r="Y14" s="18"/>
      <c r="Z14" s="18"/>
      <c r="AA14" s="16"/>
      <c r="AB14" s="16"/>
      <c r="AC14" s="18"/>
      <c r="AD14" s="19"/>
      <c r="AE14" s="16"/>
      <c r="AF14" s="16"/>
      <c r="AG14" s="18"/>
      <c r="AH14" s="18"/>
      <c r="AI14" s="16"/>
      <c r="AJ14" s="16"/>
      <c r="AK14" s="16"/>
      <c r="AL14" s="16"/>
      <c r="AM14" s="16"/>
      <c r="AN14" s="16"/>
      <c r="AO14" s="18"/>
      <c r="AP14" s="18"/>
      <c r="AQ14" s="16"/>
      <c r="AR14" s="16"/>
      <c r="AS14" s="18"/>
      <c r="AT14" s="18"/>
      <c r="AU14" s="16"/>
      <c r="AV14" s="16"/>
      <c r="AW14" s="6"/>
      <c r="AX14" s="6"/>
      <c r="AY14" s="6"/>
      <c r="AZ14" s="6"/>
      <c r="BA14" s="6"/>
      <c r="BB14" s="6"/>
      <c r="BC14" s="6"/>
      <c r="BD14" s="6"/>
      <c r="BE14" s="6"/>
    </row>
    <row r="15" ht="15.75" customHeight="1">
      <c r="A15" s="5">
        <v>1155.0</v>
      </c>
      <c r="B15" s="23" t="s">
        <v>248</v>
      </c>
      <c r="C15" s="5" t="str">
        <f t="shared" si="1"/>
        <v>TK-14_WATER</v>
      </c>
      <c r="D15" s="7" t="s">
        <v>202</v>
      </c>
      <c r="E15" s="6"/>
      <c r="F15" s="8" t="s">
        <v>199</v>
      </c>
      <c r="G15" s="17" t="s">
        <v>302</v>
      </c>
      <c r="H15" s="17">
        <v>0.0</v>
      </c>
      <c r="I15" s="18"/>
      <c r="J15" s="18"/>
      <c r="K15" s="6" t="str">
        <f t="shared" si="2"/>
        <v/>
      </c>
      <c r="L15" s="6"/>
      <c r="M15" s="18"/>
      <c r="N15" s="18"/>
      <c r="O15" s="6" t="str">
        <f t="shared" si="3"/>
        <v/>
      </c>
      <c r="P15" s="6"/>
      <c r="Q15" s="18"/>
      <c r="R15" s="18"/>
      <c r="S15" s="16" t="str">
        <f t="shared" si="4"/>
        <v/>
      </c>
      <c r="T15" s="16"/>
      <c r="U15" s="16"/>
      <c r="V15" s="16"/>
      <c r="W15" s="16"/>
      <c r="X15" s="16"/>
      <c r="Y15" s="18"/>
      <c r="Z15" s="18"/>
      <c r="AA15" s="16"/>
      <c r="AB15" s="16"/>
      <c r="AC15" s="18"/>
      <c r="AD15" s="19"/>
      <c r="AE15" s="16"/>
      <c r="AF15" s="16"/>
      <c r="AG15" s="18"/>
      <c r="AH15" s="18"/>
      <c r="AI15" s="16"/>
      <c r="AJ15" s="16"/>
      <c r="AK15" s="16"/>
      <c r="AL15" s="16"/>
      <c r="AM15" s="16"/>
      <c r="AN15" s="16"/>
      <c r="AO15" s="18"/>
      <c r="AP15" s="18"/>
      <c r="AQ15" s="16"/>
      <c r="AR15" s="16"/>
      <c r="AS15" s="18"/>
      <c r="AT15" s="18"/>
      <c r="AU15" s="16"/>
      <c r="AV15" s="16"/>
      <c r="AW15" s="6"/>
      <c r="AX15" s="6"/>
      <c r="AY15" s="6"/>
      <c r="AZ15" s="6"/>
      <c r="BA15" s="6"/>
      <c r="BB15" s="6"/>
      <c r="BC15" s="6"/>
      <c r="BD15" s="6"/>
      <c r="BE15" s="6"/>
    </row>
    <row r="16" ht="15.75" customHeight="1">
      <c r="A16" s="5">
        <v>1155.0</v>
      </c>
      <c r="B16" s="23" t="s">
        <v>248</v>
      </c>
      <c r="C16" s="5" t="str">
        <f t="shared" si="1"/>
        <v>TK-15_BS VI MS</v>
      </c>
      <c r="D16" s="7" t="s">
        <v>205</v>
      </c>
      <c r="E16" s="6"/>
      <c r="F16" s="8" t="s">
        <v>50</v>
      </c>
      <c r="G16" s="17" t="s">
        <v>303</v>
      </c>
      <c r="H16" s="17">
        <v>0.0</v>
      </c>
      <c r="I16" s="18"/>
      <c r="J16" s="18"/>
      <c r="K16" s="6" t="str">
        <f t="shared" si="2"/>
        <v/>
      </c>
      <c r="L16" s="6"/>
      <c r="M16" s="18"/>
      <c r="N16" s="18"/>
      <c r="O16" s="6" t="str">
        <f t="shared" si="3"/>
        <v/>
      </c>
      <c r="P16" s="6"/>
      <c r="Q16" s="18"/>
      <c r="R16" s="18"/>
      <c r="S16" s="16" t="str">
        <f t="shared" si="4"/>
        <v/>
      </c>
      <c r="T16" s="16"/>
      <c r="U16" s="16"/>
      <c r="V16" s="16"/>
      <c r="W16" s="16"/>
      <c r="X16" s="16"/>
      <c r="Y16" s="18"/>
      <c r="Z16" s="18"/>
      <c r="AA16" s="16"/>
      <c r="AB16" s="16"/>
      <c r="AC16" s="18"/>
      <c r="AD16" s="19"/>
      <c r="AE16" s="16"/>
      <c r="AF16" s="16"/>
      <c r="AG16" s="18"/>
      <c r="AH16" s="18"/>
      <c r="AI16" s="16"/>
      <c r="AJ16" s="16"/>
      <c r="AK16" s="16"/>
      <c r="AL16" s="16"/>
      <c r="AM16" s="16"/>
      <c r="AN16" s="16"/>
      <c r="AO16" s="18"/>
      <c r="AP16" s="18"/>
      <c r="AQ16" s="16"/>
      <c r="AR16" s="16"/>
      <c r="AS16" s="18"/>
      <c r="AT16" s="18"/>
      <c r="AU16" s="16"/>
      <c r="AV16" s="16"/>
      <c r="AW16" s="6"/>
      <c r="AX16" s="6"/>
      <c r="AY16" s="6"/>
      <c r="AZ16" s="6"/>
      <c r="BA16" s="6"/>
      <c r="BB16" s="6"/>
      <c r="BC16" s="6"/>
      <c r="BD16" s="6"/>
      <c r="BE16" s="6"/>
    </row>
    <row r="17" ht="15.75" customHeight="1">
      <c r="A17" s="5">
        <v>1155.0</v>
      </c>
      <c r="B17" s="23" t="s">
        <v>248</v>
      </c>
      <c r="C17" s="5" t="str">
        <f t="shared" si="1"/>
        <v>TK-16_BS VI MS</v>
      </c>
      <c r="D17" s="7" t="s">
        <v>210</v>
      </c>
      <c r="E17" s="6"/>
      <c r="F17" s="8" t="s">
        <v>50</v>
      </c>
      <c r="G17" s="17" t="s">
        <v>304</v>
      </c>
      <c r="H17" s="17">
        <v>0.0</v>
      </c>
      <c r="I17" s="18"/>
      <c r="J17" s="18"/>
      <c r="K17" s="6" t="str">
        <f t="shared" si="2"/>
        <v/>
      </c>
      <c r="L17" s="6"/>
      <c r="M17" s="18"/>
      <c r="N17" s="18"/>
      <c r="O17" s="6" t="str">
        <f t="shared" si="3"/>
        <v/>
      </c>
      <c r="P17" s="6"/>
      <c r="Q17" s="18"/>
      <c r="R17" s="18"/>
      <c r="S17" s="16" t="str">
        <f t="shared" si="4"/>
        <v/>
      </c>
      <c r="T17" s="16"/>
      <c r="U17" s="16"/>
      <c r="V17" s="16"/>
      <c r="W17" s="16"/>
      <c r="X17" s="16"/>
      <c r="Y17" s="18"/>
      <c r="Z17" s="18"/>
      <c r="AA17" s="16"/>
      <c r="AB17" s="16"/>
      <c r="AC17" s="18"/>
      <c r="AD17" s="21">
        <v>0.0</v>
      </c>
      <c r="AE17" s="16"/>
      <c r="AF17" s="16"/>
      <c r="AG17" s="18"/>
      <c r="AH17" s="18"/>
      <c r="AI17" s="16"/>
      <c r="AJ17" s="16"/>
      <c r="AK17" s="16"/>
      <c r="AL17" s="16"/>
      <c r="AM17" s="16"/>
      <c r="AN17" s="16"/>
      <c r="AO17" s="18"/>
      <c r="AP17" s="18"/>
      <c r="AQ17" s="16"/>
      <c r="AR17" s="16"/>
      <c r="AS17" s="18"/>
      <c r="AT17" s="18"/>
      <c r="AU17" s="16"/>
      <c r="AV17" s="16"/>
      <c r="AW17" s="6"/>
      <c r="AX17" s="6"/>
      <c r="AY17" s="6"/>
      <c r="AZ17" s="6"/>
      <c r="BA17" s="6"/>
      <c r="BB17" s="6"/>
      <c r="BC17" s="6"/>
      <c r="BD17" s="6"/>
      <c r="BE17" s="6"/>
    </row>
    <row r="18" ht="15.75" customHeight="1">
      <c r="A18" s="5">
        <v>1155.0</v>
      </c>
      <c r="B18" s="23" t="s">
        <v>248</v>
      </c>
      <c r="C18" s="5" t="str">
        <f t="shared" si="1"/>
        <v>TK-17_BS VI HSD</v>
      </c>
      <c r="D18" s="7" t="s">
        <v>215</v>
      </c>
      <c r="E18" s="6"/>
      <c r="F18" s="8" t="s">
        <v>116</v>
      </c>
      <c r="G18" s="17" t="s">
        <v>305</v>
      </c>
      <c r="H18" s="17">
        <v>0.0</v>
      </c>
      <c r="I18" s="17" t="s">
        <v>306</v>
      </c>
      <c r="J18" s="17">
        <v>0.0</v>
      </c>
      <c r="K18" s="6" t="str">
        <f t="shared" si="2"/>
        <v>LSW-06</v>
      </c>
      <c r="L18" s="6" t="s">
        <v>258</v>
      </c>
      <c r="M18" s="17" t="s">
        <v>307</v>
      </c>
      <c r="N18" s="17">
        <v>0.0</v>
      </c>
      <c r="O18" s="6" t="str">
        <f t="shared" si="3"/>
        <v>RDR-06</v>
      </c>
      <c r="P18" s="6" t="s">
        <v>100</v>
      </c>
      <c r="Q18" s="17" t="s">
        <v>308</v>
      </c>
      <c r="R18" s="17">
        <v>0.0</v>
      </c>
      <c r="S18" s="16" t="str">
        <f t="shared" si="4"/>
        <v>ROSOV-16</v>
      </c>
      <c r="T18" s="16" t="s">
        <v>104</v>
      </c>
      <c r="U18" s="16"/>
      <c r="V18" s="16"/>
      <c r="W18" s="16"/>
      <c r="X18" s="16"/>
      <c r="Y18" s="20" t="s">
        <v>309</v>
      </c>
      <c r="Z18" s="17">
        <v>0.0</v>
      </c>
      <c r="AA18" s="16" t="str">
        <f>MID(Y18, 5,8)</f>
        <v>ROSOV-17</v>
      </c>
      <c r="AB18" s="16" t="s">
        <v>262</v>
      </c>
      <c r="AC18" s="20" t="s">
        <v>310</v>
      </c>
      <c r="AD18" s="6"/>
      <c r="AE18" s="16" t="str">
        <f>MID(AC18, 5,8)</f>
        <v>ROSOV-18</v>
      </c>
      <c r="AF18" s="16" t="s">
        <v>132</v>
      </c>
      <c r="AG18" s="20" t="s">
        <v>311</v>
      </c>
      <c r="AH18" s="17">
        <v>0.0</v>
      </c>
      <c r="AI18" s="16" t="str">
        <f>MID(AG18, 5,8)</f>
        <v>DBBV-018</v>
      </c>
      <c r="AJ18" s="16" t="s">
        <v>112</v>
      </c>
      <c r="AK18" s="16"/>
      <c r="AL18" s="16"/>
      <c r="AM18" s="16"/>
      <c r="AN18" s="16"/>
      <c r="AO18" s="20" t="s">
        <v>312</v>
      </c>
      <c r="AP18" s="17">
        <v>0.0</v>
      </c>
      <c r="AQ18" s="16" t="str">
        <f>MID(AO18, 5,8)</f>
        <v>DBBV-020</v>
      </c>
      <c r="AR18" s="16" t="s">
        <v>137</v>
      </c>
      <c r="AS18" s="20" t="s">
        <v>313</v>
      </c>
      <c r="AT18" s="17">
        <v>0.0</v>
      </c>
      <c r="AU18" s="16" t="str">
        <f>MID(AS18, 5,8)</f>
        <v>DBBV-019</v>
      </c>
      <c r="AV18" s="16" t="s">
        <v>114</v>
      </c>
      <c r="AW18" s="6"/>
      <c r="AX18" s="6"/>
      <c r="AY18" s="6"/>
      <c r="AZ18" s="6"/>
      <c r="BA18" s="6"/>
      <c r="BB18" s="6"/>
      <c r="BC18" s="6"/>
      <c r="BD18" s="6"/>
      <c r="BE18" s="6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4" t="s">
        <v>0</v>
      </c>
      <c r="B1" s="24" t="s">
        <v>1</v>
      </c>
      <c r="C1" s="24" t="s">
        <v>2</v>
      </c>
      <c r="D1" s="24" t="s">
        <v>314</v>
      </c>
      <c r="E1" s="24" t="s">
        <v>315</v>
      </c>
      <c r="F1" s="24" t="s">
        <v>316</v>
      </c>
      <c r="G1" s="1" t="s">
        <v>317</v>
      </c>
      <c r="H1" s="25" t="s">
        <v>318</v>
      </c>
      <c r="I1" s="26" t="s">
        <v>319</v>
      </c>
      <c r="J1" s="25" t="s">
        <v>320</v>
      </c>
      <c r="K1" s="26" t="s">
        <v>321</v>
      </c>
      <c r="L1" s="25" t="s">
        <v>322</v>
      </c>
      <c r="M1" s="26" t="s">
        <v>323</v>
      </c>
      <c r="N1" s="27" t="s">
        <v>324</v>
      </c>
      <c r="O1" s="28" t="s">
        <v>14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5.75" customHeight="1">
      <c r="A2" s="5">
        <v>1155.0</v>
      </c>
      <c r="B2" s="29" t="s">
        <v>48</v>
      </c>
      <c r="C2" s="5" t="str">
        <f t="shared" ref="C2:C41" si="1">CONCATENATE(D2,"_",E2)</f>
        <v>ADTV-PMP-01_POWERMS</v>
      </c>
      <c r="D2" s="7" t="s">
        <v>325</v>
      </c>
      <c r="E2" s="7" t="s">
        <v>326</v>
      </c>
      <c r="F2" s="7" t="s">
        <v>327</v>
      </c>
      <c r="G2" s="13"/>
      <c r="H2" s="11" t="s">
        <v>328</v>
      </c>
      <c r="I2" s="11">
        <v>1.0</v>
      </c>
      <c r="J2" s="11" t="s">
        <v>329</v>
      </c>
      <c r="K2" s="11">
        <v>0.0</v>
      </c>
      <c r="L2" s="11" t="s">
        <v>330</v>
      </c>
      <c r="M2" s="11">
        <v>0.0</v>
      </c>
      <c r="N2" s="11" t="s">
        <v>331</v>
      </c>
      <c r="O2" s="11">
        <v>0.0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5.75" customHeight="1">
      <c r="A3" s="5">
        <v>1155.0</v>
      </c>
      <c r="B3" s="29" t="s">
        <v>48</v>
      </c>
      <c r="C3" s="5" t="str">
        <f t="shared" si="1"/>
        <v>ADTV-PMP-02_POWERMS</v>
      </c>
      <c r="D3" s="7" t="s">
        <v>332</v>
      </c>
      <c r="E3" s="7" t="s">
        <v>326</v>
      </c>
      <c r="F3" s="7" t="s">
        <v>327</v>
      </c>
      <c r="G3" s="6"/>
      <c r="H3" s="17" t="s">
        <v>333</v>
      </c>
      <c r="I3" s="17">
        <v>1.0</v>
      </c>
      <c r="J3" s="17" t="s">
        <v>334</v>
      </c>
      <c r="K3" s="17">
        <v>0.0</v>
      </c>
      <c r="L3" s="17" t="s">
        <v>335</v>
      </c>
      <c r="M3" s="17">
        <v>0.0</v>
      </c>
      <c r="N3" s="17" t="s">
        <v>336</v>
      </c>
      <c r="O3" s="17">
        <v>0.0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5.75" customHeight="1">
      <c r="A4" s="5">
        <v>1155.0</v>
      </c>
      <c r="B4" s="29" t="s">
        <v>48</v>
      </c>
      <c r="C4" s="5" t="str">
        <f t="shared" si="1"/>
        <v>ADTV-PMP-03_TURBOHSD</v>
      </c>
      <c r="D4" s="7" t="s">
        <v>337</v>
      </c>
      <c r="E4" s="7" t="s">
        <v>338</v>
      </c>
      <c r="F4" s="7" t="s">
        <v>327</v>
      </c>
      <c r="G4" s="6"/>
      <c r="H4" s="17" t="s">
        <v>339</v>
      </c>
      <c r="I4" s="17">
        <v>1.0</v>
      </c>
      <c r="J4" s="17" t="s">
        <v>340</v>
      </c>
      <c r="K4" s="17">
        <v>0.0</v>
      </c>
      <c r="L4" s="17" t="s">
        <v>341</v>
      </c>
      <c r="M4" s="17">
        <v>0.0</v>
      </c>
      <c r="N4" s="17" t="s">
        <v>342</v>
      </c>
      <c r="O4" s="17">
        <v>0.0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5.75" customHeight="1">
      <c r="A5" s="5">
        <v>1155.0</v>
      </c>
      <c r="B5" s="29" t="s">
        <v>48</v>
      </c>
      <c r="C5" s="5" t="str">
        <f t="shared" si="1"/>
        <v>ADTV-PMP-04_TURBOHSD</v>
      </c>
      <c r="D5" s="7" t="s">
        <v>343</v>
      </c>
      <c r="E5" s="7" t="s">
        <v>338</v>
      </c>
      <c r="F5" s="7" t="s">
        <v>327</v>
      </c>
      <c r="G5" s="6"/>
      <c r="H5" s="17" t="s">
        <v>344</v>
      </c>
      <c r="I5" s="17">
        <v>1.0</v>
      </c>
      <c r="J5" s="17" t="s">
        <v>345</v>
      </c>
      <c r="K5" s="17">
        <v>0.0</v>
      </c>
      <c r="L5" s="17" t="s">
        <v>346</v>
      </c>
      <c r="M5" s="17">
        <v>0.0</v>
      </c>
      <c r="N5" s="17" t="s">
        <v>347</v>
      </c>
      <c r="O5" s="17">
        <v>0.0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5.75" customHeight="1">
      <c r="A6" s="5">
        <v>1155.0</v>
      </c>
      <c r="B6" s="29" t="s">
        <v>48</v>
      </c>
      <c r="C6" s="5" t="str">
        <f t="shared" si="1"/>
        <v>ADTV-PMP-05_BLUE DYE</v>
      </c>
      <c r="D6" s="7" t="s">
        <v>348</v>
      </c>
      <c r="E6" s="7" t="s">
        <v>349</v>
      </c>
      <c r="F6" s="7" t="s">
        <v>327</v>
      </c>
      <c r="G6" s="6"/>
      <c r="H6" s="17" t="s">
        <v>350</v>
      </c>
      <c r="I6" s="17">
        <v>1.0</v>
      </c>
      <c r="J6" s="17" t="s">
        <v>351</v>
      </c>
      <c r="K6" s="17">
        <v>0.0</v>
      </c>
      <c r="L6" s="17" t="s">
        <v>352</v>
      </c>
      <c r="M6" s="17">
        <v>0.0</v>
      </c>
      <c r="N6" s="17" t="s">
        <v>353</v>
      </c>
      <c r="O6" s="17">
        <v>0.0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15.75" customHeight="1">
      <c r="A7" s="5">
        <v>1155.0</v>
      </c>
      <c r="B7" s="29" t="s">
        <v>48</v>
      </c>
      <c r="C7" s="5" t="str">
        <f t="shared" si="1"/>
        <v>ADTV-PMP-06_BLUE DYE</v>
      </c>
      <c r="D7" s="7" t="s">
        <v>354</v>
      </c>
      <c r="E7" s="7" t="s">
        <v>349</v>
      </c>
      <c r="F7" s="7" t="s">
        <v>327</v>
      </c>
      <c r="G7" s="6"/>
      <c r="H7" s="17" t="s">
        <v>355</v>
      </c>
      <c r="I7" s="17">
        <v>1.0</v>
      </c>
      <c r="J7" s="17" t="s">
        <v>356</v>
      </c>
      <c r="K7" s="17">
        <v>0.0</v>
      </c>
      <c r="L7" s="17" t="s">
        <v>357</v>
      </c>
      <c r="M7" s="17">
        <v>0.0</v>
      </c>
      <c r="N7" s="17" t="s">
        <v>358</v>
      </c>
      <c r="O7" s="17">
        <v>0.0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15.75" customHeight="1">
      <c r="A8" s="5">
        <v>1155.0</v>
      </c>
      <c r="B8" s="29" t="s">
        <v>48</v>
      </c>
      <c r="C8" s="5" t="str">
        <f t="shared" si="1"/>
        <v>PMP-01_BS VI HSD</v>
      </c>
      <c r="D8" s="7" t="s">
        <v>359</v>
      </c>
      <c r="E8" s="7" t="s">
        <v>116</v>
      </c>
      <c r="F8" s="7" t="s">
        <v>327</v>
      </c>
      <c r="G8" s="6"/>
      <c r="H8" s="17" t="s">
        <v>360</v>
      </c>
      <c r="I8" s="17">
        <v>1.0</v>
      </c>
      <c r="J8" s="17" t="s">
        <v>361</v>
      </c>
      <c r="K8" s="17">
        <v>0.0</v>
      </c>
      <c r="L8" s="17" t="s">
        <v>362</v>
      </c>
      <c r="M8" s="17">
        <v>0.0</v>
      </c>
      <c r="N8" s="17" t="s">
        <v>363</v>
      </c>
      <c r="O8" s="17">
        <v>0.0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5.75" customHeight="1">
      <c r="A9" s="5">
        <v>1155.0</v>
      </c>
      <c r="B9" s="29" t="s">
        <v>48</v>
      </c>
      <c r="C9" s="5" t="str">
        <f t="shared" si="1"/>
        <v>PMP-02_BS VI HSD</v>
      </c>
      <c r="D9" s="7" t="s">
        <v>364</v>
      </c>
      <c r="E9" s="7" t="s">
        <v>116</v>
      </c>
      <c r="F9" s="7" t="s">
        <v>327</v>
      </c>
      <c r="G9" s="6"/>
      <c r="H9" s="17" t="s">
        <v>365</v>
      </c>
      <c r="I9" s="17">
        <v>1.0</v>
      </c>
      <c r="J9" s="17" t="s">
        <v>366</v>
      </c>
      <c r="K9" s="17">
        <v>0.0</v>
      </c>
      <c r="L9" s="17" t="s">
        <v>367</v>
      </c>
      <c r="M9" s="17">
        <v>0.0</v>
      </c>
      <c r="N9" s="17" t="s">
        <v>368</v>
      </c>
      <c r="O9" s="17">
        <v>0.0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5.75" customHeight="1">
      <c r="A10" s="5">
        <v>1155.0</v>
      </c>
      <c r="B10" s="29" t="s">
        <v>48</v>
      </c>
      <c r="C10" s="5" t="str">
        <f t="shared" si="1"/>
        <v>PMP-03_BS VI HSD</v>
      </c>
      <c r="D10" s="7" t="s">
        <v>369</v>
      </c>
      <c r="E10" s="7" t="s">
        <v>116</v>
      </c>
      <c r="F10" s="7" t="s">
        <v>327</v>
      </c>
      <c r="G10" s="6"/>
      <c r="H10" s="17" t="s">
        <v>370</v>
      </c>
      <c r="I10" s="17">
        <v>1.0</v>
      </c>
      <c r="J10" s="17" t="s">
        <v>371</v>
      </c>
      <c r="K10" s="17">
        <v>0.0</v>
      </c>
      <c r="L10" s="17" t="s">
        <v>372</v>
      </c>
      <c r="M10" s="17">
        <v>0.0</v>
      </c>
      <c r="N10" s="17" t="s">
        <v>373</v>
      </c>
      <c r="O10" s="17">
        <v>0.0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5.75" customHeight="1">
      <c r="A11" s="5">
        <v>1155.0</v>
      </c>
      <c r="B11" s="29" t="s">
        <v>48</v>
      </c>
      <c r="C11" s="5" t="str">
        <f t="shared" si="1"/>
        <v>PMP-04_BS VI MS</v>
      </c>
      <c r="D11" s="7" t="s">
        <v>374</v>
      </c>
      <c r="E11" s="7" t="s">
        <v>50</v>
      </c>
      <c r="F11" s="7" t="s">
        <v>327</v>
      </c>
      <c r="G11" s="6"/>
      <c r="H11" s="17" t="s">
        <v>375</v>
      </c>
      <c r="I11" s="17">
        <v>1.0</v>
      </c>
      <c r="J11" s="17" t="s">
        <v>376</v>
      </c>
      <c r="K11" s="17">
        <v>0.0</v>
      </c>
      <c r="L11" s="17" t="s">
        <v>377</v>
      </c>
      <c r="M11" s="17">
        <v>0.0</v>
      </c>
      <c r="N11" s="17" t="s">
        <v>378</v>
      </c>
      <c r="O11" s="17">
        <v>0.0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5.75" customHeight="1">
      <c r="A12" s="5">
        <v>1155.0</v>
      </c>
      <c r="B12" s="29" t="s">
        <v>48</v>
      </c>
      <c r="C12" s="5" t="str">
        <f t="shared" si="1"/>
        <v>PMP-05_BS VI MS</v>
      </c>
      <c r="D12" s="7" t="s">
        <v>379</v>
      </c>
      <c r="E12" s="7" t="s">
        <v>50</v>
      </c>
      <c r="F12" s="7" t="s">
        <v>327</v>
      </c>
      <c r="G12" s="6"/>
      <c r="H12" s="17" t="s">
        <v>380</v>
      </c>
      <c r="I12" s="17">
        <v>1.0</v>
      </c>
      <c r="J12" s="17" t="s">
        <v>381</v>
      </c>
      <c r="K12" s="17">
        <v>0.0</v>
      </c>
      <c r="L12" s="17" t="s">
        <v>382</v>
      </c>
      <c r="M12" s="17">
        <v>0.0</v>
      </c>
      <c r="N12" s="17" t="s">
        <v>383</v>
      </c>
      <c r="O12" s="17">
        <v>0.0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5.75" customHeight="1">
      <c r="A13" s="5">
        <v>1155.0</v>
      </c>
      <c r="B13" s="29" t="s">
        <v>48</v>
      </c>
      <c r="C13" s="5" t="str">
        <f t="shared" si="1"/>
        <v>PMP-06_BS VI MS</v>
      </c>
      <c r="D13" s="7" t="s">
        <v>384</v>
      </c>
      <c r="E13" s="7" t="s">
        <v>50</v>
      </c>
      <c r="F13" s="7" t="s">
        <v>327</v>
      </c>
      <c r="G13" s="6"/>
      <c r="H13" s="17" t="s">
        <v>385</v>
      </c>
      <c r="I13" s="17">
        <v>1.0</v>
      </c>
      <c r="J13" s="17" t="s">
        <v>386</v>
      </c>
      <c r="K13" s="17">
        <v>0.0</v>
      </c>
      <c r="L13" s="17" t="s">
        <v>387</v>
      </c>
      <c r="M13" s="17">
        <v>0.0</v>
      </c>
      <c r="N13" s="17" t="s">
        <v>388</v>
      </c>
      <c r="O13" s="17">
        <v>0.0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5.75" customHeight="1">
      <c r="A14" s="5">
        <v>1155.0</v>
      </c>
      <c r="B14" s="29" t="s">
        <v>48</v>
      </c>
      <c r="C14" s="5" t="str">
        <f t="shared" si="1"/>
        <v>PMP-07_BS VI HSD</v>
      </c>
      <c r="D14" s="7" t="s">
        <v>389</v>
      </c>
      <c r="E14" s="7" t="s">
        <v>116</v>
      </c>
      <c r="F14" s="7" t="s">
        <v>327</v>
      </c>
      <c r="G14" s="6"/>
      <c r="H14" s="17" t="s">
        <v>390</v>
      </c>
      <c r="I14" s="17">
        <v>1.0</v>
      </c>
      <c r="J14" s="17" t="s">
        <v>391</v>
      </c>
      <c r="K14" s="17">
        <v>0.0</v>
      </c>
      <c r="L14" s="17" t="s">
        <v>392</v>
      </c>
      <c r="M14" s="17">
        <v>0.0</v>
      </c>
      <c r="N14" s="17" t="s">
        <v>393</v>
      </c>
      <c r="O14" s="17">
        <v>0.0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5.75" customHeight="1">
      <c r="A15" s="5">
        <v>1155.0</v>
      </c>
      <c r="B15" s="29" t="s">
        <v>48</v>
      </c>
      <c r="C15" s="5" t="str">
        <f t="shared" si="1"/>
        <v>PMP-08_BS VI HSD</v>
      </c>
      <c r="D15" s="7" t="s">
        <v>394</v>
      </c>
      <c r="E15" s="7" t="s">
        <v>116</v>
      </c>
      <c r="F15" s="7" t="s">
        <v>327</v>
      </c>
      <c r="G15" s="6"/>
      <c r="H15" s="17" t="s">
        <v>395</v>
      </c>
      <c r="I15" s="17">
        <v>1.0</v>
      </c>
      <c r="J15" s="17" t="s">
        <v>396</v>
      </c>
      <c r="K15" s="17">
        <v>0.0</v>
      </c>
      <c r="L15" s="17" t="s">
        <v>397</v>
      </c>
      <c r="M15" s="17">
        <v>0.0</v>
      </c>
      <c r="N15" s="17" t="s">
        <v>398</v>
      </c>
      <c r="O15" s="17">
        <v>0.0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5.75" customHeight="1">
      <c r="A16" s="5">
        <v>1155.0</v>
      </c>
      <c r="B16" s="29" t="s">
        <v>48</v>
      </c>
      <c r="C16" s="5" t="str">
        <f t="shared" si="1"/>
        <v>PMP-09_BS VI HSD</v>
      </c>
      <c r="D16" s="7" t="s">
        <v>399</v>
      </c>
      <c r="E16" s="7" t="s">
        <v>116</v>
      </c>
      <c r="F16" s="7" t="s">
        <v>327</v>
      </c>
      <c r="G16" s="6"/>
      <c r="H16" s="17" t="s">
        <v>400</v>
      </c>
      <c r="I16" s="17">
        <v>1.0</v>
      </c>
      <c r="J16" s="17" t="s">
        <v>401</v>
      </c>
      <c r="K16" s="17">
        <v>0.0</v>
      </c>
      <c r="L16" s="17" t="s">
        <v>402</v>
      </c>
      <c r="M16" s="17">
        <v>0.0</v>
      </c>
      <c r="N16" s="17" t="s">
        <v>403</v>
      </c>
      <c r="O16" s="17">
        <v>0.0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5.75" customHeight="1">
      <c r="A17" s="5">
        <v>1155.0</v>
      </c>
      <c r="B17" s="29" t="s">
        <v>48</v>
      </c>
      <c r="C17" s="5" t="str">
        <f t="shared" si="1"/>
        <v>PMP-10_BS VI HSD</v>
      </c>
      <c r="D17" s="7" t="s">
        <v>404</v>
      </c>
      <c r="E17" s="7" t="s">
        <v>116</v>
      </c>
      <c r="F17" s="7" t="s">
        <v>327</v>
      </c>
      <c r="G17" s="6"/>
      <c r="H17" s="17" t="s">
        <v>405</v>
      </c>
      <c r="I17" s="17">
        <v>1.0</v>
      </c>
      <c r="J17" s="17" t="s">
        <v>406</v>
      </c>
      <c r="K17" s="17">
        <v>0.0</v>
      </c>
      <c r="L17" s="17" t="s">
        <v>407</v>
      </c>
      <c r="M17" s="17">
        <v>0.0</v>
      </c>
      <c r="N17" s="17" t="s">
        <v>408</v>
      </c>
      <c r="O17" s="17">
        <v>0.0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5.75" customHeight="1">
      <c r="A18" s="5">
        <v>1155.0</v>
      </c>
      <c r="B18" s="29" t="s">
        <v>48</v>
      </c>
      <c r="C18" s="5" t="str">
        <f t="shared" si="1"/>
        <v>PMP-11_BS VI MS</v>
      </c>
      <c r="D18" s="7" t="s">
        <v>409</v>
      </c>
      <c r="E18" s="7" t="s">
        <v>50</v>
      </c>
      <c r="F18" s="7" t="s">
        <v>327</v>
      </c>
      <c r="G18" s="6"/>
      <c r="H18" s="17" t="s">
        <v>410</v>
      </c>
      <c r="I18" s="17">
        <v>1.0</v>
      </c>
      <c r="J18" s="17" t="s">
        <v>411</v>
      </c>
      <c r="K18" s="17">
        <v>0.0</v>
      </c>
      <c r="L18" s="17" t="s">
        <v>412</v>
      </c>
      <c r="M18" s="17">
        <v>0.0</v>
      </c>
      <c r="N18" s="17" t="s">
        <v>413</v>
      </c>
      <c r="O18" s="17">
        <v>0.0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5.75" customHeight="1">
      <c r="A19" s="5">
        <v>1155.0</v>
      </c>
      <c r="B19" s="29" t="s">
        <v>48</v>
      </c>
      <c r="C19" s="5" t="str">
        <f t="shared" si="1"/>
        <v>PMP-12_BS VI MS</v>
      </c>
      <c r="D19" s="7" t="s">
        <v>414</v>
      </c>
      <c r="E19" s="7" t="s">
        <v>50</v>
      </c>
      <c r="F19" s="7" t="s">
        <v>327</v>
      </c>
      <c r="G19" s="6"/>
      <c r="H19" s="17" t="s">
        <v>415</v>
      </c>
      <c r="I19" s="17">
        <v>1.0</v>
      </c>
      <c r="J19" s="17" t="s">
        <v>416</v>
      </c>
      <c r="K19" s="17">
        <v>0.0</v>
      </c>
      <c r="L19" s="17" t="s">
        <v>417</v>
      </c>
      <c r="M19" s="17">
        <v>0.0</v>
      </c>
      <c r="N19" s="17" t="s">
        <v>418</v>
      </c>
      <c r="O19" s="17">
        <v>0.0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5.75" customHeight="1">
      <c r="A20" s="5">
        <v>1155.0</v>
      </c>
      <c r="B20" s="29" t="s">
        <v>48</v>
      </c>
      <c r="C20" s="5" t="str">
        <f t="shared" si="1"/>
        <v>PMP-13_BS VI MS</v>
      </c>
      <c r="D20" s="7" t="s">
        <v>419</v>
      </c>
      <c r="E20" s="7" t="s">
        <v>50</v>
      </c>
      <c r="F20" s="7" t="s">
        <v>327</v>
      </c>
      <c r="G20" s="6"/>
      <c r="H20" s="17" t="s">
        <v>420</v>
      </c>
      <c r="I20" s="17">
        <v>1.0</v>
      </c>
      <c r="J20" s="17" t="s">
        <v>421</v>
      </c>
      <c r="K20" s="17">
        <v>0.0</v>
      </c>
      <c r="L20" s="17" t="s">
        <v>422</v>
      </c>
      <c r="M20" s="17">
        <v>0.0</v>
      </c>
      <c r="N20" s="17" t="s">
        <v>423</v>
      </c>
      <c r="O20" s="17">
        <v>0.0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5.75" customHeight="1">
      <c r="A21" s="5">
        <v>1155.0</v>
      </c>
      <c r="B21" s="29" t="s">
        <v>48</v>
      </c>
      <c r="C21" s="5" t="str">
        <f t="shared" si="1"/>
        <v>PMP-14_BS VI MS</v>
      </c>
      <c r="D21" s="7" t="s">
        <v>424</v>
      </c>
      <c r="E21" s="7" t="s">
        <v>50</v>
      </c>
      <c r="F21" s="7" t="s">
        <v>327</v>
      </c>
      <c r="G21" s="6"/>
      <c r="H21" s="17" t="s">
        <v>425</v>
      </c>
      <c r="I21" s="17">
        <v>1.0</v>
      </c>
      <c r="J21" s="17" t="s">
        <v>426</v>
      </c>
      <c r="K21" s="17">
        <v>0.0</v>
      </c>
      <c r="L21" s="17" t="s">
        <v>427</v>
      </c>
      <c r="M21" s="17">
        <v>0.0</v>
      </c>
      <c r="N21" s="17" t="s">
        <v>428</v>
      </c>
      <c r="O21" s="17">
        <v>0.0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5.75" customHeight="1">
      <c r="A22" s="5">
        <v>1155.0</v>
      </c>
      <c r="B22" s="29" t="s">
        <v>48</v>
      </c>
      <c r="C22" s="5" t="str">
        <f t="shared" si="1"/>
        <v>PMP-15_BS VI HSD</v>
      </c>
      <c r="D22" s="7" t="s">
        <v>429</v>
      </c>
      <c r="E22" s="7" t="s">
        <v>116</v>
      </c>
      <c r="F22" s="7" t="s">
        <v>327</v>
      </c>
      <c r="G22" s="6"/>
      <c r="H22" s="17" t="s">
        <v>430</v>
      </c>
      <c r="I22" s="17">
        <v>1.0</v>
      </c>
      <c r="J22" s="17" t="s">
        <v>431</v>
      </c>
      <c r="K22" s="17">
        <v>0.0</v>
      </c>
      <c r="L22" s="17" t="s">
        <v>432</v>
      </c>
      <c r="M22" s="17">
        <v>0.0</v>
      </c>
      <c r="N22" s="17" t="s">
        <v>433</v>
      </c>
      <c r="O22" s="17">
        <v>0.0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5.75" customHeight="1">
      <c r="A23" s="5">
        <v>1155.0</v>
      </c>
      <c r="B23" s="29" t="s">
        <v>48</v>
      </c>
      <c r="C23" s="5" t="str">
        <f t="shared" si="1"/>
        <v>PMP-16_BS VI HSD</v>
      </c>
      <c r="D23" s="7" t="s">
        <v>434</v>
      </c>
      <c r="E23" s="7" t="s">
        <v>116</v>
      </c>
      <c r="F23" s="7" t="s">
        <v>327</v>
      </c>
      <c r="G23" s="6"/>
      <c r="H23" s="17" t="s">
        <v>435</v>
      </c>
      <c r="I23" s="17">
        <v>1.0</v>
      </c>
      <c r="J23" s="17" t="s">
        <v>436</v>
      </c>
      <c r="K23" s="17">
        <v>0.0</v>
      </c>
      <c r="L23" s="17" t="s">
        <v>437</v>
      </c>
      <c r="M23" s="17">
        <v>0.0</v>
      </c>
      <c r="N23" s="17" t="s">
        <v>438</v>
      </c>
      <c r="O23" s="17">
        <v>0.0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5.75" customHeight="1">
      <c r="A24" s="5">
        <v>1155.0</v>
      </c>
      <c r="B24" s="29" t="s">
        <v>48</v>
      </c>
      <c r="C24" s="5" t="str">
        <f t="shared" si="1"/>
        <v>PMP-17_ETHANOL</v>
      </c>
      <c r="D24" s="7" t="s">
        <v>439</v>
      </c>
      <c r="E24" s="7" t="s">
        <v>63</v>
      </c>
      <c r="F24" s="7" t="s">
        <v>327</v>
      </c>
      <c r="G24" s="6"/>
      <c r="H24" s="17" t="s">
        <v>440</v>
      </c>
      <c r="I24" s="17">
        <v>1.0</v>
      </c>
      <c r="J24" s="17" t="s">
        <v>441</v>
      </c>
      <c r="K24" s="17">
        <v>0.0</v>
      </c>
      <c r="L24" s="17" t="s">
        <v>442</v>
      </c>
      <c r="M24" s="17">
        <v>0.0</v>
      </c>
      <c r="N24" s="17" t="s">
        <v>443</v>
      </c>
      <c r="O24" s="17">
        <v>0.0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5.75" customHeight="1">
      <c r="A25" s="5">
        <v>1155.0</v>
      </c>
      <c r="B25" s="29" t="s">
        <v>48</v>
      </c>
      <c r="C25" s="5" t="str">
        <f t="shared" si="1"/>
        <v>PMP-18_ETHANOL</v>
      </c>
      <c r="D25" s="7" t="s">
        <v>444</v>
      </c>
      <c r="E25" s="7" t="s">
        <v>63</v>
      </c>
      <c r="F25" s="7" t="s">
        <v>327</v>
      </c>
      <c r="G25" s="6"/>
      <c r="H25" s="17" t="s">
        <v>445</v>
      </c>
      <c r="I25" s="17">
        <v>1.0</v>
      </c>
      <c r="J25" s="17" t="s">
        <v>446</v>
      </c>
      <c r="K25" s="17">
        <v>0.0</v>
      </c>
      <c r="L25" s="17" t="s">
        <v>447</v>
      </c>
      <c r="M25" s="17">
        <v>0.0</v>
      </c>
      <c r="N25" s="17" t="s">
        <v>448</v>
      </c>
      <c r="O25" s="17">
        <v>0.0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5.75" customHeight="1">
      <c r="A26" s="5">
        <v>1155.0</v>
      </c>
      <c r="B26" s="29" t="s">
        <v>48</v>
      </c>
      <c r="C26" s="5" t="str">
        <f t="shared" si="1"/>
        <v>PMP-19_BS VI HSD</v>
      </c>
      <c r="D26" s="7" t="s">
        <v>449</v>
      </c>
      <c r="E26" s="7" t="s">
        <v>116</v>
      </c>
      <c r="F26" s="7" t="s">
        <v>450</v>
      </c>
      <c r="G26" s="6"/>
      <c r="H26" s="17" t="s">
        <v>451</v>
      </c>
      <c r="I26" s="17">
        <v>1.0</v>
      </c>
      <c r="J26" s="17" t="s">
        <v>452</v>
      </c>
      <c r="K26" s="17">
        <v>0.0</v>
      </c>
      <c r="L26" s="17" t="s">
        <v>453</v>
      </c>
      <c r="M26" s="17">
        <v>0.0</v>
      </c>
      <c r="N26" s="17" t="s">
        <v>454</v>
      </c>
      <c r="O26" s="17">
        <v>0.0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5.75" customHeight="1">
      <c r="A27" s="5">
        <v>1155.0</v>
      </c>
      <c r="B27" s="29" t="s">
        <v>48</v>
      </c>
      <c r="C27" s="5" t="str">
        <f t="shared" si="1"/>
        <v>PMP-20_BS VI HSD</v>
      </c>
      <c r="D27" s="7" t="s">
        <v>455</v>
      </c>
      <c r="E27" s="7" t="s">
        <v>116</v>
      </c>
      <c r="F27" s="7" t="s">
        <v>450</v>
      </c>
      <c r="G27" s="6"/>
      <c r="H27" s="17" t="s">
        <v>456</v>
      </c>
      <c r="I27" s="17">
        <v>1.0</v>
      </c>
      <c r="J27" s="17" t="s">
        <v>457</v>
      </c>
      <c r="K27" s="17">
        <v>0.0</v>
      </c>
      <c r="L27" s="17" t="s">
        <v>458</v>
      </c>
      <c r="M27" s="17">
        <v>0.0</v>
      </c>
      <c r="N27" s="17" t="s">
        <v>459</v>
      </c>
      <c r="O27" s="17">
        <v>0.0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5.75" customHeight="1">
      <c r="A28" s="5">
        <v>1155.0</v>
      </c>
      <c r="B28" s="29" t="s">
        <v>48</v>
      </c>
      <c r="C28" s="5" t="str">
        <f t="shared" si="1"/>
        <v>PMP-21_BS IV HSD</v>
      </c>
      <c r="D28" s="7" t="s">
        <v>460</v>
      </c>
      <c r="E28" s="7" t="s">
        <v>461</v>
      </c>
      <c r="F28" s="7" t="s">
        <v>450</v>
      </c>
      <c r="G28" s="6"/>
      <c r="H28" s="17" t="s">
        <v>462</v>
      </c>
      <c r="I28" s="17">
        <v>1.0</v>
      </c>
      <c r="J28" s="17" t="s">
        <v>463</v>
      </c>
      <c r="K28" s="17">
        <v>0.0</v>
      </c>
      <c r="L28" s="17" t="s">
        <v>464</v>
      </c>
      <c r="M28" s="17">
        <v>0.0</v>
      </c>
      <c r="N28" s="17" t="s">
        <v>465</v>
      </c>
      <c r="O28" s="17">
        <v>0.0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5.75" customHeight="1">
      <c r="A29" s="5">
        <v>1155.0</v>
      </c>
      <c r="B29" s="29" t="s">
        <v>48</v>
      </c>
      <c r="C29" s="5" t="str">
        <f t="shared" si="1"/>
        <v>PMP-22_BS VI MS</v>
      </c>
      <c r="D29" s="7" t="s">
        <v>466</v>
      </c>
      <c r="E29" s="7" t="s">
        <v>50</v>
      </c>
      <c r="F29" s="7" t="s">
        <v>450</v>
      </c>
      <c r="G29" s="6"/>
      <c r="H29" s="17" t="s">
        <v>467</v>
      </c>
      <c r="I29" s="17">
        <v>1.0</v>
      </c>
      <c r="J29" s="17" t="s">
        <v>468</v>
      </c>
      <c r="K29" s="17">
        <v>0.0</v>
      </c>
      <c r="L29" s="17" t="s">
        <v>469</v>
      </c>
      <c r="M29" s="17">
        <v>0.0</v>
      </c>
      <c r="N29" s="17" t="s">
        <v>470</v>
      </c>
      <c r="O29" s="17">
        <v>0.0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5.75" customHeight="1">
      <c r="A30" s="5">
        <v>1155.0</v>
      </c>
      <c r="B30" s="29" t="s">
        <v>48</v>
      </c>
      <c r="C30" s="5" t="str">
        <f t="shared" si="1"/>
        <v>PMP-23_BS VI MS</v>
      </c>
      <c r="D30" s="7" t="s">
        <v>471</v>
      </c>
      <c r="E30" s="7" t="s">
        <v>50</v>
      </c>
      <c r="F30" s="7" t="s">
        <v>450</v>
      </c>
      <c r="G30" s="6"/>
      <c r="H30" s="17" t="s">
        <v>472</v>
      </c>
      <c r="I30" s="17">
        <v>1.0</v>
      </c>
      <c r="J30" s="17" t="s">
        <v>473</v>
      </c>
      <c r="K30" s="17">
        <v>0.0</v>
      </c>
      <c r="L30" s="17" t="s">
        <v>474</v>
      </c>
      <c r="M30" s="17">
        <v>0.0</v>
      </c>
      <c r="N30" s="17" t="s">
        <v>475</v>
      </c>
      <c r="O30" s="17">
        <v>0.0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5.75" customHeight="1">
      <c r="A31" s="5">
        <v>1155.0</v>
      </c>
      <c r="B31" s="29" t="s">
        <v>48</v>
      </c>
      <c r="C31" s="5" t="str">
        <f t="shared" si="1"/>
        <v>PMP-24_SKO</v>
      </c>
      <c r="D31" s="7" t="s">
        <v>476</v>
      </c>
      <c r="E31" s="7" t="s">
        <v>85</v>
      </c>
      <c r="F31" s="7" t="s">
        <v>450</v>
      </c>
      <c r="G31" s="6"/>
      <c r="H31" s="17" t="s">
        <v>477</v>
      </c>
      <c r="I31" s="17">
        <v>1.0</v>
      </c>
      <c r="J31" s="17" t="s">
        <v>478</v>
      </c>
      <c r="K31" s="17">
        <v>0.0</v>
      </c>
      <c r="L31" s="17" t="s">
        <v>479</v>
      </c>
      <c r="M31" s="17">
        <v>0.0</v>
      </c>
      <c r="N31" s="17" t="s">
        <v>480</v>
      </c>
      <c r="O31" s="17">
        <v>0.0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5.75" customHeight="1">
      <c r="A32" s="5">
        <v>1155.0</v>
      </c>
      <c r="B32" s="29" t="s">
        <v>48</v>
      </c>
      <c r="C32" s="5" t="str">
        <f t="shared" si="1"/>
        <v>PMP-25_SKO</v>
      </c>
      <c r="D32" s="7" t="s">
        <v>481</v>
      </c>
      <c r="E32" s="7" t="s">
        <v>85</v>
      </c>
      <c r="F32" s="7" t="s">
        <v>450</v>
      </c>
      <c r="G32" s="6"/>
      <c r="H32" s="17" t="s">
        <v>482</v>
      </c>
      <c r="I32" s="17">
        <v>1.0</v>
      </c>
      <c r="J32" s="17" t="s">
        <v>483</v>
      </c>
      <c r="K32" s="17">
        <v>0.0</v>
      </c>
      <c r="L32" s="17" t="s">
        <v>484</v>
      </c>
      <c r="M32" s="17">
        <v>0.0</v>
      </c>
      <c r="N32" s="17" t="s">
        <v>485</v>
      </c>
      <c r="O32" s="17">
        <v>0.0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5.75" customHeight="1">
      <c r="A33" s="5">
        <v>1155.0</v>
      </c>
      <c r="B33" s="29" t="s">
        <v>48</v>
      </c>
      <c r="C33" s="5" t="str">
        <f t="shared" si="1"/>
        <v>PMP-26_ETHANOL</v>
      </c>
      <c r="D33" s="7" t="s">
        <v>486</v>
      </c>
      <c r="E33" s="7" t="s">
        <v>63</v>
      </c>
      <c r="F33" s="7" t="s">
        <v>327</v>
      </c>
      <c r="G33" s="6"/>
      <c r="H33" s="17" t="s">
        <v>487</v>
      </c>
      <c r="I33" s="17">
        <v>1.0</v>
      </c>
      <c r="J33" s="17" t="s">
        <v>488</v>
      </c>
      <c r="K33" s="17">
        <v>0.0</v>
      </c>
      <c r="L33" s="17" t="s">
        <v>489</v>
      </c>
      <c r="M33" s="17">
        <v>0.0</v>
      </c>
      <c r="N33" s="17" t="s">
        <v>490</v>
      </c>
      <c r="O33" s="17">
        <v>0.0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5.75" customHeight="1">
      <c r="A34" s="5">
        <v>1155.0</v>
      </c>
      <c r="B34" s="29" t="s">
        <v>48</v>
      </c>
      <c r="C34" s="5" t="str">
        <f t="shared" si="1"/>
        <v>PMP-27_ETHANOL</v>
      </c>
      <c r="D34" s="7" t="s">
        <v>491</v>
      </c>
      <c r="E34" s="7" t="s">
        <v>63</v>
      </c>
      <c r="F34" s="7" t="s">
        <v>327</v>
      </c>
      <c r="G34" s="6"/>
      <c r="H34" s="17" t="s">
        <v>492</v>
      </c>
      <c r="I34" s="17">
        <v>1.0</v>
      </c>
      <c r="J34" s="17" t="s">
        <v>493</v>
      </c>
      <c r="K34" s="17">
        <v>0.0</v>
      </c>
      <c r="L34" s="17" t="s">
        <v>494</v>
      </c>
      <c r="M34" s="17">
        <v>0.0</v>
      </c>
      <c r="N34" s="17" t="s">
        <v>495</v>
      </c>
      <c r="O34" s="17">
        <v>0.0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5.75" customHeight="1">
      <c r="A35" s="5">
        <v>1155.0</v>
      </c>
      <c r="B35" s="29" t="s">
        <v>48</v>
      </c>
      <c r="C35" s="5" t="str">
        <f t="shared" si="1"/>
        <v>PMP-28_ETHANOL</v>
      </c>
      <c r="D35" s="7" t="s">
        <v>496</v>
      </c>
      <c r="E35" s="7" t="s">
        <v>63</v>
      </c>
      <c r="F35" s="7" t="s">
        <v>327</v>
      </c>
      <c r="G35" s="6"/>
      <c r="H35" s="17" t="s">
        <v>497</v>
      </c>
      <c r="I35" s="17">
        <v>1.0</v>
      </c>
      <c r="J35" s="17" t="s">
        <v>498</v>
      </c>
      <c r="K35" s="17">
        <v>0.0</v>
      </c>
      <c r="L35" s="17" t="s">
        <v>499</v>
      </c>
      <c r="M35" s="17">
        <v>0.0</v>
      </c>
      <c r="N35" s="17" t="s">
        <v>500</v>
      </c>
      <c r="O35" s="17">
        <v>0.0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5.75" customHeight="1">
      <c r="A36" s="5">
        <v>1155.0</v>
      </c>
      <c r="B36" s="29" t="s">
        <v>48</v>
      </c>
      <c r="C36" s="5" t="str">
        <f t="shared" si="1"/>
        <v>PMP-29_ETHANOL</v>
      </c>
      <c r="D36" s="7" t="s">
        <v>501</v>
      </c>
      <c r="E36" s="7" t="s">
        <v>63</v>
      </c>
      <c r="F36" s="7" t="s">
        <v>327</v>
      </c>
      <c r="G36" s="6"/>
      <c r="H36" s="17" t="s">
        <v>502</v>
      </c>
      <c r="I36" s="17">
        <v>1.0</v>
      </c>
      <c r="J36" s="17" t="s">
        <v>503</v>
      </c>
      <c r="K36" s="17">
        <v>0.0</v>
      </c>
      <c r="L36" s="17" t="s">
        <v>504</v>
      </c>
      <c r="M36" s="17">
        <v>0.0</v>
      </c>
      <c r="N36" s="17" t="s">
        <v>505</v>
      </c>
      <c r="O36" s="17">
        <v>0.0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5">
        <v>1155.0</v>
      </c>
      <c r="B37" s="29" t="s">
        <v>48</v>
      </c>
      <c r="C37" s="5" t="str">
        <f t="shared" si="1"/>
        <v>PMP-30_ETHANOL</v>
      </c>
      <c r="D37" s="7" t="s">
        <v>506</v>
      </c>
      <c r="E37" s="7" t="s">
        <v>63</v>
      </c>
      <c r="F37" s="7" t="s">
        <v>327</v>
      </c>
      <c r="G37" s="6"/>
      <c r="H37" s="17" t="s">
        <v>507</v>
      </c>
      <c r="I37" s="17">
        <v>1.0</v>
      </c>
      <c r="J37" s="17" t="s">
        <v>508</v>
      </c>
      <c r="K37" s="17">
        <v>0.0</v>
      </c>
      <c r="L37" s="17" t="s">
        <v>509</v>
      </c>
      <c r="M37" s="17">
        <v>0.0</v>
      </c>
      <c r="N37" s="17" t="s">
        <v>510</v>
      </c>
      <c r="O37" s="17">
        <v>0.0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>
      <c r="A38" s="5">
        <v>1155.0</v>
      </c>
      <c r="B38" s="29" t="s">
        <v>48</v>
      </c>
      <c r="C38" s="5" t="str">
        <f t="shared" si="1"/>
        <v>PMP-IOCL-01_BS VI MS</v>
      </c>
      <c r="D38" s="7" t="s">
        <v>511</v>
      </c>
      <c r="E38" s="7" t="s">
        <v>50</v>
      </c>
      <c r="F38" s="7" t="s">
        <v>327</v>
      </c>
      <c r="G38" s="6"/>
      <c r="H38" s="17" t="s">
        <v>512</v>
      </c>
      <c r="I38" s="17">
        <v>1.0</v>
      </c>
      <c r="J38" s="17" t="s">
        <v>513</v>
      </c>
      <c r="K38" s="17">
        <v>0.0</v>
      </c>
      <c r="L38" s="18"/>
      <c r="M38" s="18"/>
      <c r="N38" s="18"/>
      <c r="O38" s="18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customHeight="1">
      <c r="A39" s="5">
        <v>1155.0</v>
      </c>
      <c r="B39" s="29" t="s">
        <v>48</v>
      </c>
      <c r="C39" s="5" t="str">
        <f t="shared" si="1"/>
        <v>PMP-IOCL-02_BS VI MS</v>
      </c>
      <c r="D39" s="7" t="s">
        <v>514</v>
      </c>
      <c r="E39" s="7" t="s">
        <v>50</v>
      </c>
      <c r="F39" s="7" t="s">
        <v>327</v>
      </c>
      <c r="G39" s="6"/>
      <c r="H39" s="17" t="s">
        <v>515</v>
      </c>
      <c r="I39" s="17">
        <v>1.0</v>
      </c>
      <c r="J39" s="17" t="s">
        <v>516</v>
      </c>
      <c r="K39" s="17">
        <v>0.0</v>
      </c>
      <c r="L39" s="18"/>
      <c r="M39" s="18"/>
      <c r="N39" s="18"/>
      <c r="O39" s="18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customHeight="1">
      <c r="A40" s="5">
        <v>1155.0</v>
      </c>
      <c r="B40" s="29" t="s">
        <v>48</v>
      </c>
      <c r="C40" s="5" t="str">
        <f t="shared" si="1"/>
        <v>PMP-IOCL-03_BS VI HSD</v>
      </c>
      <c r="D40" s="7" t="s">
        <v>517</v>
      </c>
      <c r="E40" s="7" t="s">
        <v>116</v>
      </c>
      <c r="F40" s="7" t="s">
        <v>327</v>
      </c>
      <c r="G40" s="6"/>
      <c r="H40" s="17" t="s">
        <v>518</v>
      </c>
      <c r="I40" s="17">
        <v>1.0</v>
      </c>
      <c r="J40" s="17" t="s">
        <v>519</v>
      </c>
      <c r="K40" s="17">
        <v>0.0</v>
      </c>
      <c r="L40" s="18"/>
      <c r="M40" s="18"/>
      <c r="N40" s="18"/>
      <c r="O40" s="18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5.75" customHeight="1">
      <c r="A41" s="5">
        <v>1155.0</v>
      </c>
      <c r="B41" s="29" t="s">
        <v>48</v>
      </c>
      <c r="C41" s="5" t="str">
        <f t="shared" si="1"/>
        <v>PMP-IOCL-04_BS VI HSD</v>
      </c>
      <c r="D41" s="7" t="s">
        <v>520</v>
      </c>
      <c r="E41" s="7" t="s">
        <v>116</v>
      </c>
      <c r="F41" s="7" t="s">
        <v>327</v>
      </c>
      <c r="G41" s="6"/>
      <c r="H41" s="17" t="s">
        <v>521</v>
      </c>
      <c r="I41" s="17">
        <v>1.0</v>
      </c>
      <c r="J41" s="17" t="s">
        <v>522</v>
      </c>
      <c r="K41" s="17">
        <v>0.0</v>
      </c>
      <c r="L41" s="18"/>
      <c r="M41" s="18"/>
      <c r="N41" s="18"/>
      <c r="O41" s="18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0" t="s">
        <v>0</v>
      </c>
      <c r="B1" s="30" t="s">
        <v>1</v>
      </c>
      <c r="C1" s="30" t="s">
        <v>2</v>
      </c>
      <c r="D1" s="30" t="s">
        <v>314</v>
      </c>
      <c r="E1" s="30" t="s">
        <v>315</v>
      </c>
      <c r="F1" s="30" t="s">
        <v>316</v>
      </c>
      <c r="G1" s="30" t="s">
        <v>317</v>
      </c>
      <c r="H1" s="31" t="s">
        <v>318</v>
      </c>
      <c r="I1" s="31" t="s">
        <v>319</v>
      </c>
      <c r="J1" s="31" t="s">
        <v>320</v>
      </c>
      <c r="K1" s="31" t="s">
        <v>321</v>
      </c>
      <c r="L1" s="31" t="s">
        <v>322</v>
      </c>
      <c r="M1" s="31" t="s">
        <v>323</v>
      </c>
      <c r="N1" s="31" t="s">
        <v>523</v>
      </c>
      <c r="O1" s="31" t="s">
        <v>524</v>
      </c>
      <c r="P1" s="31" t="s">
        <v>525</v>
      </c>
      <c r="Q1" s="31" t="s">
        <v>526</v>
      </c>
      <c r="R1" s="31" t="s">
        <v>527</v>
      </c>
      <c r="S1" s="31" t="s">
        <v>528</v>
      </c>
      <c r="T1" s="31" t="s">
        <v>529</v>
      </c>
      <c r="U1" s="31" t="s">
        <v>530</v>
      </c>
      <c r="V1" s="31" t="s">
        <v>531</v>
      </c>
      <c r="W1" s="31" t="s">
        <v>7</v>
      </c>
      <c r="X1" s="31" t="s">
        <v>532</v>
      </c>
      <c r="Y1" s="31" t="s">
        <v>533</v>
      </c>
      <c r="Z1" s="31" t="s">
        <v>534</v>
      </c>
      <c r="AA1" s="31" t="s">
        <v>535</v>
      </c>
      <c r="AB1" s="31" t="s">
        <v>536</v>
      </c>
      <c r="AC1" s="31" t="s">
        <v>537</v>
      </c>
    </row>
    <row r="2" ht="15.75" customHeight="1">
      <c r="A2" s="5">
        <v>1155.0</v>
      </c>
      <c r="B2" s="29" t="s">
        <v>48</v>
      </c>
      <c r="C2" s="5" t="str">
        <f t="shared" ref="C2:C5" si="1">CONCATENATE(D2,"_",E2)</f>
        <v>FWP-01_Water</v>
      </c>
      <c r="D2" s="7" t="s">
        <v>538</v>
      </c>
      <c r="E2" s="7" t="s">
        <v>539</v>
      </c>
      <c r="F2" s="7" t="s">
        <v>540</v>
      </c>
      <c r="G2" s="13"/>
      <c r="H2" s="17" t="s">
        <v>541</v>
      </c>
      <c r="I2" s="17">
        <v>1.0</v>
      </c>
      <c r="J2" s="17" t="s">
        <v>542</v>
      </c>
      <c r="K2" s="17">
        <v>0.0</v>
      </c>
      <c r="L2" s="17" t="s">
        <v>543</v>
      </c>
      <c r="M2" s="17">
        <v>0.0</v>
      </c>
      <c r="N2" s="17" t="s">
        <v>544</v>
      </c>
      <c r="O2" s="10">
        <v>0.0</v>
      </c>
      <c r="P2" s="17" t="s">
        <v>545</v>
      </c>
      <c r="Q2" s="17">
        <v>0.0</v>
      </c>
      <c r="R2" s="17" t="s">
        <v>546</v>
      </c>
      <c r="S2" s="17">
        <v>0.0</v>
      </c>
      <c r="T2" s="6"/>
      <c r="U2" s="6"/>
      <c r="V2" s="6"/>
      <c r="W2" s="6"/>
      <c r="X2" s="17" t="s">
        <v>547</v>
      </c>
      <c r="Y2" s="17">
        <v>0.0</v>
      </c>
      <c r="Z2" s="17" t="s">
        <v>548</v>
      </c>
      <c r="AA2" s="17">
        <v>0.0</v>
      </c>
      <c r="AB2" s="17" t="s">
        <v>549</v>
      </c>
      <c r="AC2" s="17">
        <v>0.0</v>
      </c>
    </row>
    <row r="3" ht="15.75" customHeight="1">
      <c r="A3" s="5">
        <v>1155.0</v>
      </c>
      <c r="B3" s="29" t="s">
        <v>48</v>
      </c>
      <c r="C3" s="5" t="str">
        <f t="shared" si="1"/>
        <v>FWP-02_Water</v>
      </c>
      <c r="D3" s="7" t="s">
        <v>550</v>
      </c>
      <c r="E3" s="7" t="s">
        <v>539</v>
      </c>
      <c r="F3" s="7" t="s">
        <v>540</v>
      </c>
      <c r="G3" s="6"/>
      <c r="H3" s="17" t="s">
        <v>551</v>
      </c>
      <c r="I3" s="17">
        <v>1.0</v>
      </c>
      <c r="J3" s="17" t="s">
        <v>552</v>
      </c>
      <c r="K3" s="17">
        <v>0.0</v>
      </c>
      <c r="L3" s="17" t="s">
        <v>553</v>
      </c>
      <c r="M3" s="17">
        <v>0.0</v>
      </c>
      <c r="N3" s="17" t="s">
        <v>554</v>
      </c>
      <c r="O3" s="10">
        <v>0.0</v>
      </c>
      <c r="P3" s="17" t="s">
        <v>555</v>
      </c>
      <c r="Q3" s="17">
        <v>0.0</v>
      </c>
      <c r="R3" s="17" t="s">
        <v>556</v>
      </c>
      <c r="S3" s="17">
        <v>0.0</v>
      </c>
      <c r="T3" s="6"/>
      <c r="U3" s="6"/>
      <c r="V3" s="6"/>
      <c r="W3" s="6"/>
      <c r="X3" s="17" t="s">
        <v>557</v>
      </c>
      <c r="Y3" s="17">
        <v>0.0</v>
      </c>
      <c r="Z3" s="17" t="s">
        <v>558</v>
      </c>
      <c r="AA3" s="17">
        <v>0.0</v>
      </c>
      <c r="AB3" s="17" t="s">
        <v>559</v>
      </c>
      <c r="AC3" s="17">
        <v>0.0</v>
      </c>
    </row>
    <row r="4" ht="15.75" customHeight="1">
      <c r="A4" s="5">
        <v>1155.0</v>
      </c>
      <c r="B4" s="29" t="s">
        <v>48</v>
      </c>
      <c r="C4" s="5" t="str">
        <f t="shared" si="1"/>
        <v>JCY-01_Jockey</v>
      </c>
      <c r="D4" s="7" t="s">
        <v>560</v>
      </c>
      <c r="E4" s="7" t="s">
        <v>561</v>
      </c>
      <c r="F4" s="7" t="s">
        <v>540</v>
      </c>
      <c r="G4" s="6"/>
      <c r="H4" s="17" t="s">
        <v>562</v>
      </c>
      <c r="I4" s="17">
        <v>1.0</v>
      </c>
      <c r="J4" s="17" t="s">
        <v>563</v>
      </c>
      <c r="K4" s="17">
        <v>0.0</v>
      </c>
      <c r="L4" s="17" t="s">
        <v>564</v>
      </c>
      <c r="M4" s="17">
        <v>0.0</v>
      </c>
      <c r="N4" s="17" t="s">
        <v>565</v>
      </c>
      <c r="O4" s="10">
        <v>0.0</v>
      </c>
      <c r="P4" s="17" t="s">
        <v>566</v>
      </c>
      <c r="Q4" s="17">
        <v>0.0</v>
      </c>
      <c r="R4" s="6"/>
      <c r="S4" s="6"/>
      <c r="T4" s="6"/>
      <c r="U4" s="6"/>
      <c r="V4" s="17" t="s">
        <v>567</v>
      </c>
      <c r="W4" s="17">
        <v>0.0</v>
      </c>
      <c r="X4" s="17" t="s">
        <v>568</v>
      </c>
      <c r="Y4" s="17">
        <v>0.0</v>
      </c>
      <c r="Z4" s="18"/>
      <c r="AA4" s="18"/>
      <c r="AB4" s="18"/>
      <c r="AC4" s="18"/>
    </row>
    <row r="5" ht="15.75" customHeight="1">
      <c r="A5" s="5">
        <v>1155.0</v>
      </c>
      <c r="B5" s="29" t="s">
        <v>48</v>
      </c>
      <c r="C5" s="5" t="str">
        <f t="shared" si="1"/>
        <v>JCY-02_Jockey</v>
      </c>
      <c r="D5" s="7" t="s">
        <v>569</v>
      </c>
      <c r="E5" s="7" t="s">
        <v>561</v>
      </c>
      <c r="F5" s="7" t="s">
        <v>540</v>
      </c>
      <c r="G5" s="6"/>
      <c r="H5" s="17" t="s">
        <v>570</v>
      </c>
      <c r="I5" s="17">
        <v>1.0</v>
      </c>
      <c r="J5" s="17" t="s">
        <v>571</v>
      </c>
      <c r="K5" s="17">
        <v>0.0</v>
      </c>
      <c r="L5" s="17" t="s">
        <v>572</v>
      </c>
      <c r="M5" s="17">
        <v>0.0</v>
      </c>
      <c r="N5" s="17" t="s">
        <v>573</v>
      </c>
      <c r="O5" s="10">
        <v>0.0</v>
      </c>
      <c r="P5" s="17" t="s">
        <v>574</v>
      </c>
      <c r="Q5" s="17">
        <v>0.0</v>
      </c>
      <c r="R5" s="6"/>
      <c r="S5" s="6"/>
      <c r="T5" s="6"/>
      <c r="U5" s="6"/>
      <c r="V5" s="17" t="s">
        <v>575</v>
      </c>
      <c r="W5" s="17">
        <v>0.0</v>
      </c>
      <c r="X5" s="17" t="s">
        <v>576</v>
      </c>
      <c r="Y5" s="17">
        <v>0.0</v>
      </c>
      <c r="Z5" s="18"/>
      <c r="AA5" s="18"/>
      <c r="AB5" s="18"/>
      <c r="AC5" s="18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2" t="s">
        <v>0</v>
      </c>
      <c r="B1" s="32" t="s">
        <v>1</v>
      </c>
      <c r="C1" s="24" t="s">
        <v>2</v>
      </c>
      <c r="D1" s="24" t="s">
        <v>577</v>
      </c>
      <c r="E1" s="24" t="s">
        <v>1</v>
      </c>
      <c r="F1" s="25" t="s">
        <v>578</v>
      </c>
      <c r="G1" s="26" t="s">
        <v>579</v>
      </c>
      <c r="H1" s="25" t="s">
        <v>580</v>
      </c>
      <c r="I1" s="26" t="s">
        <v>581</v>
      </c>
      <c r="J1" s="25" t="s">
        <v>582</v>
      </c>
      <c r="K1" s="26" t="s">
        <v>583</v>
      </c>
      <c r="L1" s="25" t="s">
        <v>584</v>
      </c>
      <c r="M1" s="26" t="s">
        <v>585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5.75" customHeight="1">
      <c r="A2" s="5">
        <v>1155.0</v>
      </c>
      <c r="B2" s="29" t="s">
        <v>48</v>
      </c>
      <c r="C2" s="5" t="str">
        <f t="shared" ref="C2:C3" si="1">CONCATENATE(D2,"_",E2)</f>
        <v>UPS-01_CR - Process</v>
      </c>
      <c r="D2" s="5" t="s">
        <v>586</v>
      </c>
      <c r="E2" s="33" t="s">
        <v>587</v>
      </c>
      <c r="F2" s="11" t="s">
        <v>588</v>
      </c>
      <c r="G2" s="11">
        <v>0.0</v>
      </c>
      <c r="H2" s="11" t="s">
        <v>589</v>
      </c>
      <c r="I2" s="11">
        <v>0.0</v>
      </c>
      <c r="J2" s="11" t="s">
        <v>590</v>
      </c>
      <c r="K2" s="11">
        <v>0.0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5.75" customHeight="1">
      <c r="A3" s="5">
        <v>1155.0</v>
      </c>
      <c r="B3" s="29" t="s">
        <v>48</v>
      </c>
      <c r="C3" s="5" t="str">
        <f t="shared" si="1"/>
        <v>UPS-02_CR - Process</v>
      </c>
      <c r="D3" s="5" t="s">
        <v>591</v>
      </c>
      <c r="E3" s="33" t="s">
        <v>587</v>
      </c>
      <c r="F3" s="17" t="s">
        <v>592</v>
      </c>
      <c r="G3" s="17">
        <v>0.0</v>
      </c>
      <c r="H3" s="17" t="s">
        <v>593</v>
      </c>
      <c r="I3" s="17">
        <v>0.0</v>
      </c>
      <c r="J3" s="17" t="s">
        <v>594</v>
      </c>
      <c r="K3" s="17">
        <v>0.0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2" t="s">
        <v>0</v>
      </c>
      <c r="B1" s="32" t="s">
        <v>1</v>
      </c>
      <c r="C1" s="24" t="s">
        <v>2</v>
      </c>
      <c r="D1" s="24" t="s">
        <v>595</v>
      </c>
      <c r="E1" s="24" t="s">
        <v>1</v>
      </c>
      <c r="F1" s="25" t="s">
        <v>596</v>
      </c>
      <c r="G1" s="26" t="s">
        <v>597</v>
      </c>
      <c r="H1" s="25" t="s">
        <v>8</v>
      </c>
      <c r="I1" s="25" t="s">
        <v>9</v>
      </c>
      <c r="J1" s="25" t="s">
        <v>598</v>
      </c>
      <c r="K1" s="26" t="s">
        <v>599</v>
      </c>
      <c r="L1" s="25" t="s">
        <v>8</v>
      </c>
      <c r="M1" s="25" t="s">
        <v>12</v>
      </c>
      <c r="N1" s="25" t="s">
        <v>600</v>
      </c>
      <c r="O1" s="26" t="s">
        <v>601</v>
      </c>
      <c r="P1" s="25" t="s">
        <v>240</v>
      </c>
      <c r="Q1" s="25" t="s">
        <v>12</v>
      </c>
      <c r="R1" s="25" t="s">
        <v>602</v>
      </c>
      <c r="S1" s="26" t="s">
        <v>603</v>
      </c>
      <c r="T1" s="25" t="s">
        <v>8</v>
      </c>
      <c r="U1" s="25" t="s">
        <v>604</v>
      </c>
      <c r="V1" s="25" t="s">
        <v>605</v>
      </c>
      <c r="W1" s="26" t="s">
        <v>606</v>
      </c>
      <c r="X1" s="25" t="s">
        <v>240</v>
      </c>
      <c r="Y1" s="25" t="s">
        <v>12</v>
      </c>
      <c r="Z1" s="25" t="s">
        <v>607</v>
      </c>
      <c r="AA1" s="26" t="s">
        <v>608</v>
      </c>
      <c r="AB1" s="25" t="s">
        <v>8</v>
      </c>
      <c r="AC1" s="25" t="s">
        <v>12</v>
      </c>
    </row>
    <row r="2" ht="15.75" customHeight="1">
      <c r="A2" s="5">
        <v>1155.0</v>
      </c>
      <c r="B2" s="29" t="s">
        <v>48</v>
      </c>
      <c r="C2" s="5" t="str">
        <f t="shared" ref="C2:C3" si="1">CONCATENATE(D2,"_",E2)</f>
        <v>GEPLC_Process PLC</v>
      </c>
      <c r="D2" s="5" t="s">
        <v>609</v>
      </c>
      <c r="E2" s="33" t="s">
        <v>610</v>
      </c>
      <c r="F2" s="10" t="s">
        <v>611</v>
      </c>
      <c r="G2" s="10">
        <v>1.0</v>
      </c>
      <c r="H2" s="10" t="s">
        <v>612</v>
      </c>
      <c r="I2" s="10" t="s">
        <v>613</v>
      </c>
      <c r="J2" s="10" t="s">
        <v>614</v>
      </c>
      <c r="K2" s="10">
        <v>1.0</v>
      </c>
      <c r="L2" s="10" t="s">
        <v>612</v>
      </c>
      <c r="M2" s="10" t="s">
        <v>615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5.75" customHeight="1">
      <c r="A3" s="5">
        <v>1155.0</v>
      </c>
      <c r="B3" s="29" t="s">
        <v>48</v>
      </c>
      <c r="C3" s="5" t="str">
        <f t="shared" si="1"/>
        <v>SFT PLC_Safety PLC</v>
      </c>
      <c r="D3" s="5" t="s">
        <v>616</v>
      </c>
      <c r="E3" s="33" t="s">
        <v>617</v>
      </c>
      <c r="F3" s="10" t="s">
        <v>618</v>
      </c>
      <c r="G3" s="10">
        <v>1.0</v>
      </c>
      <c r="H3" s="10" t="s">
        <v>619</v>
      </c>
      <c r="I3" s="10" t="s">
        <v>613</v>
      </c>
      <c r="J3" s="10" t="s">
        <v>620</v>
      </c>
      <c r="K3" s="10">
        <v>1.0</v>
      </c>
      <c r="L3" s="10" t="s">
        <v>619</v>
      </c>
      <c r="M3" s="10" t="s">
        <v>615</v>
      </c>
      <c r="N3" s="34" t="s">
        <v>621</v>
      </c>
      <c r="O3" s="10">
        <v>0.0</v>
      </c>
      <c r="P3" s="10" t="s">
        <v>619</v>
      </c>
      <c r="Q3" s="10" t="s">
        <v>613</v>
      </c>
      <c r="R3" s="10" t="s">
        <v>622</v>
      </c>
      <c r="S3" s="10">
        <v>0.0</v>
      </c>
      <c r="T3" s="10" t="s">
        <v>619</v>
      </c>
      <c r="U3" s="10" t="s">
        <v>615</v>
      </c>
      <c r="V3" s="34" t="s">
        <v>623</v>
      </c>
      <c r="W3" s="10">
        <v>0.0</v>
      </c>
      <c r="X3" s="10" t="s">
        <v>619</v>
      </c>
      <c r="Y3" s="10" t="s">
        <v>613</v>
      </c>
      <c r="Z3" s="34" t="s">
        <v>624</v>
      </c>
      <c r="AA3" s="10">
        <v>0.0</v>
      </c>
      <c r="AB3" s="10" t="s">
        <v>619</v>
      </c>
      <c r="AC3" s="10" t="s">
        <v>615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3.25"/>
    <col customWidth="1" min="4" max="6" width="12.63"/>
  </cols>
  <sheetData>
    <row r="1" ht="15.75" customHeight="1">
      <c r="A1" s="35" t="s">
        <v>0</v>
      </c>
      <c r="B1" s="35" t="s">
        <v>1</v>
      </c>
      <c r="C1" s="24" t="s">
        <v>2</v>
      </c>
      <c r="D1" s="24" t="s">
        <v>625</v>
      </c>
      <c r="E1" s="24" t="s">
        <v>626</v>
      </c>
      <c r="F1" s="24" t="s">
        <v>1</v>
      </c>
      <c r="G1" s="25" t="s">
        <v>627</v>
      </c>
      <c r="H1" s="26" t="s">
        <v>628</v>
      </c>
      <c r="I1" s="25" t="s">
        <v>629</v>
      </c>
      <c r="J1" s="26" t="s">
        <v>630</v>
      </c>
      <c r="K1" s="25" t="s">
        <v>631</v>
      </c>
      <c r="L1" s="26" t="s">
        <v>632</v>
      </c>
      <c r="M1" s="25" t="s">
        <v>633</v>
      </c>
      <c r="N1" s="26" t="s">
        <v>634</v>
      </c>
      <c r="O1" s="25" t="s">
        <v>635</v>
      </c>
      <c r="P1" s="26" t="s">
        <v>636</v>
      </c>
      <c r="Q1" s="36" t="s">
        <v>637</v>
      </c>
      <c r="R1" s="25" t="s">
        <v>7</v>
      </c>
      <c r="S1" s="6"/>
      <c r="T1" s="6"/>
      <c r="U1" s="6"/>
      <c r="V1" s="6"/>
      <c r="W1" s="6"/>
      <c r="X1" s="6"/>
      <c r="Y1" s="6"/>
      <c r="Z1" s="6"/>
      <c r="AA1" s="6"/>
    </row>
    <row r="2" ht="15.75" customHeight="1">
      <c r="A2" s="5">
        <v>1155.0</v>
      </c>
      <c r="B2" s="6" t="s">
        <v>48</v>
      </c>
      <c r="C2" s="5" t="str">
        <f t="shared" ref="C2:C8" si="1">CONCATENATE(D2,"_",E2,"_",F2)</f>
        <v>HDS-01_HCD-OPENED-TYP1_TANKFARM TK11 12 MS</v>
      </c>
      <c r="D2" s="37" t="s">
        <v>638</v>
      </c>
      <c r="E2" s="38" t="s">
        <v>639</v>
      </c>
      <c r="F2" s="38" t="s">
        <v>640</v>
      </c>
      <c r="G2" s="11" t="s">
        <v>641</v>
      </c>
      <c r="H2" s="11">
        <v>0.0</v>
      </c>
      <c r="I2" s="11" t="s">
        <v>642</v>
      </c>
      <c r="J2" s="11">
        <v>0.0</v>
      </c>
      <c r="K2" s="11" t="s">
        <v>643</v>
      </c>
      <c r="L2" s="11">
        <v>0.0</v>
      </c>
      <c r="M2" s="11" t="s">
        <v>644</v>
      </c>
      <c r="N2" s="11">
        <v>0.0</v>
      </c>
      <c r="O2" s="11" t="s">
        <v>645</v>
      </c>
      <c r="P2" s="11">
        <v>0.0</v>
      </c>
      <c r="Q2" s="9" t="s">
        <v>646</v>
      </c>
      <c r="R2" s="39">
        <v>0.0</v>
      </c>
      <c r="S2" s="6"/>
      <c r="T2" s="6"/>
      <c r="U2" s="6"/>
      <c r="V2" s="6"/>
      <c r="W2" s="6"/>
      <c r="X2" s="6"/>
      <c r="Y2" s="6"/>
      <c r="Z2" s="6"/>
      <c r="AA2" s="6"/>
    </row>
    <row r="3" ht="15.75" customHeight="1">
      <c r="A3" s="5">
        <v>1155.0</v>
      </c>
      <c r="B3" s="6" t="s">
        <v>48</v>
      </c>
      <c r="C3" s="5" t="str">
        <f t="shared" si="1"/>
        <v>HDS-02_HCD-OPENED-TYP2_TTL PUM HOUSE</v>
      </c>
      <c r="D3" s="37" t="s">
        <v>647</v>
      </c>
      <c r="E3" s="38" t="s">
        <v>648</v>
      </c>
      <c r="F3" s="38" t="s">
        <v>649</v>
      </c>
      <c r="G3" s="17" t="s">
        <v>650</v>
      </c>
      <c r="H3" s="17">
        <v>0.0</v>
      </c>
      <c r="I3" s="17" t="s">
        <v>651</v>
      </c>
      <c r="J3" s="17">
        <v>0.0</v>
      </c>
      <c r="K3" s="17" t="s">
        <v>652</v>
      </c>
      <c r="L3" s="17">
        <v>0.0</v>
      </c>
      <c r="M3" s="17" t="s">
        <v>653</v>
      </c>
      <c r="N3" s="17">
        <v>0.0</v>
      </c>
      <c r="O3" s="17" t="s">
        <v>654</v>
      </c>
      <c r="P3" s="17">
        <v>0.0</v>
      </c>
      <c r="Q3" s="9" t="s">
        <v>646</v>
      </c>
      <c r="R3" s="39">
        <v>0.0</v>
      </c>
      <c r="S3" s="6"/>
      <c r="T3" s="6"/>
      <c r="U3" s="6"/>
      <c r="V3" s="6"/>
      <c r="W3" s="6"/>
      <c r="X3" s="6"/>
      <c r="Y3" s="6"/>
      <c r="Z3" s="6"/>
      <c r="AA3" s="6"/>
    </row>
    <row r="4" ht="15.75" customHeight="1">
      <c r="A4" s="5">
        <v>1155.0</v>
      </c>
      <c r="B4" s="6" t="s">
        <v>48</v>
      </c>
      <c r="C4" s="5" t="str">
        <f t="shared" si="1"/>
        <v>HDS-03_HCD-OPENED-TYP3_PLT PUMP HOUSE</v>
      </c>
      <c r="D4" s="37" t="s">
        <v>655</v>
      </c>
      <c r="E4" s="38" t="s">
        <v>656</v>
      </c>
      <c r="F4" s="38" t="s">
        <v>657</v>
      </c>
      <c r="G4" s="17" t="s">
        <v>658</v>
      </c>
      <c r="H4" s="17">
        <v>0.0</v>
      </c>
      <c r="I4" s="17" t="s">
        <v>659</v>
      </c>
      <c r="J4" s="17">
        <v>0.0</v>
      </c>
      <c r="K4" s="17" t="s">
        <v>660</v>
      </c>
      <c r="L4" s="17">
        <v>0.0</v>
      </c>
      <c r="M4" s="17" t="s">
        <v>661</v>
      </c>
      <c r="N4" s="17">
        <v>0.0</v>
      </c>
      <c r="O4" s="17" t="s">
        <v>662</v>
      </c>
      <c r="P4" s="17">
        <v>0.0</v>
      </c>
      <c r="Q4" s="9" t="s">
        <v>646</v>
      </c>
      <c r="R4" s="39">
        <v>0.0</v>
      </c>
      <c r="S4" s="6"/>
      <c r="T4" s="6"/>
      <c r="U4" s="6"/>
      <c r="V4" s="6"/>
      <c r="W4" s="6"/>
      <c r="X4" s="6"/>
      <c r="Y4" s="6"/>
      <c r="Z4" s="6"/>
      <c r="AA4" s="6"/>
    </row>
    <row r="5" ht="15.75" customHeight="1">
      <c r="A5" s="5">
        <v>1155.0</v>
      </c>
      <c r="B5" s="6" t="s">
        <v>48</v>
      </c>
      <c r="C5" s="5" t="str">
        <f t="shared" si="1"/>
        <v>HDS-04_HCD-FIXED-TYP1_TANKFARM TK-11 MS</v>
      </c>
      <c r="D5" s="37" t="s">
        <v>663</v>
      </c>
      <c r="E5" s="38" t="s">
        <v>664</v>
      </c>
      <c r="F5" s="38" t="s">
        <v>665</v>
      </c>
      <c r="G5" s="17" t="s">
        <v>666</v>
      </c>
      <c r="H5" s="17">
        <v>0.0</v>
      </c>
      <c r="I5" s="17" t="s">
        <v>667</v>
      </c>
      <c r="J5" s="17">
        <v>0.0</v>
      </c>
      <c r="K5" s="17" t="s">
        <v>668</v>
      </c>
      <c r="L5" s="17">
        <v>0.0</v>
      </c>
      <c r="M5" s="17" t="s">
        <v>669</v>
      </c>
      <c r="N5" s="17">
        <v>0.0</v>
      </c>
      <c r="O5" s="17" t="s">
        <v>670</v>
      </c>
      <c r="P5" s="17">
        <v>0.0</v>
      </c>
      <c r="Q5" s="9" t="s">
        <v>646</v>
      </c>
      <c r="R5" s="39">
        <v>0.0</v>
      </c>
      <c r="S5" s="6"/>
      <c r="T5" s="6"/>
      <c r="U5" s="6"/>
      <c r="V5" s="6"/>
      <c r="W5" s="6"/>
      <c r="X5" s="6"/>
      <c r="Y5" s="6"/>
      <c r="Z5" s="6"/>
      <c r="AA5" s="6"/>
    </row>
    <row r="6" ht="15.75" customHeight="1">
      <c r="A6" s="5">
        <v>1155.0</v>
      </c>
      <c r="B6" s="6" t="s">
        <v>48</v>
      </c>
      <c r="C6" s="5" t="str">
        <f t="shared" si="1"/>
        <v>HDS-07_HCD-FIXED-TYP4_TLF PUMP HOUSE</v>
      </c>
      <c r="D6" s="37" t="s">
        <v>671</v>
      </c>
      <c r="E6" s="38" t="s">
        <v>672</v>
      </c>
      <c r="F6" s="38" t="s">
        <v>673</v>
      </c>
      <c r="G6" s="17" t="s">
        <v>674</v>
      </c>
      <c r="H6" s="17">
        <v>0.0</v>
      </c>
      <c r="I6" s="17" t="s">
        <v>675</v>
      </c>
      <c r="J6" s="17">
        <v>0.0</v>
      </c>
      <c r="K6" s="17" t="s">
        <v>676</v>
      </c>
      <c r="L6" s="17">
        <v>0.0</v>
      </c>
      <c r="M6" s="17" t="s">
        <v>677</v>
      </c>
      <c r="N6" s="17">
        <v>0.0</v>
      </c>
      <c r="O6" s="17" t="s">
        <v>678</v>
      </c>
      <c r="P6" s="17">
        <v>0.0</v>
      </c>
      <c r="Q6" s="9" t="s">
        <v>646</v>
      </c>
      <c r="R6" s="39">
        <v>0.0</v>
      </c>
      <c r="S6" s="6"/>
      <c r="T6" s="6"/>
      <c r="U6" s="6"/>
      <c r="V6" s="6"/>
      <c r="W6" s="6"/>
      <c r="X6" s="6"/>
      <c r="Y6" s="6"/>
      <c r="Z6" s="6"/>
      <c r="AA6" s="6"/>
    </row>
    <row r="7" ht="15.75" customHeight="1">
      <c r="A7" s="5">
        <v>1155.0</v>
      </c>
      <c r="B7" s="6" t="s">
        <v>48</v>
      </c>
      <c r="C7" s="5" t="str">
        <f t="shared" si="1"/>
        <v>HDS-08_HCD-OPEN-TYPE_NEAR TANK-8</v>
      </c>
      <c r="D7" s="37" t="s">
        <v>679</v>
      </c>
      <c r="E7" s="38" t="s">
        <v>680</v>
      </c>
      <c r="F7" s="38" t="s">
        <v>681</v>
      </c>
      <c r="G7" s="17" t="s">
        <v>682</v>
      </c>
      <c r="H7" s="17">
        <v>0.0</v>
      </c>
      <c r="I7" s="17" t="s">
        <v>683</v>
      </c>
      <c r="J7" s="17">
        <v>0.0</v>
      </c>
      <c r="K7" s="17" t="s">
        <v>684</v>
      </c>
      <c r="L7" s="17">
        <v>0.0</v>
      </c>
      <c r="M7" s="17" t="s">
        <v>685</v>
      </c>
      <c r="N7" s="17">
        <v>0.0</v>
      </c>
      <c r="O7" s="17" t="s">
        <v>686</v>
      </c>
      <c r="P7" s="17">
        <v>0.0</v>
      </c>
      <c r="Q7" s="9" t="s">
        <v>646</v>
      </c>
      <c r="R7" s="39">
        <v>0.0</v>
      </c>
      <c r="S7" s="6"/>
      <c r="T7" s="6"/>
      <c r="U7" s="6"/>
      <c r="V7" s="6"/>
      <c r="W7" s="6"/>
      <c r="X7" s="6"/>
      <c r="Y7" s="6"/>
      <c r="Z7" s="6"/>
      <c r="AA7" s="6"/>
    </row>
    <row r="8" ht="15.75" customHeight="1">
      <c r="A8" s="5">
        <v>1155.0</v>
      </c>
      <c r="B8" s="6" t="s">
        <v>48</v>
      </c>
      <c r="C8" s="5" t="str">
        <f t="shared" si="1"/>
        <v>HDS-09_HCD-FIXED-TYPE_NEAR TANK-8</v>
      </c>
      <c r="D8" s="37" t="s">
        <v>687</v>
      </c>
      <c r="E8" s="38" t="s">
        <v>688</v>
      </c>
      <c r="F8" s="38" t="s">
        <v>681</v>
      </c>
      <c r="G8" s="17" t="s">
        <v>689</v>
      </c>
      <c r="H8" s="17">
        <v>0.0</v>
      </c>
      <c r="I8" s="17" t="s">
        <v>690</v>
      </c>
      <c r="J8" s="17">
        <v>0.0</v>
      </c>
      <c r="K8" s="17" t="s">
        <v>691</v>
      </c>
      <c r="L8" s="17">
        <v>0.0</v>
      </c>
      <c r="M8" s="17" t="s">
        <v>692</v>
      </c>
      <c r="N8" s="17">
        <v>0.0</v>
      </c>
      <c r="O8" s="17" t="s">
        <v>693</v>
      </c>
      <c r="P8" s="17">
        <v>0.0</v>
      </c>
      <c r="Q8" s="9" t="s">
        <v>646</v>
      </c>
      <c r="R8" s="39">
        <v>0.0</v>
      </c>
      <c r="S8" s="6"/>
      <c r="T8" s="6"/>
      <c r="U8" s="6"/>
      <c r="V8" s="6"/>
      <c r="W8" s="6"/>
      <c r="X8" s="6"/>
      <c r="Y8" s="6"/>
      <c r="Z8" s="6"/>
      <c r="AA8" s="6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4" t="s">
        <v>0</v>
      </c>
      <c r="B1" s="24" t="s">
        <v>1</v>
      </c>
      <c r="C1" s="24" t="s">
        <v>694</v>
      </c>
      <c r="D1" s="25" t="s">
        <v>695</v>
      </c>
      <c r="E1" s="26" t="s">
        <v>696</v>
      </c>
      <c r="F1" s="40" t="s">
        <v>697</v>
      </c>
      <c r="G1" s="6" t="s">
        <v>7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5">
        <v>1155.0</v>
      </c>
      <c r="B2" s="29" t="s">
        <v>48</v>
      </c>
      <c r="C2" s="41" t="s">
        <v>698</v>
      </c>
      <c r="D2" s="11" t="s">
        <v>699</v>
      </c>
      <c r="E2" s="11">
        <v>0.0</v>
      </c>
      <c r="F2" s="9" t="s">
        <v>700</v>
      </c>
      <c r="G2" s="39">
        <v>0.0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5">
        <v>1155.0</v>
      </c>
      <c r="B3" s="29" t="s">
        <v>48</v>
      </c>
      <c r="C3" s="41" t="s">
        <v>701</v>
      </c>
      <c r="D3" s="17" t="s">
        <v>702</v>
      </c>
      <c r="E3" s="17">
        <v>0.0</v>
      </c>
      <c r="F3" s="9" t="s">
        <v>700</v>
      </c>
      <c r="G3" s="39">
        <v>0.0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4" t="s">
        <v>0</v>
      </c>
      <c r="B1" s="24" t="s">
        <v>1</v>
      </c>
      <c r="C1" s="24" t="s">
        <v>703</v>
      </c>
      <c r="D1" s="25" t="s">
        <v>704</v>
      </c>
      <c r="E1" s="26" t="s">
        <v>705</v>
      </c>
      <c r="F1" s="25" t="s">
        <v>706</v>
      </c>
      <c r="G1" s="26" t="s">
        <v>707</v>
      </c>
      <c r="H1" s="25" t="s">
        <v>708</v>
      </c>
      <c r="I1" s="26" t="s">
        <v>7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5">
        <v>1155.0</v>
      </c>
      <c r="B2" s="29" t="s">
        <v>48</v>
      </c>
      <c r="C2" s="5" t="s">
        <v>709</v>
      </c>
      <c r="D2" s="11" t="s">
        <v>710</v>
      </c>
      <c r="E2" s="11">
        <v>0.0</v>
      </c>
      <c r="F2" s="11" t="s">
        <v>711</v>
      </c>
      <c r="G2" s="11">
        <v>0.0</v>
      </c>
      <c r="H2" s="11" t="s">
        <v>712</v>
      </c>
      <c r="I2" s="11">
        <v>1.0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5">
        <v>1155.0</v>
      </c>
      <c r="B3" s="29" t="s">
        <v>48</v>
      </c>
      <c r="C3" s="5" t="s">
        <v>713</v>
      </c>
      <c r="D3" s="17" t="s">
        <v>714</v>
      </c>
      <c r="E3" s="17">
        <v>0.0</v>
      </c>
      <c r="F3" s="17" t="s">
        <v>715</v>
      </c>
      <c r="G3" s="17">
        <v>0.0</v>
      </c>
      <c r="H3" s="17" t="s">
        <v>716</v>
      </c>
      <c r="I3" s="17">
        <v>1.0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4" t="s">
        <v>0</v>
      </c>
      <c r="B1" s="24" t="s">
        <v>1</v>
      </c>
      <c r="C1" s="24" t="s">
        <v>2</v>
      </c>
      <c r="D1" s="24" t="s">
        <v>717</v>
      </c>
      <c r="E1" s="24" t="s">
        <v>718</v>
      </c>
      <c r="F1" s="25" t="s">
        <v>719</v>
      </c>
      <c r="G1" s="26" t="s">
        <v>720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5.75" customHeight="1">
      <c r="A2" s="5">
        <v>1155.0</v>
      </c>
      <c r="B2" s="29" t="s">
        <v>48</v>
      </c>
      <c r="C2" s="5" t="str">
        <f t="shared" ref="C2:C10" si="1">CONCATENATE(D2,"_",E2)</f>
        <v>HOOTER1_ANY_HOOTER_FOR_HCD_FIELD</v>
      </c>
      <c r="D2" s="5" t="s">
        <v>721</v>
      </c>
      <c r="E2" s="42" t="s">
        <v>722</v>
      </c>
      <c r="F2" s="12" t="s">
        <v>723</v>
      </c>
      <c r="G2" s="11">
        <v>0.0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15.75" customHeight="1">
      <c r="A3" s="5">
        <v>1155.0</v>
      </c>
      <c r="B3" s="29" t="s">
        <v>48</v>
      </c>
      <c r="C3" s="5" t="str">
        <f t="shared" si="1"/>
        <v>HOOTER2_ACK_STATUS</v>
      </c>
      <c r="D3" s="5" t="s">
        <v>724</v>
      </c>
      <c r="E3" s="38" t="s">
        <v>725</v>
      </c>
      <c r="F3" s="18" t="s">
        <v>726</v>
      </c>
      <c r="G3" s="17">
        <v>0.0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15.75" customHeight="1">
      <c r="A4" s="5">
        <v>1155.0</v>
      </c>
      <c r="B4" s="29" t="s">
        <v>48</v>
      </c>
      <c r="C4" s="5" t="str">
        <f t="shared" si="1"/>
        <v>HOOTER3_FIELD_1</v>
      </c>
      <c r="D4" s="5" t="s">
        <v>727</v>
      </c>
      <c r="E4" s="38" t="s">
        <v>728</v>
      </c>
      <c r="F4" s="18" t="s">
        <v>729</v>
      </c>
      <c r="G4" s="17">
        <v>0.0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15.75" customHeight="1">
      <c r="A5" s="5">
        <v>1155.0</v>
      </c>
      <c r="B5" s="29" t="s">
        <v>48</v>
      </c>
      <c r="C5" s="5" t="str">
        <f t="shared" si="1"/>
        <v>HOOTER4_FIELD_2</v>
      </c>
      <c r="D5" s="5" t="s">
        <v>730</v>
      </c>
      <c r="E5" s="38" t="s">
        <v>731</v>
      </c>
      <c r="F5" s="18" t="s">
        <v>732</v>
      </c>
      <c r="G5" s="17">
        <v>0.0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15.75" customHeight="1">
      <c r="A6" s="5">
        <v>1155.0</v>
      </c>
      <c r="B6" s="29" t="s">
        <v>48</v>
      </c>
      <c r="C6" s="5" t="str">
        <f t="shared" si="1"/>
        <v>HOOTER5_FIELD_3</v>
      </c>
      <c r="D6" s="5" t="s">
        <v>733</v>
      </c>
      <c r="E6" s="38" t="s">
        <v>734</v>
      </c>
      <c r="F6" s="18" t="s">
        <v>735</v>
      </c>
      <c r="G6" s="17">
        <v>0.0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15.75" customHeight="1">
      <c r="A7" s="5">
        <v>1155.0</v>
      </c>
      <c r="B7" s="29" t="s">
        <v>48</v>
      </c>
      <c r="C7" s="5" t="str">
        <f t="shared" si="1"/>
        <v>HOOTER6_FOR_ESD_CR</v>
      </c>
      <c r="D7" s="5" t="s">
        <v>736</v>
      </c>
      <c r="E7" s="38" t="s">
        <v>737</v>
      </c>
      <c r="F7" s="18" t="s">
        <v>738</v>
      </c>
      <c r="G7" s="17">
        <v>0.0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15.75" customHeight="1">
      <c r="A8" s="5">
        <v>1155.0</v>
      </c>
      <c r="B8" s="29" t="s">
        <v>48</v>
      </c>
      <c r="C8" s="5" t="str">
        <f t="shared" si="1"/>
        <v>HOOTER7_FOR_HC_CR</v>
      </c>
      <c r="D8" s="5" t="s">
        <v>739</v>
      </c>
      <c r="E8" s="38" t="s">
        <v>740</v>
      </c>
      <c r="F8" s="18" t="s">
        <v>646</v>
      </c>
      <c r="G8" s="17">
        <v>0.0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15.75" customHeight="1">
      <c r="A9" s="5">
        <v>1155.0</v>
      </c>
      <c r="B9" s="29" t="s">
        <v>48</v>
      </c>
      <c r="C9" s="5" t="str">
        <f t="shared" si="1"/>
        <v>HOOTER8_FOR_RIMSEAL_CR</v>
      </c>
      <c r="D9" s="5" t="s">
        <v>741</v>
      </c>
      <c r="E9" s="38" t="s">
        <v>742</v>
      </c>
      <c r="F9" s="18" t="s">
        <v>743</v>
      </c>
      <c r="G9" s="17">
        <v>0.0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15.75" customHeight="1">
      <c r="A10" s="5">
        <v>1155.0</v>
      </c>
      <c r="B10" s="29" t="s">
        <v>48</v>
      </c>
      <c r="C10" s="5" t="str">
        <f t="shared" si="1"/>
        <v>HOOTER9_RESET_STATUS</v>
      </c>
      <c r="D10" s="5" t="s">
        <v>744</v>
      </c>
      <c r="E10" s="38" t="s">
        <v>745</v>
      </c>
      <c r="F10" s="18" t="s">
        <v>746</v>
      </c>
      <c r="G10" s="17">
        <v>0.0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4" t="s">
        <v>0</v>
      </c>
      <c r="B1" s="24" t="s">
        <v>1</v>
      </c>
      <c r="C1" s="24" t="s">
        <v>2</v>
      </c>
      <c r="D1" s="24" t="s">
        <v>747</v>
      </c>
      <c r="E1" s="24" t="s">
        <v>748</v>
      </c>
      <c r="F1" s="24" t="s">
        <v>1</v>
      </c>
      <c r="G1" s="27" t="s">
        <v>749</v>
      </c>
      <c r="H1" s="28" t="s">
        <v>750</v>
      </c>
      <c r="I1" s="27" t="s">
        <v>751</v>
      </c>
      <c r="J1" s="28" t="s">
        <v>752</v>
      </c>
      <c r="K1" s="43" t="s">
        <v>753</v>
      </c>
      <c r="L1" s="43" t="s">
        <v>754</v>
      </c>
      <c r="M1" s="43" t="s">
        <v>755</v>
      </c>
      <c r="N1" s="43" t="s">
        <v>756</v>
      </c>
      <c r="O1" s="43" t="s">
        <v>757</v>
      </c>
      <c r="P1" s="43" t="s">
        <v>758</v>
      </c>
      <c r="Q1" s="43" t="s">
        <v>759</v>
      </c>
      <c r="R1" s="43" t="s">
        <v>760</v>
      </c>
      <c r="S1" s="43" t="s">
        <v>761</v>
      </c>
      <c r="T1" s="43" t="s">
        <v>762</v>
      </c>
      <c r="U1" s="43" t="s">
        <v>763</v>
      </c>
      <c r="V1" s="43" t="s">
        <v>764</v>
      </c>
      <c r="W1" s="43" t="s">
        <v>765</v>
      </c>
      <c r="X1" s="43" t="s">
        <v>766</v>
      </c>
      <c r="Y1" s="43" t="s">
        <v>767</v>
      </c>
      <c r="Z1" s="43" t="s">
        <v>768</v>
      </c>
      <c r="AA1" s="43" t="s">
        <v>769</v>
      </c>
      <c r="AB1" s="43" t="s">
        <v>770</v>
      </c>
      <c r="AC1" s="43" t="s">
        <v>771</v>
      </c>
      <c r="AD1" s="43" t="s">
        <v>772</v>
      </c>
      <c r="AE1" s="43" t="s">
        <v>773</v>
      </c>
      <c r="AF1" s="43" t="s">
        <v>774</v>
      </c>
    </row>
    <row r="2" ht="15.75" customHeight="1">
      <c r="A2" s="5">
        <v>1155.0</v>
      </c>
      <c r="B2" s="29" t="s">
        <v>48</v>
      </c>
      <c r="C2" s="5" t="str">
        <f t="shared" ref="C2:C21" si="1">CONCATENATE(D2,"_",F2)</f>
        <v>ESD-01_INSIDE CONTROLROOM</v>
      </c>
      <c r="D2" s="37" t="s">
        <v>775</v>
      </c>
      <c r="E2" s="38" t="s">
        <v>776</v>
      </c>
      <c r="F2" s="38" t="s">
        <v>777</v>
      </c>
      <c r="G2" s="11" t="s">
        <v>778</v>
      </c>
      <c r="H2" s="11">
        <v>0.0</v>
      </c>
      <c r="I2" s="11" t="s">
        <v>779</v>
      </c>
      <c r="J2" s="11">
        <v>0.0</v>
      </c>
      <c r="K2" s="9" t="s">
        <v>780</v>
      </c>
      <c r="L2" s="5">
        <v>0.0</v>
      </c>
      <c r="M2" s="9" t="s">
        <v>781</v>
      </c>
      <c r="N2" s="5">
        <v>0.0</v>
      </c>
      <c r="O2" s="9" t="s">
        <v>782</v>
      </c>
      <c r="P2" s="5">
        <v>0.0</v>
      </c>
      <c r="Q2" s="9" t="s">
        <v>783</v>
      </c>
      <c r="R2" s="5">
        <v>0.0</v>
      </c>
      <c r="S2" s="9" t="s">
        <v>784</v>
      </c>
      <c r="T2" s="5">
        <v>0.0</v>
      </c>
      <c r="U2" s="9" t="s">
        <v>785</v>
      </c>
      <c r="V2" s="5">
        <v>0.0</v>
      </c>
      <c r="W2" s="9" t="s">
        <v>786</v>
      </c>
      <c r="X2" s="5">
        <v>0.0</v>
      </c>
      <c r="Y2" s="9" t="s">
        <v>787</v>
      </c>
      <c r="Z2" s="5">
        <v>0.0</v>
      </c>
      <c r="AA2" s="9" t="s">
        <v>738</v>
      </c>
      <c r="AB2" s="5">
        <v>0.0</v>
      </c>
      <c r="AC2" s="9" t="s">
        <v>788</v>
      </c>
      <c r="AD2" s="5">
        <v>0.0</v>
      </c>
      <c r="AE2" s="9" t="s">
        <v>789</v>
      </c>
      <c r="AF2" s="39">
        <v>0.0</v>
      </c>
    </row>
    <row r="3" ht="15.75" customHeight="1">
      <c r="A3" s="5">
        <v>1155.0</v>
      </c>
      <c r="B3" s="29" t="s">
        <v>48</v>
      </c>
      <c r="C3" s="5" t="str">
        <f t="shared" si="1"/>
        <v>ESD-02_MCC ROOM</v>
      </c>
      <c r="D3" s="37" t="s">
        <v>790</v>
      </c>
      <c r="E3" s="38" t="s">
        <v>791</v>
      </c>
      <c r="F3" s="38" t="s">
        <v>792</v>
      </c>
      <c r="G3" s="17" t="s">
        <v>793</v>
      </c>
      <c r="H3" s="17">
        <v>0.0</v>
      </c>
      <c r="I3" s="17" t="s">
        <v>794</v>
      </c>
      <c r="J3" s="17">
        <v>0.0</v>
      </c>
      <c r="K3" s="9" t="s">
        <v>780</v>
      </c>
      <c r="L3" s="5">
        <v>0.0</v>
      </c>
      <c r="M3" s="9" t="s">
        <v>781</v>
      </c>
      <c r="N3" s="5">
        <v>0.0</v>
      </c>
      <c r="O3" s="9" t="s">
        <v>782</v>
      </c>
      <c r="P3" s="5">
        <v>0.0</v>
      </c>
      <c r="Q3" s="9" t="s">
        <v>783</v>
      </c>
      <c r="R3" s="5">
        <v>0.0</v>
      </c>
      <c r="S3" s="9" t="s">
        <v>784</v>
      </c>
      <c r="T3" s="5">
        <v>0.0</v>
      </c>
      <c r="U3" s="9" t="s">
        <v>785</v>
      </c>
      <c r="V3" s="5">
        <v>0.0</v>
      </c>
      <c r="W3" s="9" t="s">
        <v>786</v>
      </c>
      <c r="X3" s="5">
        <v>0.0</v>
      </c>
      <c r="Y3" s="9" t="s">
        <v>787</v>
      </c>
      <c r="Z3" s="5">
        <v>0.0</v>
      </c>
      <c r="AA3" s="9" t="s">
        <v>738</v>
      </c>
      <c r="AB3" s="5">
        <v>0.0</v>
      </c>
      <c r="AC3" s="9" t="s">
        <v>788</v>
      </c>
      <c r="AD3" s="5">
        <v>0.0</v>
      </c>
      <c r="AE3" s="9" t="s">
        <v>789</v>
      </c>
      <c r="AF3" s="39">
        <v>0.0</v>
      </c>
    </row>
    <row r="4" ht="15.75" customHeight="1">
      <c r="A4" s="5">
        <v>1155.0</v>
      </c>
      <c r="B4" s="29" t="s">
        <v>48</v>
      </c>
      <c r="C4" s="5" t="str">
        <f t="shared" si="1"/>
        <v>ESD-03_SECURITY ROOM</v>
      </c>
      <c r="D4" s="37" t="s">
        <v>795</v>
      </c>
      <c r="E4" s="38" t="s">
        <v>796</v>
      </c>
      <c r="F4" s="38" t="s">
        <v>797</v>
      </c>
      <c r="G4" s="17" t="s">
        <v>798</v>
      </c>
      <c r="H4" s="17">
        <v>0.0</v>
      </c>
      <c r="I4" s="17" t="s">
        <v>799</v>
      </c>
      <c r="J4" s="17">
        <v>0.0</v>
      </c>
      <c r="K4" s="9" t="s">
        <v>780</v>
      </c>
      <c r="L4" s="5">
        <v>0.0</v>
      </c>
      <c r="M4" s="9" t="s">
        <v>781</v>
      </c>
      <c r="N4" s="5">
        <v>0.0</v>
      </c>
      <c r="O4" s="9" t="s">
        <v>782</v>
      </c>
      <c r="P4" s="5">
        <v>0.0</v>
      </c>
      <c r="Q4" s="9" t="s">
        <v>783</v>
      </c>
      <c r="R4" s="5">
        <v>0.0</v>
      </c>
      <c r="S4" s="9" t="s">
        <v>784</v>
      </c>
      <c r="T4" s="5">
        <v>0.0</v>
      </c>
      <c r="U4" s="9" t="s">
        <v>785</v>
      </c>
      <c r="V4" s="5">
        <v>0.0</v>
      </c>
      <c r="W4" s="9" t="s">
        <v>786</v>
      </c>
      <c r="X4" s="5">
        <v>0.0</v>
      </c>
      <c r="Y4" s="9" t="s">
        <v>787</v>
      </c>
      <c r="Z4" s="5">
        <v>0.0</v>
      </c>
      <c r="AA4" s="9" t="s">
        <v>738</v>
      </c>
      <c r="AB4" s="5">
        <v>0.0</v>
      </c>
      <c r="AC4" s="9" t="s">
        <v>788</v>
      </c>
      <c r="AD4" s="5">
        <v>0.0</v>
      </c>
      <c r="AE4" s="9" t="s">
        <v>789</v>
      </c>
      <c r="AF4" s="39">
        <v>0.0</v>
      </c>
    </row>
    <row r="5" ht="15.75" customHeight="1">
      <c r="A5" s="5">
        <v>1155.0</v>
      </c>
      <c r="B5" s="29" t="s">
        <v>48</v>
      </c>
      <c r="C5" s="5" t="str">
        <f t="shared" si="1"/>
        <v>ESD-04_PLT PUMP HOUSE</v>
      </c>
      <c r="D5" s="37" t="s">
        <v>800</v>
      </c>
      <c r="E5" s="38" t="s">
        <v>801</v>
      </c>
      <c r="F5" s="38" t="s">
        <v>657</v>
      </c>
      <c r="G5" s="17" t="s">
        <v>802</v>
      </c>
      <c r="H5" s="17">
        <v>0.0</v>
      </c>
      <c r="I5" s="17" t="s">
        <v>803</v>
      </c>
      <c r="J5" s="17">
        <v>0.0</v>
      </c>
      <c r="K5" s="9" t="s">
        <v>780</v>
      </c>
      <c r="L5" s="5">
        <v>0.0</v>
      </c>
      <c r="M5" s="9" t="s">
        <v>781</v>
      </c>
      <c r="N5" s="5">
        <v>0.0</v>
      </c>
      <c r="O5" s="9" t="s">
        <v>782</v>
      </c>
      <c r="P5" s="5">
        <v>0.0</v>
      </c>
      <c r="Q5" s="9" t="s">
        <v>783</v>
      </c>
      <c r="R5" s="5">
        <v>0.0</v>
      </c>
      <c r="S5" s="9" t="s">
        <v>784</v>
      </c>
      <c r="T5" s="5">
        <v>0.0</v>
      </c>
      <c r="U5" s="9" t="s">
        <v>785</v>
      </c>
      <c r="V5" s="5">
        <v>0.0</v>
      </c>
      <c r="W5" s="9" t="s">
        <v>786</v>
      </c>
      <c r="X5" s="5">
        <v>0.0</v>
      </c>
      <c r="Y5" s="9" t="s">
        <v>787</v>
      </c>
      <c r="Z5" s="5">
        <v>0.0</v>
      </c>
      <c r="AA5" s="9" t="s">
        <v>738</v>
      </c>
      <c r="AB5" s="5">
        <v>0.0</v>
      </c>
      <c r="AC5" s="9" t="s">
        <v>788</v>
      </c>
      <c r="AD5" s="5">
        <v>0.0</v>
      </c>
      <c r="AE5" s="9" t="s">
        <v>789</v>
      </c>
      <c r="AF5" s="39">
        <v>0.0</v>
      </c>
    </row>
    <row r="6" ht="15.75" customHeight="1">
      <c r="A6" s="5">
        <v>1155.0</v>
      </c>
      <c r="B6" s="29" t="s">
        <v>48</v>
      </c>
      <c r="C6" s="5" t="str">
        <f t="shared" si="1"/>
        <v>ESD-05_LOCATION IN CHARGE ROOM</v>
      </c>
      <c r="D6" s="37" t="s">
        <v>804</v>
      </c>
      <c r="E6" s="38" t="s">
        <v>805</v>
      </c>
      <c r="F6" s="38" t="s">
        <v>806</v>
      </c>
      <c r="G6" s="17" t="s">
        <v>807</v>
      </c>
      <c r="H6" s="17">
        <v>0.0</v>
      </c>
      <c r="I6" s="17" t="s">
        <v>808</v>
      </c>
      <c r="J6" s="17">
        <v>0.0</v>
      </c>
      <c r="K6" s="9" t="s">
        <v>780</v>
      </c>
      <c r="L6" s="5">
        <v>0.0</v>
      </c>
      <c r="M6" s="9" t="s">
        <v>781</v>
      </c>
      <c r="N6" s="5">
        <v>0.0</v>
      </c>
      <c r="O6" s="9" t="s">
        <v>782</v>
      </c>
      <c r="P6" s="5">
        <v>0.0</v>
      </c>
      <c r="Q6" s="9" t="s">
        <v>783</v>
      </c>
      <c r="R6" s="5">
        <v>0.0</v>
      </c>
      <c r="S6" s="9" t="s">
        <v>784</v>
      </c>
      <c r="T6" s="5">
        <v>0.0</v>
      </c>
      <c r="U6" s="9" t="s">
        <v>785</v>
      </c>
      <c r="V6" s="5">
        <v>0.0</v>
      </c>
      <c r="W6" s="9" t="s">
        <v>786</v>
      </c>
      <c r="X6" s="5">
        <v>0.0</v>
      </c>
      <c r="Y6" s="9" t="s">
        <v>787</v>
      </c>
      <c r="Z6" s="5">
        <v>0.0</v>
      </c>
      <c r="AA6" s="9" t="s">
        <v>738</v>
      </c>
      <c r="AB6" s="5">
        <v>0.0</v>
      </c>
      <c r="AC6" s="9" t="s">
        <v>788</v>
      </c>
      <c r="AD6" s="5">
        <v>0.0</v>
      </c>
      <c r="AE6" s="9" t="s">
        <v>789</v>
      </c>
      <c r="AF6" s="39">
        <v>0.0</v>
      </c>
    </row>
    <row r="7" ht="15.75" customHeight="1">
      <c r="A7" s="5">
        <v>1155.0</v>
      </c>
      <c r="B7" s="29" t="s">
        <v>48</v>
      </c>
      <c r="C7" s="5" t="str">
        <f t="shared" si="1"/>
        <v>ESD-06_NEAR LUBE GODOWN - 1</v>
      </c>
      <c r="D7" s="37" t="s">
        <v>809</v>
      </c>
      <c r="E7" s="38" t="s">
        <v>810</v>
      </c>
      <c r="F7" s="38" t="s">
        <v>811</v>
      </c>
      <c r="G7" s="17" t="s">
        <v>812</v>
      </c>
      <c r="H7" s="17">
        <v>0.0</v>
      </c>
      <c r="I7" s="17" t="s">
        <v>813</v>
      </c>
      <c r="J7" s="17">
        <v>0.0</v>
      </c>
      <c r="K7" s="9" t="s">
        <v>780</v>
      </c>
      <c r="L7" s="5">
        <v>0.0</v>
      </c>
      <c r="M7" s="9" t="s">
        <v>781</v>
      </c>
      <c r="N7" s="5">
        <v>0.0</v>
      </c>
      <c r="O7" s="9" t="s">
        <v>782</v>
      </c>
      <c r="P7" s="5">
        <v>0.0</v>
      </c>
      <c r="Q7" s="9" t="s">
        <v>783</v>
      </c>
      <c r="R7" s="5">
        <v>0.0</v>
      </c>
      <c r="S7" s="9" t="s">
        <v>784</v>
      </c>
      <c r="T7" s="5">
        <v>0.0</v>
      </c>
      <c r="U7" s="9" t="s">
        <v>785</v>
      </c>
      <c r="V7" s="5">
        <v>0.0</v>
      </c>
      <c r="W7" s="9" t="s">
        <v>786</v>
      </c>
      <c r="X7" s="5">
        <v>0.0</v>
      </c>
      <c r="Y7" s="9" t="s">
        <v>787</v>
      </c>
      <c r="Z7" s="5">
        <v>0.0</v>
      </c>
      <c r="AA7" s="9" t="s">
        <v>738</v>
      </c>
      <c r="AB7" s="5">
        <v>0.0</v>
      </c>
      <c r="AC7" s="9" t="s">
        <v>788</v>
      </c>
      <c r="AD7" s="5">
        <v>0.0</v>
      </c>
      <c r="AE7" s="9" t="s">
        <v>789</v>
      </c>
      <c r="AF7" s="39">
        <v>0.0</v>
      </c>
    </row>
    <row r="8" ht="15.75" customHeight="1">
      <c r="A8" s="5">
        <v>1155.0</v>
      </c>
      <c r="B8" s="29" t="s">
        <v>48</v>
      </c>
      <c r="C8" s="5" t="str">
        <f t="shared" si="1"/>
        <v>ESD-07_NEAR FIRE WATER PUMP HOUSE</v>
      </c>
      <c r="D8" s="37" t="s">
        <v>814</v>
      </c>
      <c r="E8" s="38" t="s">
        <v>815</v>
      </c>
      <c r="F8" s="38" t="s">
        <v>816</v>
      </c>
      <c r="G8" s="17" t="s">
        <v>817</v>
      </c>
      <c r="H8" s="17">
        <v>0.0</v>
      </c>
      <c r="I8" s="17" t="s">
        <v>818</v>
      </c>
      <c r="J8" s="17">
        <v>0.0</v>
      </c>
      <c r="K8" s="9" t="s">
        <v>780</v>
      </c>
      <c r="L8" s="5">
        <v>0.0</v>
      </c>
      <c r="M8" s="9" t="s">
        <v>781</v>
      </c>
      <c r="N8" s="5">
        <v>0.0</v>
      </c>
      <c r="O8" s="9" t="s">
        <v>782</v>
      </c>
      <c r="P8" s="5">
        <v>0.0</v>
      </c>
      <c r="Q8" s="9" t="s">
        <v>783</v>
      </c>
      <c r="R8" s="5">
        <v>0.0</v>
      </c>
      <c r="S8" s="9" t="s">
        <v>784</v>
      </c>
      <c r="T8" s="5">
        <v>0.0</v>
      </c>
      <c r="U8" s="9" t="s">
        <v>785</v>
      </c>
      <c r="V8" s="5">
        <v>0.0</v>
      </c>
      <c r="W8" s="9" t="s">
        <v>786</v>
      </c>
      <c r="X8" s="5">
        <v>0.0</v>
      </c>
      <c r="Y8" s="9" t="s">
        <v>787</v>
      </c>
      <c r="Z8" s="5">
        <v>0.0</v>
      </c>
      <c r="AA8" s="9" t="s">
        <v>738</v>
      </c>
      <c r="AB8" s="5">
        <v>0.0</v>
      </c>
      <c r="AC8" s="9" t="s">
        <v>788</v>
      </c>
      <c r="AD8" s="5">
        <v>0.0</v>
      </c>
      <c r="AE8" s="9" t="s">
        <v>789</v>
      </c>
      <c r="AF8" s="39">
        <v>0.0</v>
      </c>
    </row>
    <row r="9" ht="15.75" customHeight="1">
      <c r="A9" s="5">
        <v>1155.0</v>
      </c>
      <c r="B9" s="29" t="s">
        <v>48</v>
      </c>
      <c r="C9" s="5" t="str">
        <f t="shared" si="1"/>
        <v>ESD-08_IN BETWEEN TK-08 AND TK-09 CATWALK SIDE</v>
      </c>
      <c r="D9" s="37" t="s">
        <v>819</v>
      </c>
      <c r="E9" s="38" t="s">
        <v>820</v>
      </c>
      <c r="F9" s="38" t="s">
        <v>821</v>
      </c>
      <c r="G9" s="17" t="s">
        <v>822</v>
      </c>
      <c r="H9" s="17">
        <v>0.0</v>
      </c>
      <c r="I9" s="17" t="s">
        <v>823</v>
      </c>
      <c r="J9" s="17">
        <v>0.0</v>
      </c>
      <c r="K9" s="9" t="s">
        <v>780</v>
      </c>
      <c r="L9" s="5">
        <v>0.0</v>
      </c>
      <c r="M9" s="9" t="s">
        <v>781</v>
      </c>
      <c r="N9" s="5">
        <v>0.0</v>
      </c>
      <c r="O9" s="9" t="s">
        <v>782</v>
      </c>
      <c r="P9" s="5">
        <v>0.0</v>
      </c>
      <c r="Q9" s="9" t="s">
        <v>783</v>
      </c>
      <c r="R9" s="5">
        <v>0.0</v>
      </c>
      <c r="S9" s="9" t="s">
        <v>784</v>
      </c>
      <c r="T9" s="5">
        <v>0.0</v>
      </c>
      <c r="U9" s="9" t="s">
        <v>785</v>
      </c>
      <c r="V9" s="5">
        <v>0.0</v>
      </c>
      <c r="W9" s="9" t="s">
        <v>786</v>
      </c>
      <c r="X9" s="5">
        <v>0.0</v>
      </c>
      <c r="Y9" s="9" t="s">
        <v>787</v>
      </c>
      <c r="Z9" s="5">
        <v>0.0</v>
      </c>
      <c r="AA9" s="9" t="s">
        <v>738</v>
      </c>
      <c r="AB9" s="5">
        <v>0.0</v>
      </c>
      <c r="AC9" s="9" t="s">
        <v>788</v>
      </c>
      <c r="AD9" s="5">
        <v>0.0</v>
      </c>
      <c r="AE9" s="9" t="s">
        <v>789</v>
      </c>
      <c r="AF9" s="39">
        <v>0.0</v>
      </c>
    </row>
    <row r="10" ht="15.75" customHeight="1">
      <c r="A10" s="5">
        <v>1155.0</v>
      </c>
      <c r="B10" s="29" t="s">
        <v>48</v>
      </c>
      <c r="C10" s="5" t="str">
        <f t="shared" si="1"/>
        <v>ESD-09_NEAR TANK-10 CATWALK SIDE</v>
      </c>
      <c r="D10" s="37" t="s">
        <v>824</v>
      </c>
      <c r="E10" s="38" t="s">
        <v>825</v>
      </c>
      <c r="F10" s="38" t="s">
        <v>826</v>
      </c>
      <c r="G10" s="17" t="s">
        <v>827</v>
      </c>
      <c r="H10" s="17">
        <v>0.0</v>
      </c>
      <c r="I10" s="17" t="s">
        <v>828</v>
      </c>
      <c r="J10" s="17">
        <v>0.0</v>
      </c>
      <c r="K10" s="9" t="s">
        <v>780</v>
      </c>
      <c r="L10" s="5">
        <v>0.0</v>
      </c>
      <c r="M10" s="9" t="s">
        <v>781</v>
      </c>
      <c r="N10" s="5">
        <v>0.0</v>
      </c>
      <c r="O10" s="9" t="s">
        <v>782</v>
      </c>
      <c r="P10" s="5">
        <v>0.0</v>
      </c>
      <c r="Q10" s="9" t="s">
        <v>783</v>
      </c>
      <c r="R10" s="5">
        <v>0.0</v>
      </c>
      <c r="S10" s="9" t="s">
        <v>784</v>
      </c>
      <c r="T10" s="5">
        <v>0.0</v>
      </c>
      <c r="U10" s="9" t="s">
        <v>785</v>
      </c>
      <c r="V10" s="5">
        <v>0.0</v>
      </c>
      <c r="W10" s="9" t="s">
        <v>786</v>
      </c>
      <c r="X10" s="5">
        <v>0.0</v>
      </c>
      <c r="Y10" s="9" t="s">
        <v>787</v>
      </c>
      <c r="Z10" s="5">
        <v>0.0</v>
      </c>
      <c r="AA10" s="9" t="s">
        <v>738</v>
      </c>
      <c r="AB10" s="5">
        <v>0.0</v>
      </c>
      <c r="AC10" s="9" t="s">
        <v>788</v>
      </c>
      <c r="AD10" s="5">
        <v>0.0</v>
      </c>
      <c r="AE10" s="9" t="s">
        <v>789</v>
      </c>
      <c r="AF10" s="39">
        <v>0.0</v>
      </c>
    </row>
    <row r="11" ht="15.75" customHeight="1">
      <c r="A11" s="5">
        <v>1155.0</v>
      </c>
      <c r="B11" s="29" t="s">
        <v>48</v>
      </c>
      <c r="C11" s="5" t="str">
        <f t="shared" si="1"/>
        <v>ESD-10_NEAR BULK AIR ELUMINATER</v>
      </c>
      <c r="D11" s="37" t="s">
        <v>829</v>
      </c>
      <c r="E11" s="38" t="s">
        <v>830</v>
      </c>
      <c r="F11" s="38" t="s">
        <v>831</v>
      </c>
      <c r="G11" s="17" t="s">
        <v>832</v>
      </c>
      <c r="H11" s="17">
        <v>0.0</v>
      </c>
      <c r="I11" s="17" t="s">
        <v>833</v>
      </c>
      <c r="J11" s="17">
        <v>0.0</v>
      </c>
      <c r="K11" s="9" t="s">
        <v>780</v>
      </c>
      <c r="L11" s="5">
        <v>0.0</v>
      </c>
      <c r="M11" s="9" t="s">
        <v>781</v>
      </c>
      <c r="N11" s="5">
        <v>0.0</v>
      </c>
      <c r="O11" s="9" t="s">
        <v>782</v>
      </c>
      <c r="P11" s="5">
        <v>0.0</v>
      </c>
      <c r="Q11" s="9" t="s">
        <v>783</v>
      </c>
      <c r="R11" s="5">
        <v>0.0</v>
      </c>
      <c r="S11" s="9" t="s">
        <v>784</v>
      </c>
      <c r="T11" s="5">
        <v>0.0</v>
      </c>
      <c r="U11" s="9" t="s">
        <v>785</v>
      </c>
      <c r="V11" s="5">
        <v>0.0</v>
      </c>
      <c r="W11" s="9" t="s">
        <v>786</v>
      </c>
      <c r="X11" s="5">
        <v>0.0</v>
      </c>
      <c r="Y11" s="9" t="s">
        <v>787</v>
      </c>
      <c r="Z11" s="5">
        <v>0.0</v>
      </c>
      <c r="AA11" s="9" t="s">
        <v>738</v>
      </c>
      <c r="AB11" s="5">
        <v>0.0</v>
      </c>
      <c r="AC11" s="9" t="s">
        <v>788</v>
      </c>
      <c r="AD11" s="5">
        <v>0.0</v>
      </c>
      <c r="AE11" s="9" t="s">
        <v>789</v>
      </c>
      <c r="AF11" s="39">
        <v>0.0</v>
      </c>
    </row>
    <row r="12" ht="15.75" customHeight="1">
      <c r="A12" s="5">
        <v>1155.0</v>
      </c>
      <c r="B12" s="29" t="s">
        <v>48</v>
      </c>
      <c r="C12" s="5" t="str">
        <f t="shared" si="1"/>
        <v>ESD-11_TLF PUMP HOUSE</v>
      </c>
      <c r="D12" s="37" t="s">
        <v>834</v>
      </c>
      <c r="E12" s="38" t="s">
        <v>835</v>
      </c>
      <c r="F12" s="38" t="s">
        <v>673</v>
      </c>
      <c r="G12" s="17" t="s">
        <v>836</v>
      </c>
      <c r="H12" s="17">
        <v>0.0</v>
      </c>
      <c r="I12" s="17" t="s">
        <v>837</v>
      </c>
      <c r="J12" s="17">
        <v>0.0</v>
      </c>
      <c r="K12" s="9" t="s">
        <v>780</v>
      </c>
      <c r="L12" s="5">
        <v>0.0</v>
      </c>
      <c r="M12" s="9" t="s">
        <v>781</v>
      </c>
      <c r="N12" s="5">
        <v>0.0</v>
      </c>
      <c r="O12" s="9" t="s">
        <v>782</v>
      </c>
      <c r="P12" s="5">
        <v>0.0</v>
      </c>
      <c r="Q12" s="9" t="s">
        <v>783</v>
      </c>
      <c r="R12" s="5">
        <v>0.0</v>
      </c>
      <c r="S12" s="9" t="s">
        <v>784</v>
      </c>
      <c r="T12" s="5">
        <v>0.0</v>
      </c>
      <c r="U12" s="9" t="s">
        <v>785</v>
      </c>
      <c r="V12" s="5">
        <v>0.0</v>
      </c>
      <c r="W12" s="9" t="s">
        <v>786</v>
      </c>
      <c r="X12" s="5">
        <v>0.0</v>
      </c>
      <c r="Y12" s="9" t="s">
        <v>787</v>
      </c>
      <c r="Z12" s="5">
        <v>0.0</v>
      </c>
      <c r="AA12" s="9" t="s">
        <v>738</v>
      </c>
      <c r="AB12" s="5">
        <v>0.0</v>
      </c>
      <c r="AC12" s="9" t="s">
        <v>788</v>
      </c>
      <c r="AD12" s="5">
        <v>0.0</v>
      </c>
      <c r="AE12" s="9" t="s">
        <v>789</v>
      </c>
      <c r="AF12" s="39">
        <v>0.0</v>
      </c>
    </row>
    <row r="13" ht="15.75" customHeight="1">
      <c r="A13" s="5">
        <v>1155.0</v>
      </c>
      <c r="B13" s="29" t="s">
        <v>48</v>
      </c>
      <c r="C13" s="5" t="str">
        <f t="shared" si="1"/>
        <v>ESD-12_NEAR U/G TANK - 15/16 (BEHIND GANTRY)</v>
      </c>
      <c r="D13" s="37" t="s">
        <v>838</v>
      </c>
      <c r="E13" s="38" t="s">
        <v>839</v>
      </c>
      <c r="F13" s="38" t="s">
        <v>840</v>
      </c>
      <c r="G13" s="17" t="s">
        <v>841</v>
      </c>
      <c r="H13" s="17">
        <v>0.0</v>
      </c>
      <c r="I13" s="17" t="s">
        <v>842</v>
      </c>
      <c r="J13" s="18"/>
      <c r="K13" s="9" t="s">
        <v>780</v>
      </c>
      <c r="L13" s="5">
        <v>0.0</v>
      </c>
      <c r="M13" s="9" t="s">
        <v>781</v>
      </c>
      <c r="N13" s="5">
        <v>0.0</v>
      </c>
      <c r="O13" s="9" t="s">
        <v>782</v>
      </c>
      <c r="P13" s="5">
        <v>0.0</v>
      </c>
      <c r="Q13" s="9" t="s">
        <v>783</v>
      </c>
      <c r="R13" s="5">
        <v>0.0</v>
      </c>
      <c r="S13" s="9" t="s">
        <v>784</v>
      </c>
      <c r="T13" s="5">
        <v>0.0</v>
      </c>
      <c r="U13" s="9" t="s">
        <v>785</v>
      </c>
      <c r="V13" s="5">
        <v>0.0</v>
      </c>
      <c r="W13" s="9" t="s">
        <v>786</v>
      </c>
      <c r="X13" s="5">
        <v>0.0</v>
      </c>
      <c r="Y13" s="9" t="s">
        <v>787</v>
      </c>
      <c r="Z13" s="5">
        <v>0.0</v>
      </c>
      <c r="AA13" s="9" t="s">
        <v>738</v>
      </c>
      <c r="AB13" s="5">
        <v>0.0</v>
      </c>
      <c r="AC13" s="9" t="s">
        <v>788</v>
      </c>
      <c r="AD13" s="5">
        <v>0.0</v>
      </c>
      <c r="AE13" s="9" t="s">
        <v>789</v>
      </c>
      <c r="AF13" s="39">
        <v>0.0</v>
      </c>
    </row>
    <row r="14" ht="15.75" customHeight="1">
      <c r="A14" s="5">
        <v>1155.0</v>
      </c>
      <c r="B14" s="29" t="s">
        <v>48</v>
      </c>
      <c r="C14" s="5" t="str">
        <f t="shared" si="1"/>
        <v>ESD-13_IN BETWEEN TK-11 and TK-12 CATWALK SIDE</v>
      </c>
      <c r="D14" s="37" t="s">
        <v>843</v>
      </c>
      <c r="E14" s="38" t="s">
        <v>844</v>
      </c>
      <c r="F14" s="38" t="s">
        <v>845</v>
      </c>
      <c r="G14" s="17" t="s">
        <v>846</v>
      </c>
      <c r="H14" s="17">
        <v>0.0</v>
      </c>
      <c r="I14" s="17" t="s">
        <v>847</v>
      </c>
      <c r="J14" s="18"/>
      <c r="K14" s="9" t="s">
        <v>780</v>
      </c>
      <c r="L14" s="5">
        <v>0.0</v>
      </c>
      <c r="M14" s="9" t="s">
        <v>781</v>
      </c>
      <c r="N14" s="5">
        <v>0.0</v>
      </c>
      <c r="O14" s="9" t="s">
        <v>782</v>
      </c>
      <c r="P14" s="5">
        <v>0.0</v>
      </c>
      <c r="Q14" s="9" t="s">
        <v>783</v>
      </c>
      <c r="R14" s="5">
        <v>0.0</v>
      </c>
      <c r="S14" s="9" t="s">
        <v>784</v>
      </c>
      <c r="T14" s="5">
        <v>0.0</v>
      </c>
      <c r="U14" s="9" t="s">
        <v>785</v>
      </c>
      <c r="V14" s="5">
        <v>0.0</v>
      </c>
      <c r="W14" s="9" t="s">
        <v>786</v>
      </c>
      <c r="X14" s="5">
        <v>0.0</v>
      </c>
      <c r="Y14" s="9" t="s">
        <v>787</v>
      </c>
      <c r="Z14" s="5">
        <v>0.0</v>
      </c>
      <c r="AA14" s="9" t="s">
        <v>738</v>
      </c>
      <c r="AB14" s="5">
        <v>0.0</v>
      </c>
      <c r="AC14" s="9" t="s">
        <v>788</v>
      </c>
      <c r="AD14" s="5">
        <v>0.0</v>
      </c>
      <c r="AE14" s="9" t="s">
        <v>789</v>
      </c>
      <c r="AF14" s="39">
        <v>0.0</v>
      </c>
    </row>
    <row r="15" ht="15.75" customHeight="1">
      <c r="A15" s="5">
        <v>1155.0</v>
      </c>
      <c r="B15" s="29" t="s">
        <v>48</v>
      </c>
      <c r="C15" s="5" t="str">
        <f t="shared" si="1"/>
        <v>ESD-14_GANTRY CABIN</v>
      </c>
      <c r="D15" s="37" t="s">
        <v>848</v>
      </c>
      <c r="E15" s="38" t="s">
        <v>849</v>
      </c>
      <c r="F15" s="38" t="s">
        <v>850</v>
      </c>
      <c r="G15" s="17" t="s">
        <v>851</v>
      </c>
      <c r="H15" s="17">
        <v>0.0</v>
      </c>
      <c r="I15" s="17" t="s">
        <v>852</v>
      </c>
      <c r="J15" s="18"/>
      <c r="K15" s="9" t="s">
        <v>780</v>
      </c>
      <c r="L15" s="5">
        <v>0.0</v>
      </c>
      <c r="M15" s="9" t="s">
        <v>781</v>
      </c>
      <c r="N15" s="5">
        <v>0.0</v>
      </c>
      <c r="O15" s="9" t="s">
        <v>782</v>
      </c>
      <c r="P15" s="5">
        <v>0.0</v>
      </c>
      <c r="Q15" s="9" t="s">
        <v>783</v>
      </c>
      <c r="R15" s="5">
        <v>0.0</v>
      </c>
      <c r="S15" s="9" t="s">
        <v>784</v>
      </c>
      <c r="T15" s="5">
        <v>0.0</v>
      </c>
      <c r="U15" s="9" t="s">
        <v>785</v>
      </c>
      <c r="V15" s="5">
        <v>0.0</v>
      </c>
      <c r="W15" s="9" t="s">
        <v>786</v>
      </c>
      <c r="X15" s="5">
        <v>0.0</v>
      </c>
      <c r="Y15" s="9" t="s">
        <v>787</v>
      </c>
      <c r="Z15" s="5">
        <v>0.0</v>
      </c>
      <c r="AA15" s="9" t="s">
        <v>738</v>
      </c>
      <c r="AB15" s="5">
        <v>0.0</v>
      </c>
      <c r="AC15" s="9" t="s">
        <v>788</v>
      </c>
      <c r="AD15" s="5">
        <v>0.0</v>
      </c>
      <c r="AE15" s="9" t="s">
        <v>789</v>
      </c>
      <c r="AF15" s="39">
        <v>0.0</v>
      </c>
    </row>
    <row r="16" ht="15.75" customHeight="1">
      <c r="A16" s="5">
        <v>1155.0</v>
      </c>
      <c r="B16" s="29" t="s">
        <v>48</v>
      </c>
      <c r="C16" s="5" t="str">
        <f t="shared" si="1"/>
        <v>ESD-15_GANTRY BAY 2 STAIRCASE</v>
      </c>
      <c r="D16" s="37" t="s">
        <v>853</v>
      </c>
      <c r="E16" s="38" t="s">
        <v>854</v>
      </c>
      <c r="F16" s="38" t="s">
        <v>855</v>
      </c>
      <c r="G16" s="17" t="s">
        <v>856</v>
      </c>
      <c r="H16" s="17">
        <v>0.0</v>
      </c>
      <c r="I16" s="17" t="s">
        <v>857</v>
      </c>
      <c r="J16" s="17">
        <v>0.0</v>
      </c>
      <c r="K16" s="9" t="s">
        <v>780</v>
      </c>
      <c r="L16" s="5">
        <v>0.0</v>
      </c>
      <c r="M16" s="9" t="s">
        <v>781</v>
      </c>
      <c r="N16" s="5">
        <v>0.0</v>
      </c>
      <c r="O16" s="9" t="s">
        <v>782</v>
      </c>
      <c r="P16" s="5">
        <v>0.0</v>
      </c>
      <c r="Q16" s="9" t="s">
        <v>783</v>
      </c>
      <c r="R16" s="5">
        <v>0.0</v>
      </c>
      <c r="S16" s="9" t="s">
        <v>784</v>
      </c>
      <c r="T16" s="5">
        <v>0.0</v>
      </c>
      <c r="U16" s="9" t="s">
        <v>785</v>
      </c>
      <c r="V16" s="5">
        <v>0.0</v>
      </c>
      <c r="W16" s="9" t="s">
        <v>786</v>
      </c>
      <c r="X16" s="5">
        <v>0.0</v>
      </c>
      <c r="Y16" s="9" t="s">
        <v>787</v>
      </c>
      <c r="Z16" s="5">
        <v>0.0</v>
      </c>
      <c r="AA16" s="9" t="s">
        <v>738</v>
      </c>
      <c r="AB16" s="5">
        <v>0.0</v>
      </c>
      <c r="AC16" s="9" t="s">
        <v>788</v>
      </c>
      <c r="AD16" s="5">
        <v>0.0</v>
      </c>
      <c r="AE16" s="9" t="s">
        <v>789</v>
      </c>
      <c r="AF16" s="39">
        <v>0.0</v>
      </c>
    </row>
    <row r="17" ht="15.75" customHeight="1">
      <c r="A17" s="5">
        <v>1155.0</v>
      </c>
      <c r="B17" s="29" t="s">
        <v>48</v>
      </c>
      <c r="C17" s="5" t="str">
        <f t="shared" si="1"/>
        <v>ESD-16_CENTRAL ESD</v>
      </c>
      <c r="D17" s="37" t="s">
        <v>858</v>
      </c>
      <c r="E17" s="38" t="s">
        <v>859</v>
      </c>
      <c r="F17" s="38" t="s">
        <v>860</v>
      </c>
      <c r="G17" s="17" t="s">
        <v>861</v>
      </c>
      <c r="H17" s="17">
        <v>0.0</v>
      </c>
      <c r="I17" s="18"/>
      <c r="J17" s="17">
        <v>0.0</v>
      </c>
      <c r="K17" s="9" t="s">
        <v>780</v>
      </c>
      <c r="L17" s="5">
        <v>0.0</v>
      </c>
      <c r="M17" s="9" t="s">
        <v>781</v>
      </c>
      <c r="N17" s="5">
        <v>0.0</v>
      </c>
      <c r="O17" s="9" t="s">
        <v>782</v>
      </c>
      <c r="P17" s="5">
        <v>0.0</v>
      </c>
      <c r="Q17" s="9" t="s">
        <v>783</v>
      </c>
      <c r="R17" s="5">
        <v>0.0</v>
      </c>
      <c r="S17" s="9" t="s">
        <v>784</v>
      </c>
      <c r="T17" s="5">
        <v>0.0</v>
      </c>
      <c r="U17" s="9" t="s">
        <v>785</v>
      </c>
      <c r="V17" s="5">
        <v>0.0</v>
      </c>
      <c r="W17" s="9" t="s">
        <v>786</v>
      </c>
      <c r="X17" s="5">
        <v>0.0</v>
      </c>
      <c r="Y17" s="9" t="s">
        <v>787</v>
      </c>
      <c r="Z17" s="5">
        <v>0.0</v>
      </c>
      <c r="AA17" s="9" t="s">
        <v>738</v>
      </c>
      <c r="AB17" s="5">
        <v>0.0</v>
      </c>
      <c r="AC17" s="9" t="s">
        <v>788</v>
      </c>
      <c r="AD17" s="5">
        <v>0.0</v>
      </c>
      <c r="AE17" s="9" t="s">
        <v>789</v>
      </c>
      <c r="AF17" s="39">
        <v>0.0</v>
      </c>
    </row>
    <row r="18" ht="15.75" customHeight="1">
      <c r="A18" s="5">
        <v>1155.0</v>
      </c>
      <c r="B18" s="29" t="s">
        <v>48</v>
      </c>
      <c r="C18" s="5" t="str">
        <f t="shared" si="1"/>
        <v>ESD-17_ESD DUE TO VIBRATING FORK</v>
      </c>
      <c r="D18" s="37" t="s">
        <v>862</v>
      </c>
      <c r="E18" s="38" t="s">
        <v>863</v>
      </c>
      <c r="F18" s="38" t="s">
        <v>864</v>
      </c>
      <c r="G18" s="17" t="s">
        <v>865</v>
      </c>
      <c r="H18" s="17">
        <v>0.0</v>
      </c>
      <c r="I18" s="18"/>
      <c r="J18" s="17">
        <v>0.0</v>
      </c>
      <c r="K18" s="9" t="s">
        <v>780</v>
      </c>
      <c r="L18" s="5">
        <v>0.0</v>
      </c>
      <c r="M18" s="9" t="s">
        <v>781</v>
      </c>
      <c r="N18" s="5">
        <v>0.0</v>
      </c>
      <c r="O18" s="9" t="s">
        <v>782</v>
      </c>
      <c r="P18" s="5">
        <v>0.0</v>
      </c>
      <c r="Q18" s="9" t="s">
        <v>783</v>
      </c>
      <c r="R18" s="5">
        <v>0.0</v>
      </c>
      <c r="S18" s="9" t="s">
        <v>784</v>
      </c>
      <c r="T18" s="5">
        <v>0.0</v>
      </c>
      <c r="U18" s="9" t="s">
        <v>785</v>
      </c>
      <c r="V18" s="5">
        <v>0.0</v>
      </c>
      <c r="W18" s="9" t="s">
        <v>786</v>
      </c>
      <c r="X18" s="5">
        <v>0.0</v>
      </c>
      <c r="Y18" s="9" t="s">
        <v>787</v>
      </c>
      <c r="Z18" s="5">
        <v>0.0</v>
      </c>
      <c r="AA18" s="9" t="s">
        <v>738</v>
      </c>
      <c r="AB18" s="5">
        <v>0.0</v>
      </c>
      <c r="AC18" s="9" t="s">
        <v>788</v>
      </c>
      <c r="AD18" s="5">
        <v>0.0</v>
      </c>
      <c r="AE18" s="9" t="s">
        <v>789</v>
      </c>
      <c r="AF18" s="39">
        <v>0.0</v>
      </c>
    </row>
    <row r="19" ht="15.75" customHeight="1">
      <c r="A19" s="5">
        <v>1155.0</v>
      </c>
      <c r="B19" s="29" t="s">
        <v>48</v>
      </c>
      <c r="C19" s="5" t="str">
        <f t="shared" si="1"/>
        <v>ESD-18_ESD DUE TO RADAR RELAY</v>
      </c>
      <c r="D19" s="37" t="s">
        <v>866</v>
      </c>
      <c r="E19" s="38" t="s">
        <v>867</v>
      </c>
      <c r="F19" s="38" t="s">
        <v>868</v>
      </c>
      <c r="G19" s="17" t="s">
        <v>869</v>
      </c>
      <c r="H19" s="17">
        <v>0.0</v>
      </c>
      <c r="I19" s="18"/>
      <c r="J19" s="17">
        <v>0.0</v>
      </c>
      <c r="K19" s="9" t="s">
        <v>780</v>
      </c>
      <c r="L19" s="5">
        <v>0.0</v>
      </c>
      <c r="M19" s="9" t="s">
        <v>781</v>
      </c>
      <c r="N19" s="5">
        <v>0.0</v>
      </c>
      <c r="O19" s="9" t="s">
        <v>782</v>
      </c>
      <c r="P19" s="5">
        <v>0.0</v>
      </c>
      <c r="Q19" s="9" t="s">
        <v>783</v>
      </c>
      <c r="R19" s="5">
        <v>0.0</v>
      </c>
      <c r="S19" s="9" t="s">
        <v>784</v>
      </c>
      <c r="T19" s="5">
        <v>0.0</v>
      </c>
      <c r="U19" s="9" t="s">
        <v>785</v>
      </c>
      <c r="V19" s="5">
        <v>0.0</v>
      </c>
      <c r="W19" s="9" t="s">
        <v>786</v>
      </c>
      <c r="X19" s="5">
        <v>0.0</v>
      </c>
      <c r="Y19" s="9" t="s">
        <v>787</v>
      </c>
      <c r="Z19" s="5">
        <v>0.0</v>
      </c>
      <c r="AA19" s="9" t="s">
        <v>738</v>
      </c>
      <c r="AB19" s="5">
        <v>0.0</v>
      </c>
      <c r="AC19" s="9" t="s">
        <v>788</v>
      </c>
      <c r="AD19" s="5">
        <v>0.0</v>
      </c>
      <c r="AE19" s="9" t="s">
        <v>789</v>
      </c>
      <c r="AF19" s="39">
        <v>0.0</v>
      </c>
    </row>
    <row r="20" ht="15.75" customHeight="1">
      <c r="A20" s="5">
        <v>1155.0</v>
      </c>
      <c r="B20" s="29" t="s">
        <v>48</v>
      </c>
      <c r="C20" s="5" t="str">
        <f t="shared" si="1"/>
        <v>ESD-IOCL_ESD-IOCL</v>
      </c>
      <c r="D20" s="37" t="s">
        <v>870</v>
      </c>
      <c r="E20" s="38" t="s">
        <v>870</v>
      </c>
      <c r="F20" s="38" t="s">
        <v>870</v>
      </c>
      <c r="G20" s="17" t="s">
        <v>871</v>
      </c>
      <c r="H20" s="17">
        <v>0.0</v>
      </c>
      <c r="I20" s="18"/>
      <c r="J20" s="17">
        <v>0.0</v>
      </c>
      <c r="K20" s="9" t="s">
        <v>780</v>
      </c>
      <c r="L20" s="5">
        <v>0.0</v>
      </c>
      <c r="M20" s="9" t="s">
        <v>781</v>
      </c>
      <c r="N20" s="5">
        <v>0.0</v>
      </c>
      <c r="O20" s="9" t="s">
        <v>782</v>
      </c>
      <c r="P20" s="5">
        <v>0.0</v>
      </c>
      <c r="Q20" s="9" t="s">
        <v>783</v>
      </c>
      <c r="R20" s="5">
        <v>0.0</v>
      </c>
      <c r="S20" s="9" t="s">
        <v>784</v>
      </c>
      <c r="T20" s="5">
        <v>0.0</v>
      </c>
      <c r="U20" s="9" t="s">
        <v>785</v>
      </c>
      <c r="V20" s="5">
        <v>0.0</v>
      </c>
      <c r="W20" s="9" t="s">
        <v>786</v>
      </c>
      <c r="X20" s="5">
        <v>0.0</v>
      </c>
      <c r="Y20" s="9" t="s">
        <v>787</v>
      </c>
      <c r="Z20" s="5">
        <v>0.0</v>
      </c>
      <c r="AA20" s="9" t="s">
        <v>738</v>
      </c>
      <c r="AB20" s="5">
        <v>0.0</v>
      </c>
      <c r="AC20" s="9" t="s">
        <v>788</v>
      </c>
      <c r="AD20" s="5">
        <v>0.0</v>
      </c>
      <c r="AE20" s="9" t="s">
        <v>789</v>
      </c>
      <c r="AF20" s="39">
        <v>0.0</v>
      </c>
    </row>
    <row r="21" ht="15.75" customHeight="1">
      <c r="A21" s="5">
        <v>1155.0</v>
      </c>
      <c r="B21" s="29" t="s">
        <v>48</v>
      </c>
      <c r="C21" s="5" t="str">
        <f t="shared" si="1"/>
        <v>ESD-SOFT_SOFT FROM OIC</v>
      </c>
      <c r="D21" s="37" t="s">
        <v>872</v>
      </c>
      <c r="E21" s="38" t="s">
        <v>872</v>
      </c>
      <c r="F21" s="38" t="s">
        <v>873</v>
      </c>
      <c r="G21" s="17" t="s">
        <v>874</v>
      </c>
      <c r="H21" s="17">
        <v>0.0</v>
      </c>
      <c r="I21" s="18"/>
      <c r="J21" s="18"/>
      <c r="K21" s="9" t="s">
        <v>780</v>
      </c>
      <c r="L21" s="5">
        <v>0.0</v>
      </c>
      <c r="M21" s="9" t="s">
        <v>781</v>
      </c>
      <c r="N21" s="5">
        <v>0.0</v>
      </c>
      <c r="O21" s="9" t="s">
        <v>782</v>
      </c>
      <c r="P21" s="5">
        <v>0.0</v>
      </c>
      <c r="Q21" s="9" t="s">
        <v>783</v>
      </c>
      <c r="R21" s="5">
        <v>0.0</v>
      </c>
      <c r="S21" s="9" t="s">
        <v>784</v>
      </c>
      <c r="T21" s="5">
        <v>0.0</v>
      </c>
      <c r="U21" s="9" t="s">
        <v>785</v>
      </c>
      <c r="V21" s="5">
        <v>0.0</v>
      </c>
      <c r="W21" s="9" t="s">
        <v>786</v>
      </c>
      <c r="X21" s="5">
        <v>0.0</v>
      </c>
      <c r="Y21" s="9" t="s">
        <v>787</v>
      </c>
      <c r="Z21" s="5">
        <v>0.0</v>
      </c>
      <c r="AA21" s="9" t="s">
        <v>738</v>
      </c>
      <c r="AB21" s="5">
        <v>0.0</v>
      </c>
      <c r="AC21" s="9" t="s">
        <v>788</v>
      </c>
      <c r="AD21" s="5">
        <v>0.0</v>
      </c>
      <c r="AE21" s="9" t="s">
        <v>789</v>
      </c>
      <c r="AF21" s="39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875</v>
      </c>
      <c r="E1" s="1" t="s">
        <v>876</v>
      </c>
      <c r="F1" s="1" t="s">
        <v>877</v>
      </c>
      <c r="G1" s="1" t="s">
        <v>5</v>
      </c>
      <c r="H1" s="27" t="s">
        <v>878</v>
      </c>
      <c r="I1" s="27" t="s">
        <v>7</v>
      </c>
      <c r="J1" s="27" t="s">
        <v>8</v>
      </c>
      <c r="K1" s="27" t="s">
        <v>12</v>
      </c>
      <c r="L1" s="27" t="s">
        <v>879</v>
      </c>
      <c r="M1" s="27" t="s">
        <v>7</v>
      </c>
      <c r="N1" s="27" t="s">
        <v>8</v>
      </c>
      <c r="O1" s="27" t="s">
        <v>12</v>
      </c>
      <c r="P1" s="27" t="s">
        <v>880</v>
      </c>
      <c r="Q1" s="27" t="s">
        <v>7</v>
      </c>
      <c r="R1" s="27" t="s">
        <v>8</v>
      </c>
      <c r="S1" s="27" t="s">
        <v>12</v>
      </c>
      <c r="T1" s="27" t="s">
        <v>881</v>
      </c>
      <c r="U1" s="27" t="s">
        <v>7</v>
      </c>
      <c r="V1" s="27" t="s">
        <v>8</v>
      </c>
      <c r="W1" s="27" t="s">
        <v>12</v>
      </c>
      <c r="X1" s="27" t="s">
        <v>882</v>
      </c>
      <c r="Y1" s="27" t="s">
        <v>7</v>
      </c>
      <c r="Z1" s="27" t="s">
        <v>8</v>
      </c>
      <c r="AA1" s="27" t="s">
        <v>12</v>
      </c>
      <c r="AB1" s="27" t="s">
        <v>883</v>
      </c>
      <c r="AC1" s="27" t="s">
        <v>7</v>
      </c>
      <c r="AD1" s="27" t="s">
        <v>8</v>
      </c>
      <c r="AE1" s="27" t="s">
        <v>12</v>
      </c>
      <c r="AF1" s="27" t="s">
        <v>884</v>
      </c>
      <c r="AG1" s="27" t="s">
        <v>7</v>
      </c>
      <c r="AH1" s="27" t="s">
        <v>8</v>
      </c>
      <c r="AI1" s="27" t="s">
        <v>12</v>
      </c>
      <c r="AJ1" s="27" t="s">
        <v>885</v>
      </c>
      <c r="AK1" s="27" t="s">
        <v>7</v>
      </c>
      <c r="AL1" s="27" t="s">
        <v>8</v>
      </c>
      <c r="AM1" s="27" t="s">
        <v>12</v>
      </c>
      <c r="AN1" s="27" t="s">
        <v>886</v>
      </c>
      <c r="AO1" s="27" t="s">
        <v>7</v>
      </c>
      <c r="AP1" s="27" t="s">
        <v>8</v>
      </c>
      <c r="AQ1" s="27" t="s">
        <v>12</v>
      </c>
      <c r="AR1" s="27" t="s">
        <v>887</v>
      </c>
      <c r="AS1" s="27" t="s">
        <v>7</v>
      </c>
      <c r="AT1" s="27" t="s">
        <v>8</v>
      </c>
      <c r="AU1" s="27" t="s">
        <v>12</v>
      </c>
      <c r="AV1" s="27" t="s">
        <v>888</v>
      </c>
      <c r="AW1" s="27" t="s">
        <v>7</v>
      </c>
      <c r="AX1" s="27" t="s">
        <v>8</v>
      </c>
      <c r="AY1" s="27" t="s">
        <v>12</v>
      </c>
      <c r="AZ1" s="27" t="s">
        <v>889</v>
      </c>
      <c r="BA1" s="27" t="s">
        <v>7</v>
      </c>
      <c r="BB1" s="27" t="s">
        <v>8</v>
      </c>
      <c r="BC1" s="27" t="s">
        <v>12</v>
      </c>
      <c r="BD1" s="27" t="s">
        <v>890</v>
      </c>
      <c r="BE1" s="27" t="s">
        <v>7</v>
      </c>
      <c r="BF1" s="27" t="s">
        <v>8</v>
      </c>
      <c r="BG1" s="27" t="s">
        <v>12</v>
      </c>
      <c r="BH1" s="44" t="s">
        <v>891</v>
      </c>
      <c r="BI1" s="45" t="s">
        <v>7</v>
      </c>
      <c r="BJ1" s="27" t="s">
        <v>8</v>
      </c>
      <c r="BK1" s="27" t="s">
        <v>12</v>
      </c>
      <c r="BL1" s="28" t="s">
        <v>892</v>
      </c>
      <c r="BM1" s="28" t="s">
        <v>7</v>
      </c>
      <c r="BN1" s="27" t="s">
        <v>8</v>
      </c>
      <c r="BO1" s="27" t="s">
        <v>12</v>
      </c>
      <c r="BP1" s="28" t="s">
        <v>893</v>
      </c>
      <c r="BQ1" s="28" t="s">
        <v>7</v>
      </c>
      <c r="BR1" s="27" t="s">
        <v>8</v>
      </c>
      <c r="BS1" s="27" t="s">
        <v>12</v>
      </c>
      <c r="BT1" s="27" t="s">
        <v>894</v>
      </c>
      <c r="BU1" s="27" t="s">
        <v>14</v>
      </c>
      <c r="BV1" s="27" t="s">
        <v>8</v>
      </c>
      <c r="BW1" s="27" t="s">
        <v>12</v>
      </c>
      <c r="BX1" s="27" t="s">
        <v>895</v>
      </c>
      <c r="BY1" s="27" t="s">
        <v>7</v>
      </c>
      <c r="BZ1" s="27" t="s">
        <v>8</v>
      </c>
      <c r="CA1" s="27" t="s">
        <v>12</v>
      </c>
      <c r="CB1" s="27" t="s">
        <v>896</v>
      </c>
      <c r="CC1" s="27" t="s">
        <v>7</v>
      </c>
      <c r="CD1" s="27" t="s">
        <v>8</v>
      </c>
      <c r="CE1" s="27" t="s">
        <v>12</v>
      </c>
    </row>
    <row r="2" ht="15.75" customHeight="1">
      <c r="A2" s="5">
        <v>1155.0</v>
      </c>
      <c r="B2" s="29" t="s">
        <v>48</v>
      </c>
      <c r="C2" s="5" t="str">
        <f t="shared" ref="C2:C10" si="1">CONCATENATE(D2,"_",F2,"_",G2)</f>
        <v>LP 01_BC-501A_BS VI MS</v>
      </c>
      <c r="D2" s="5" t="s">
        <v>897</v>
      </c>
      <c r="E2" s="5" t="s">
        <v>898</v>
      </c>
      <c r="F2" s="7" t="s">
        <v>899</v>
      </c>
      <c r="G2" s="7" t="s">
        <v>50</v>
      </c>
      <c r="H2" s="12" t="s">
        <v>900</v>
      </c>
      <c r="I2" s="46">
        <v>0.0</v>
      </c>
      <c r="J2" s="12"/>
      <c r="K2" s="12"/>
      <c r="L2" s="12" t="s">
        <v>901</v>
      </c>
      <c r="M2" s="46">
        <v>0.0</v>
      </c>
      <c r="N2" s="12"/>
      <c r="O2" s="12"/>
      <c r="P2" s="12" t="s">
        <v>902</v>
      </c>
      <c r="Q2" s="46">
        <v>0.0</v>
      </c>
      <c r="R2" s="12"/>
      <c r="S2" s="12"/>
      <c r="T2" s="12" t="s">
        <v>903</v>
      </c>
      <c r="U2" s="46">
        <v>0.0</v>
      </c>
      <c r="V2" s="12"/>
      <c r="W2" s="12"/>
      <c r="X2" s="12" t="s">
        <v>904</v>
      </c>
      <c r="Y2" s="46">
        <v>0.0</v>
      </c>
      <c r="Z2" s="12"/>
      <c r="AA2" s="12"/>
      <c r="AB2" s="12" t="s">
        <v>905</v>
      </c>
      <c r="AC2" s="46">
        <v>0.0</v>
      </c>
      <c r="AD2" s="12"/>
      <c r="AE2" s="12"/>
      <c r="AF2" s="12" t="s">
        <v>906</v>
      </c>
      <c r="AG2" s="46">
        <v>0.0</v>
      </c>
      <c r="AH2" s="12"/>
      <c r="AI2" s="12"/>
      <c r="AJ2" s="12" t="s">
        <v>907</v>
      </c>
      <c r="AK2" s="46">
        <v>0.0</v>
      </c>
      <c r="AL2" s="12"/>
      <c r="AM2" s="12"/>
      <c r="AN2" s="12" t="s">
        <v>908</v>
      </c>
      <c r="AO2" s="46">
        <v>0.0</v>
      </c>
      <c r="AP2" s="12"/>
      <c r="AQ2" s="12"/>
      <c r="AR2" s="12" t="s">
        <v>909</v>
      </c>
      <c r="AS2" s="46">
        <v>0.0</v>
      </c>
      <c r="AT2" s="12"/>
      <c r="AU2" s="12"/>
      <c r="AV2" s="12" t="s">
        <v>910</v>
      </c>
      <c r="AW2" s="46">
        <v>0.0</v>
      </c>
      <c r="AX2" s="12"/>
      <c r="AY2" s="12"/>
      <c r="AZ2" s="12" t="s">
        <v>911</v>
      </c>
      <c r="BA2" s="46">
        <v>0.0</v>
      </c>
      <c r="BB2" s="12"/>
      <c r="BC2" s="12"/>
      <c r="BD2" s="12" t="s">
        <v>912</v>
      </c>
      <c r="BE2" s="46">
        <v>0.0</v>
      </c>
      <c r="BF2" s="12"/>
      <c r="BG2" s="12"/>
      <c r="BH2" s="12" t="s">
        <v>913</v>
      </c>
      <c r="BI2" s="16"/>
      <c r="BJ2" s="47"/>
      <c r="BK2" s="47"/>
      <c r="BL2" s="12" t="s">
        <v>914</v>
      </c>
      <c r="BM2" s="46">
        <v>0.0</v>
      </c>
      <c r="BN2" s="12"/>
      <c r="BO2" s="12"/>
      <c r="BP2" s="12" t="s">
        <v>915</v>
      </c>
      <c r="BQ2" s="46">
        <v>0.0</v>
      </c>
      <c r="BR2" s="12"/>
      <c r="BS2" s="12"/>
      <c r="BT2" s="12" t="s">
        <v>916</v>
      </c>
      <c r="BU2" s="46">
        <v>0.0</v>
      </c>
      <c r="BV2" s="12"/>
      <c r="BW2" s="12"/>
      <c r="BX2" s="12" t="s">
        <v>917</v>
      </c>
      <c r="BY2" s="46">
        <v>0.0</v>
      </c>
      <c r="BZ2" s="12"/>
      <c r="CA2" s="12"/>
      <c r="CB2" s="12" t="s">
        <v>918</v>
      </c>
      <c r="CC2" s="46">
        <v>0.0</v>
      </c>
      <c r="CD2" s="6"/>
      <c r="CE2" s="6"/>
    </row>
    <row r="3" ht="15.75" customHeight="1">
      <c r="A3" s="5">
        <v>1155.0</v>
      </c>
      <c r="B3" s="29" t="s">
        <v>48</v>
      </c>
      <c r="C3" s="5" t="str">
        <f t="shared" si="1"/>
        <v>LP 02_BC-501B_BS VI HSD</v>
      </c>
      <c r="D3" s="5" t="s">
        <v>919</v>
      </c>
      <c r="E3" s="5" t="s">
        <v>898</v>
      </c>
      <c r="F3" s="7" t="s">
        <v>920</v>
      </c>
      <c r="G3" s="7" t="s">
        <v>116</v>
      </c>
      <c r="H3" s="18" t="s">
        <v>921</v>
      </c>
      <c r="I3" s="48">
        <v>0.0</v>
      </c>
      <c r="J3" s="6"/>
      <c r="K3" s="6"/>
      <c r="L3" s="18" t="s">
        <v>922</v>
      </c>
      <c r="M3" s="48">
        <v>0.0</v>
      </c>
      <c r="N3" s="6"/>
      <c r="O3" s="6"/>
      <c r="P3" s="18"/>
      <c r="Q3" s="18"/>
      <c r="R3" s="6"/>
      <c r="S3" s="6"/>
      <c r="T3" s="18" t="s">
        <v>923</v>
      </c>
      <c r="U3" s="48">
        <v>0.0</v>
      </c>
      <c r="V3" s="6"/>
      <c r="W3" s="6"/>
      <c r="X3" s="18"/>
      <c r="Y3" s="18"/>
      <c r="Z3" s="6"/>
      <c r="AA3" s="6"/>
      <c r="AB3" s="18" t="s">
        <v>924</v>
      </c>
      <c r="AC3" s="48">
        <v>0.0</v>
      </c>
      <c r="AD3" s="6"/>
      <c r="AE3" s="6"/>
      <c r="AF3" s="18"/>
      <c r="AG3" s="18"/>
      <c r="AH3" s="6"/>
      <c r="AI3" s="6"/>
      <c r="AJ3" s="18" t="s">
        <v>925</v>
      </c>
      <c r="AK3" s="48">
        <v>0.0</v>
      </c>
      <c r="AL3" s="6"/>
      <c r="AM3" s="6"/>
      <c r="AN3" s="18" t="s">
        <v>926</v>
      </c>
      <c r="AO3" s="48">
        <v>0.0</v>
      </c>
      <c r="AP3" s="6"/>
      <c r="AQ3" s="6"/>
      <c r="AR3" s="18" t="s">
        <v>927</v>
      </c>
      <c r="AS3" s="48">
        <v>0.0</v>
      </c>
      <c r="AT3" s="6"/>
      <c r="AU3" s="6"/>
      <c r="AV3" s="18" t="s">
        <v>928</v>
      </c>
      <c r="AW3" s="48">
        <v>0.0</v>
      </c>
      <c r="AX3" s="6"/>
      <c r="AY3" s="6"/>
      <c r="AZ3" s="18" t="s">
        <v>929</v>
      </c>
      <c r="BA3" s="48">
        <v>0.0</v>
      </c>
      <c r="BB3" s="6"/>
      <c r="BC3" s="6"/>
      <c r="BD3" s="18" t="s">
        <v>930</v>
      </c>
      <c r="BE3" s="48">
        <v>0.0</v>
      </c>
      <c r="BF3" s="6"/>
      <c r="BG3" s="6"/>
      <c r="BH3" s="18" t="s">
        <v>931</v>
      </c>
      <c r="BI3" s="6"/>
      <c r="BJ3" s="6"/>
      <c r="BK3" s="6"/>
      <c r="BL3" s="18" t="s">
        <v>932</v>
      </c>
      <c r="BM3" s="48">
        <v>0.0</v>
      </c>
      <c r="BN3" s="6"/>
      <c r="BO3" s="6"/>
      <c r="BP3" s="18"/>
      <c r="BQ3" s="18"/>
      <c r="BR3" s="6"/>
      <c r="BS3" s="6"/>
      <c r="BT3" s="18" t="s">
        <v>933</v>
      </c>
      <c r="BU3" s="48">
        <v>0.0</v>
      </c>
      <c r="BV3" s="6"/>
      <c r="BW3" s="6"/>
      <c r="BX3" s="18" t="s">
        <v>934</v>
      </c>
      <c r="BY3" s="48">
        <v>0.0</v>
      </c>
      <c r="BZ3" s="6"/>
      <c r="CA3" s="6"/>
      <c r="CB3" s="18"/>
      <c r="CC3" s="18"/>
      <c r="CD3" s="6"/>
      <c r="CE3" s="6"/>
    </row>
    <row r="4" ht="15.75" customHeight="1">
      <c r="A4" s="5">
        <v>1155.0</v>
      </c>
      <c r="B4" s="29" t="s">
        <v>48</v>
      </c>
      <c r="C4" s="5" t="str">
        <f t="shared" si="1"/>
        <v>LP 03_BC-502A_BS VI MS</v>
      </c>
      <c r="D4" s="5" t="s">
        <v>935</v>
      </c>
      <c r="E4" s="5" t="s">
        <v>898</v>
      </c>
      <c r="F4" s="7" t="s">
        <v>936</v>
      </c>
      <c r="G4" s="7" t="s">
        <v>50</v>
      </c>
      <c r="H4" s="18" t="s">
        <v>937</v>
      </c>
      <c r="I4" s="48">
        <v>0.0</v>
      </c>
      <c r="J4" s="6"/>
      <c r="K4" s="6"/>
      <c r="L4" s="18" t="s">
        <v>938</v>
      </c>
      <c r="M4" s="48">
        <v>0.0</v>
      </c>
      <c r="N4" s="6"/>
      <c r="O4" s="6"/>
      <c r="P4" s="18" t="s">
        <v>939</v>
      </c>
      <c r="Q4" s="48">
        <v>0.0</v>
      </c>
      <c r="R4" s="6"/>
      <c r="S4" s="6"/>
      <c r="T4" s="18" t="s">
        <v>940</v>
      </c>
      <c r="U4" s="48">
        <v>0.0</v>
      </c>
      <c r="V4" s="6"/>
      <c r="W4" s="6"/>
      <c r="X4" s="18" t="s">
        <v>941</v>
      </c>
      <c r="Y4" s="48">
        <v>0.0</v>
      </c>
      <c r="Z4" s="6"/>
      <c r="AA4" s="6"/>
      <c r="AB4" s="18" t="s">
        <v>942</v>
      </c>
      <c r="AC4" s="48">
        <v>0.0</v>
      </c>
      <c r="AD4" s="6"/>
      <c r="AE4" s="6"/>
      <c r="AF4" s="18" t="s">
        <v>943</v>
      </c>
      <c r="AG4" s="48">
        <v>0.0</v>
      </c>
      <c r="AH4" s="6"/>
      <c r="AI4" s="6"/>
      <c r="AJ4" s="18" t="s">
        <v>944</v>
      </c>
      <c r="AK4" s="48">
        <v>0.0</v>
      </c>
      <c r="AL4" s="6"/>
      <c r="AM4" s="6"/>
      <c r="AN4" s="18" t="s">
        <v>945</v>
      </c>
      <c r="AO4" s="48">
        <v>0.0</v>
      </c>
      <c r="AP4" s="6"/>
      <c r="AQ4" s="6"/>
      <c r="AR4" s="18" t="s">
        <v>946</v>
      </c>
      <c r="AS4" s="48">
        <v>0.0</v>
      </c>
      <c r="AT4" s="6"/>
      <c r="AU4" s="6"/>
      <c r="AV4" s="18" t="s">
        <v>947</v>
      </c>
      <c r="AW4" s="48">
        <v>0.0</v>
      </c>
      <c r="AX4" s="6"/>
      <c r="AY4" s="6"/>
      <c r="AZ4" s="18" t="s">
        <v>948</v>
      </c>
      <c r="BA4" s="48">
        <v>0.0</v>
      </c>
      <c r="BB4" s="6"/>
      <c r="BC4" s="6"/>
      <c r="BD4" s="18" t="s">
        <v>949</v>
      </c>
      <c r="BE4" s="48">
        <v>0.0</v>
      </c>
      <c r="BF4" s="6"/>
      <c r="BG4" s="6"/>
      <c r="BH4" s="18" t="s">
        <v>950</v>
      </c>
      <c r="BI4" s="6"/>
      <c r="BJ4" s="6"/>
      <c r="BK4" s="6"/>
      <c r="BL4" s="18" t="s">
        <v>951</v>
      </c>
      <c r="BM4" s="48">
        <v>0.0</v>
      </c>
      <c r="BN4" s="6"/>
      <c r="BO4" s="6"/>
      <c r="BP4" s="18" t="s">
        <v>952</v>
      </c>
      <c r="BQ4" s="48">
        <v>0.0</v>
      </c>
      <c r="BR4" s="6"/>
      <c r="BS4" s="6"/>
      <c r="BT4" s="18" t="s">
        <v>953</v>
      </c>
      <c r="BU4" s="48">
        <v>0.0</v>
      </c>
      <c r="BV4" s="6"/>
      <c r="BW4" s="6"/>
      <c r="BX4" s="18" t="s">
        <v>954</v>
      </c>
      <c r="BY4" s="48">
        <v>0.0</v>
      </c>
      <c r="BZ4" s="6"/>
      <c r="CA4" s="6"/>
      <c r="CB4" s="18" t="s">
        <v>955</v>
      </c>
      <c r="CC4" s="48">
        <v>0.0</v>
      </c>
      <c r="CD4" s="6"/>
      <c r="CE4" s="6"/>
    </row>
    <row r="5" ht="15.75" customHeight="1">
      <c r="A5" s="5">
        <v>1155.0</v>
      </c>
      <c r="B5" s="29" t="s">
        <v>48</v>
      </c>
      <c r="C5" s="5" t="str">
        <f t="shared" si="1"/>
        <v>LP 04_BC-502B_BS VI HSD</v>
      </c>
      <c r="D5" s="5" t="s">
        <v>956</v>
      </c>
      <c r="E5" s="5" t="s">
        <v>898</v>
      </c>
      <c r="F5" s="7" t="s">
        <v>957</v>
      </c>
      <c r="G5" s="7" t="s">
        <v>116</v>
      </c>
      <c r="H5" s="18" t="s">
        <v>958</v>
      </c>
      <c r="I5" s="48">
        <v>0.0</v>
      </c>
      <c r="J5" s="6"/>
      <c r="K5" s="6"/>
      <c r="L5" s="18" t="s">
        <v>959</v>
      </c>
      <c r="M5" s="48">
        <v>0.0</v>
      </c>
      <c r="N5" s="6"/>
      <c r="O5" s="6"/>
      <c r="P5" s="18"/>
      <c r="Q5" s="18"/>
      <c r="R5" s="6"/>
      <c r="S5" s="6"/>
      <c r="T5" s="18" t="s">
        <v>960</v>
      </c>
      <c r="U5" s="48">
        <v>0.0</v>
      </c>
      <c r="V5" s="6"/>
      <c r="W5" s="6"/>
      <c r="X5" s="18"/>
      <c r="Y5" s="18"/>
      <c r="Z5" s="6"/>
      <c r="AA5" s="6"/>
      <c r="AB5" s="18" t="s">
        <v>961</v>
      </c>
      <c r="AC5" s="48">
        <v>0.0</v>
      </c>
      <c r="AD5" s="6"/>
      <c r="AE5" s="6"/>
      <c r="AF5" s="18"/>
      <c r="AG5" s="18"/>
      <c r="AH5" s="6"/>
      <c r="AI5" s="6"/>
      <c r="AJ5" s="18" t="s">
        <v>962</v>
      </c>
      <c r="AK5" s="48">
        <v>0.0</v>
      </c>
      <c r="AL5" s="6"/>
      <c r="AM5" s="6"/>
      <c r="AN5" s="18" t="s">
        <v>963</v>
      </c>
      <c r="AO5" s="48">
        <v>0.0</v>
      </c>
      <c r="AP5" s="6"/>
      <c r="AQ5" s="6"/>
      <c r="AR5" s="18" t="s">
        <v>964</v>
      </c>
      <c r="AS5" s="48">
        <v>0.0</v>
      </c>
      <c r="AT5" s="6"/>
      <c r="AU5" s="6"/>
      <c r="AV5" s="18" t="s">
        <v>965</v>
      </c>
      <c r="AW5" s="48">
        <v>0.0</v>
      </c>
      <c r="AX5" s="6"/>
      <c r="AY5" s="6"/>
      <c r="AZ5" s="18" t="s">
        <v>966</v>
      </c>
      <c r="BA5" s="48">
        <v>0.0</v>
      </c>
      <c r="BB5" s="6"/>
      <c r="BC5" s="6"/>
      <c r="BD5" s="18" t="s">
        <v>967</v>
      </c>
      <c r="BE5" s="48">
        <v>0.0</v>
      </c>
      <c r="BF5" s="6"/>
      <c r="BG5" s="6"/>
      <c r="BH5" s="18" t="s">
        <v>968</v>
      </c>
      <c r="BI5" s="6"/>
      <c r="BJ5" s="6"/>
      <c r="BK5" s="6"/>
      <c r="BL5" s="18" t="s">
        <v>969</v>
      </c>
      <c r="BM5" s="48">
        <v>0.0</v>
      </c>
      <c r="BN5" s="6"/>
      <c r="BO5" s="6"/>
      <c r="BP5" s="18"/>
      <c r="BQ5" s="18"/>
      <c r="BR5" s="6"/>
      <c r="BS5" s="6"/>
      <c r="BT5" s="18" t="s">
        <v>970</v>
      </c>
      <c r="BU5" s="48">
        <v>0.0</v>
      </c>
      <c r="BV5" s="6"/>
      <c r="BW5" s="6"/>
      <c r="BX5" s="18" t="s">
        <v>971</v>
      </c>
      <c r="BY5" s="48">
        <v>0.0</v>
      </c>
      <c r="BZ5" s="6"/>
      <c r="CA5" s="6"/>
      <c r="CB5" s="18"/>
      <c r="CC5" s="18"/>
      <c r="CD5" s="6"/>
      <c r="CE5" s="6"/>
    </row>
    <row r="6" ht="15.75" customHeight="1">
      <c r="A6" s="5">
        <v>1155.0</v>
      </c>
      <c r="B6" s="29" t="s">
        <v>48</v>
      </c>
      <c r="C6" s="5" t="str">
        <f t="shared" si="1"/>
        <v>LP 05_BC-503A_BS VI MS</v>
      </c>
      <c r="D6" s="5" t="s">
        <v>972</v>
      </c>
      <c r="E6" s="5" t="s">
        <v>898</v>
      </c>
      <c r="F6" s="7" t="s">
        <v>973</v>
      </c>
      <c r="G6" s="7" t="s">
        <v>50</v>
      </c>
      <c r="H6" s="18" t="s">
        <v>974</v>
      </c>
      <c r="I6" s="48">
        <v>0.0</v>
      </c>
      <c r="J6" s="6"/>
      <c r="K6" s="6"/>
      <c r="L6" s="18" t="s">
        <v>975</v>
      </c>
      <c r="M6" s="48">
        <v>0.0</v>
      </c>
      <c r="N6" s="6"/>
      <c r="O6" s="6"/>
      <c r="P6" s="18" t="s">
        <v>976</v>
      </c>
      <c r="Q6" s="48">
        <v>0.0</v>
      </c>
      <c r="R6" s="6"/>
      <c r="S6" s="6"/>
      <c r="T6" s="18" t="s">
        <v>977</v>
      </c>
      <c r="U6" s="48">
        <v>0.0</v>
      </c>
      <c r="V6" s="6"/>
      <c r="W6" s="6"/>
      <c r="X6" s="18" t="s">
        <v>978</v>
      </c>
      <c r="Y6" s="48">
        <v>0.0</v>
      </c>
      <c r="Z6" s="6"/>
      <c r="AA6" s="6"/>
      <c r="AB6" s="18" t="s">
        <v>979</v>
      </c>
      <c r="AC6" s="48">
        <v>0.0</v>
      </c>
      <c r="AD6" s="6"/>
      <c r="AE6" s="6"/>
      <c r="AF6" s="18" t="s">
        <v>980</v>
      </c>
      <c r="AG6" s="48">
        <v>0.0</v>
      </c>
      <c r="AH6" s="6"/>
      <c r="AI6" s="6"/>
      <c r="AJ6" s="18" t="s">
        <v>981</v>
      </c>
      <c r="AK6" s="48">
        <v>0.0</v>
      </c>
      <c r="AL6" s="6"/>
      <c r="AM6" s="6"/>
      <c r="AN6" s="18" t="s">
        <v>982</v>
      </c>
      <c r="AO6" s="48">
        <v>0.0</v>
      </c>
      <c r="AP6" s="6"/>
      <c r="AQ6" s="6"/>
      <c r="AR6" s="18" t="s">
        <v>983</v>
      </c>
      <c r="AS6" s="48">
        <v>0.0</v>
      </c>
      <c r="AT6" s="6"/>
      <c r="AU6" s="6"/>
      <c r="AV6" s="18" t="s">
        <v>984</v>
      </c>
      <c r="AW6" s="48">
        <v>0.0</v>
      </c>
      <c r="AX6" s="6"/>
      <c r="AY6" s="6"/>
      <c r="AZ6" s="18" t="s">
        <v>985</v>
      </c>
      <c r="BA6" s="48">
        <v>0.0</v>
      </c>
      <c r="BB6" s="6"/>
      <c r="BC6" s="6"/>
      <c r="BD6" s="18" t="s">
        <v>986</v>
      </c>
      <c r="BE6" s="48">
        <v>0.0</v>
      </c>
      <c r="BF6" s="6"/>
      <c r="BG6" s="6"/>
      <c r="BH6" s="18" t="s">
        <v>987</v>
      </c>
      <c r="BI6" s="6"/>
      <c r="BJ6" s="6"/>
      <c r="BK6" s="6"/>
      <c r="BL6" s="18" t="s">
        <v>988</v>
      </c>
      <c r="BM6" s="48">
        <v>0.0</v>
      </c>
      <c r="BN6" s="6"/>
      <c r="BO6" s="6"/>
      <c r="BP6" s="18" t="s">
        <v>989</v>
      </c>
      <c r="BQ6" s="48">
        <v>0.0</v>
      </c>
      <c r="BR6" s="6"/>
      <c r="BS6" s="6"/>
      <c r="BT6" s="18" t="s">
        <v>990</v>
      </c>
      <c r="BU6" s="48">
        <v>0.0</v>
      </c>
      <c r="BV6" s="6"/>
      <c r="BW6" s="6"/>
      <c r="BX6" s="18" t="s">
        <v>991</v>
      </c>
      <c r="BY6" s="48">
        <v>0.0</v>
      </c>
      <c r="BZ6" s="6"/>
      <c r="CA6" s="6"/>
      <c r="CB6" s="18" t="s">
        <v>992</v>
      </c>
      <c r="CC6" s="48">
        <v>0.0</v>
      </c>
      <c r="CD6" s="6"/>
      <c r="CE6" s="6"/>
    </row>
    <row r="7" ht="15.75" customHeight="1">
      <c r="A7" s="5">
        <v>1155.0</v>
      </c>
      <c r="B7" s="29" t="s">
        <v>48</v>
      </c>
      <c r="C7" s="5" t="str">
        <f t="shared" si="1"/>
        <v>LP 06_BC-503B_BS VI HSD</v>
      </c>
      <c r="D7" s="5" t="s">
        <v>993</v>
      </c>
      <c r="E7" s="5" t="s">
        <v>898</v>
      </c>
      <c r="F7" s="7" t="s">
        <v>994</v>
      </c>
      <c r="G7" s="7" t="s">
        <v>116</v>
      </c>
      <c r="H7" s="18" t="s">
        <v>995</v>
      </c>
      <c r="I7" s="48">
        <v>0.0</v>
      </c>
      <c r="J7" s="6"/>
      <c r="K7" s="6"/>
      <c r="L7" s="18" t="s">
        <v>996</v>
      </c>
      <c r="M7" s="48">
        <v>0.0</v>
      </c>
      <c r="N7" s="6"/>
      <c r="O7" s="6"/>
      <c r="P7" s="18"/>
      <c r="Q7" s="18"/>
      <c r="R7" s="6"/>
      <c r="S7" s="6"/>
      <c r="T7" s="18" t="s">
        <v>997</v>
      </c>
      <c r="U7" s="48">
        <v>0.0</v>
      </c>
      <c r="V7" s="6"/>
      <c r="W7" s="6"/>
      <c r="X7" s="18"/>
      <c r="Y7" s="18"/>
      <c r="Z7" s="6"/>
      <c r="AA7" s="6"/>
      <c r="AB7" s="18" t="s">
        <v>998</v>
      </c>
      <c r="AC7" s="48">
        <v>0.0</v>
      </c>
      <c r="AD7" s="6"/>
      <c r="AE7" s="6"/>
      <c r="AF7" s="18"/>
      <c r="AG7" s="18"/>
      <c r="AH7" s="6"/>
      <c r="AI7" s="6"/>
      <c r="AJ7" s="18" t="s">
        <v>999</v>
      </c>
      <c r="AK7" s="48">
        <v>0.0</v>
      </c>
      <c r="AL7" s="6"/>
      <c r="AM7" s="6"/>
      <c r="AN7" s="18" t="s">
        <v>1000</v>
      </c>
      <c r="AO7" s="48">
        <v>0.0</v>
      </c>
      <c r="AP7" s="6"/>
      <c r="AQ7" s="6"/>
      <c r="AR7" s="18" t="s">
        <v>1001</v>
      </c>
      <c r="AS7" s="48">
        <v>0.0</v>
      </c>
      <c r="AT7" s="6"/>
      <c r="AU7" s="6"/>
      <c r="AV7" s="18" t="s">
        <v>1002</v>
      </c>
      <c r="AW7" s="48">
        <v>0.0</v>
      </c>
      <c r="AX7" s="6"/>
      <c r="AY7" s="6"/>
      <c r="AZ7" s="18" t="s">
        <v>1003</v>
      </c>
      <c r="BA7" s="48">
        <v>0.0</v>
      </c>
      <c r="BB7" s="6"/>
      <c r="BC7" s="6"/>
      <c r="BD7" s="18" t="s">
        <v>1004</v>
      </c>
      <c r="BE7" s="48">
        <v>0.0</v>
      </c>
      <c r="BF7" s="6"/>
      <c r="BG7" s="6"/>
      <c r="BH7" s="18" t="s">
        <v>1005</v>
      </c>
      <c r="BI7" s="6"/>
      <c r="BJ7" s="6"/>
      <c r="BK7" s="6"/>
      <c r="BL7" s="18" t="s">
        <v>1006</v>
      </c>
      <c r="BM7" s="48">
        <v>0.0</v>
      </c>
      <c r="BN7" s="6"/>
      <c r="BO7" s="6"/>
      <c r="BP7" s="18"/>
      <c r="BQ7" s="18"/>
      <c r="BR7" s="6"/>
      <c r="BS7" s="6"/>
      <c r="BT7" s="18" t="s">
        <v>1007</v>
      </c>
      <c r="BU7" s="48">
        <v>0.0</v>
      </c>
      <c r="BV7" s="6"/>
      <c r="BW7" s="6"/>
      <c r="BX7" s="18" t="s">
        <v>1008</v>
      </c>
      <c r="BY7" s="48">
        <v>0.0</v>
      </c>
      <c r="BZ7" s="6"/>
      <c r="CA7" s="6"/>
      <c r="CB7" s="18"/>
      <c r="CC7" s="18"/>
      <c r="CD7" s="6"/>
      <c r="CE7" s="6"/>
    </row>
    <row r="8" ht="15.75" customHeight="1">
      <c r="A8" s="5">
        <v>1155.0</v>
      </c>
      <c r="B8" s="29" t="s">
        <v>48</v>
      </c>
      <c r="C8" s="5" t="str">
        <f t="shared" si="1"/>
        <v>LP 07_BC-504A_BS VI MS</v>
      </c>
      <c r="D8" s="5" t="s">
        <v>1009</v>
      </c>
      <c r="E8" s="5" t="s">
        <v>898</v>
      </c>
      <c r="F8" s="7" t="s">
        <v>1010</v>
      </c>
      <c r="G8" s="7" t="s">
        <v>50</v>
      </c>
      <c r="H8" s="18" t="s">
        <v>1011</v>
      </c>
      <c r="I8" s="48">
        <v>0.0</v>
      </c>
      <c r="J8" s="6"/>
      <c r="K8" s="6"/>
      <c r="L8" s="18" t="s">
        <v>1012</v>
      </c>
      <c r="M8" s="48">
        <v>0.0</v>
      </c>
      <c r="N8" s="6"/>
      <c r="O8" s="6"/>
      <c r="P8" s="18" t="s">
        <v>1013</v>
      </c>
      <c r="Q8" s="48">
        <v>0.0</v>
      </c>
      <c r="R8" s="6"/>
      <c r="S8" s="6"/>
      <c r="T8" s="18" t="s">
        <v>1014</v>
      </c>
      <c r="U8" s="48">
        <v>0.0</v>
      </c>
      <c r="V8" s="6"/>
      <c r="W8" s="6"/>
      <c r="X8" s="18" t="s">
        <v>1015</v>
      </c>
      <c r="Y8" s="48">
        <v>0.0</v>
      </c>
      <c r="Z8" s="6"/>
      <c r="AA8" s="6"/>
      <c r="AB8" s="18" t="s">
        <v>1016</v>
      </c>
      <c r="AC8" s="48">
        <v>0.0</v>
      </c>
      <c r="AD8" s="6"/>
      <c r="AE8" s="6"/>
      <c r="AF8" s="18" t="s">
        <v>1017</v>
      </c>
      <c r="AG8" s="48">
        <v>0.0</v>
      </c>
      <c r="AH8" s="6"/>
      <c r="AI8" s="6"/>
      <c r="AJ8" s="18" t="s">
        <v>1018</v>
      </c>
      <c r="AK8" s="48">
        <v>0.0</v>
      </c>
      <c r="AL8" s="6"/>
      <c r="AM8" s="6"/>
      <c r="AN8" s="18" t="s">
        <v>1019</v>
      </c>
      <c r="AO8" s="48">
        <v>0.0</v>
      </c>
      <c r="AP8" s="6"/>
      <c r="AQ8" s="6"/>
      <c r="AR8" s="18" t="s">
        <v>1020</v>
      </c>
      <c r="AS8" s="48">
        <v>0.0</v>
      </c>
      <c r="AT8" s="6"/>
      <c r="AU8" s="6"/>
      <c r="AV8" s="18" t="s">
        <v>1021</v>
      </c>
      <c r="AW8" s="48">
        <v>0.0</v>
      </c>
      <c r="AX8" s="6"/>
      <c r="AY8" s="6"/>
      <c r="AZ8" s="18" t="s">
        <v>1022</v>
      </c>
      <c r="BA8" s="48">
        <v>0.0</v>
      </c>
      <c r="BB8" s="6"/>
      <c r="BC8" s="6"/>
      <c r="BD8" s="18" t="s">
        <v>1023</v>
      </c>
      <c r="BE8" s="48">
        <v>0.0</v>
      </c>
      <c r="BF8" s="6"/>
      <c r="BG8" s="6"/>
      <c r="BH8" s="18" t="s">
        <v>1024</v>
      </c>
      <c r="BI8" s="6"/>
      <c r="BJ8" s="6"/>
      <c r="BK8" s="6"/>
      <c r="BL8" s="18" t="s">
        <v>1025</v>
      </c>
      <c r="BM8" s="48">
        <v>0.0</v>
      </c>
      <c r="BN8" s="6"/>
      <c r="BO8" s="6"/>
      <c r="BP8" s="18" t="s">
        <v>1026</v>
      </c>
      <c r="BQ8" s="48">
        <v>0.0</v>
      </c>
      <c r="BR8" s="6"/>
      <c r="BS8" s="6"/>
      <c r="BT8" s="18" t="s">
        <v>1027</v>
      </c>
      <c r="BU8" s="48">
        <v>0.0</v>
      </c>
      <c r="BV8" s="6"/>
      <c r="BW8" s="6"/>
      <c r="BX8" s="18" t="s">
        <v>1028</v>
      </c>
      <c r="BY8" s="48">
        <v>0.0</v>
      </c>
      <c r="BZ8" s="6"/>
      <c r="CA8" s="6"/>
      <c r="CB8" s="18" t="s">
        <v>1028</v>
      </c>
      <c r="CC8" s="48">
        <v>0.0</v>
      </c>
      <c r="CD8" s="6"/>
      <c r="CE8" s="6"/>
    </row>
    <row r="9" ht="15.75" customHeight="1">
      <c r="A9" s="5">
        <v>1155.0</v>
      </c>
      <c r="B9" s="29" t="s">
        <v>48</v>
      </c>
      <c r="C9" s="5" t="str">
        <f t="shared" si="1"/>
        <v>LP 08_BC-504B_BS VI HSD</v>
      </c>
      <c r="D9" s="5" t="s">
        <v>1029</v>
      </c>
      <c r="E9" s="5" t="s">
        <v>898</v>
      </c>
      <c r="F9" s="7" t="s">
        <v>1030</v>
      </c>
      <c r="G9" s="7" t="s">
        <v>116</v>
      </c>
      <c r="H9" s="18" t="s">
        <v>1031</v>
      </c>
      <c r="I9" s="48">
        <v>0.0</v>
      </c>
      <c r="J9" s="6"/>
      <c r="K9" s="6"/>
      <c r="L9" s="18" t="s">
        <v>1032</v>
      </c>
      <c r="M9" s="48">
        <v>0.0</v>
      </c>
      <c r="N9" s="6"/>
      <c r="O9" s="6"/>
      <c r="P9" s="18"/>
      <c r="Q9" s="18"/>
      <c r="R9" s="6"/>
      <c r="S9" s="6"/>
      <c r="T9" s="18" t="s">
        <v>1033</v>
      </c>
      <c r="U9" s="48">
        <v>0.0</v>
      </c>
      <c r="V9" s="6"/>
      <c r="W9" s="6"/>
      <c r="X9" s="18"/>
      <c r="Y9" s="18"/>
      <c r="Z9" s="6"/>
      <c r="AA9" s="6"/>
      <c r="AB9" s="18" t="s">
        <v>1034</v>
      </c>
      <c r="AC9" s="48">
        <v>0.0</v>
      </c>
      <c r="AD9" s="6"/>
      <c r="AE9" s="6"/>
      <c r="AF9" s="18"/>
      <c r="AG9" s="18"/>
      <c r="AH9" s="6"/>
      <c r="AI9" s="6"/>
      <c r="AJ9" s="18" t="s">
        <v>1035</v>
      </c>
      <c r="AK9" s="48">
        <v>0.0</v>
      </c>
      <c r="AL9" s="6"/>
      <c r="AM9" s="6"/>
      <c r="AN9" s="18" t="s">
        <v>1036</v>
      </c>
      <c r="AO9" s="48">
        <v>0.0</v>
      </c>
      <c r="AP9" s="6"/>
      <c r="AQ9" s="6"/>
      <c r="AR9" s="18" t="s">
        <v>1037</v>
      </c>
      <c r="AS9" s="48">
        <v>0.0</v>
      </c>
      <c r="AT9" s="6"/>
      <c r="AU9" s="6"/>
      <c r="AV9" s="18" t="s">
        <v>1038</v>
      </c>
      <c r="AW9" s="48">
        <v>0.0</v>
      </c>
      <c r="AX9" s="6"/>
      <c r="AY9" s="6"/>
      <c r="AZ9" s="18" t="s">
        <v>1039</v>
      </c>
      <c r="BA9" s="48">
        <v>0.0</v>
      </c>
      <c r="BB9" s="6"/>
      <c r="BC9" s="6"/>
      <c r="BD9" s="18" t="s">
        <v>1040</v>
      </c>
      <c r="BE9" s="48">
        <v>0.0</v>
      </c>
      <c r="BF9" s="6"/>
      <c r="BG9" s="6"/>
      <c r="BH9" s="18" t="s">
        <v>1041</v>
      </c>
      <c r="BI9" s="6"/>
      <c r="BJ9" s="6"/>
      <c r="BK9" s="6"/>
      <c r="BL9" s="18" t="s">
        <v>1042</v>
      </c>
      <c r="BM9" s="48">
        <v>0.0</v>
      </c>
      <c r="BN9" s="6"/>
      <c r="BO9" s="6"/>
      <c r="BP9" s="18"/>
      <c r="BQ9" s="18"/>
      <c r="BR9" s="6"/>
      <c r="BS9" s="6"/>
      <c r="BT9" s="18" t="s">
        <v>1043</v>
      </c>
      <c r="BU9" s="48">
        <v>0.0</v>
      </c>
      <c r="BV9" s="6"/>
      <c r="BW9" s="6"/>
      <c r="BX9" s="18" t="s">
        <v>1044</v>
      </c>
      <c r="BY9" s="48">
        <v>0.0</v>
      </c>
      <c r="BZ9" s="6"/>
      <c r="CA9" s="6"/>
      <c r="CB9" s="18"/>
      <c r="CC9" s="18"/>
      <c r="CD9" s="6"/>
      <c r="CE9" s="6"/>
    </row>
    <row r="10" ht="15.75" customHeight="1">
      <c r="A10" s="5">
        <v>1155.0</v>
      </c>
      <c r="B10" s="29" t="s">
        <v>48</v>
      </c>
      <c r="C10" s="5" t="str">
        <f t="shared" si="1"/>
        <v>LP 09_BC-505A_BS IV MS</v>
      </c>
      <c r="D10" s="5" t="s">
        <v>1045</v>
      </c>
      <c r="E10" s="5" t="s">
        <v>898</v>
      </c>
      <c r="F10" s="7" t="s">
        <v>1046</v>
      </c>
      <c r="G10" s="7" t="s">
        <v>1047</v>
      </c>
      <c r="H10" s="18" t="s">
        <v>1048</v>
      </c>
      <c r="I10" s="48">
        <v>0.0</v>
      </c>
      <c r="J10" s="6"/>
      <c r="K10" s="6"/>
      <c r="L10" s="18" t="s">
        <v>1049</v>
      </c>
      <c r="M10" s="48">
        <v>0.0</v>
      </c>
      <c r="N10" s="6"/>
      <c r="O10" s="6"/>
      <c r="P10" s="18" t="s">
        <v>1050</v>
      </c>
      <c r="Q10" s="48">
        <v>0.0</v>
      </c>
      <c r="R10" s="6"/>
      <c r="S10" s="6"/>
      <c r="T10" s="18" t="s">
        <v>1051</v>
      </c>
      <c r="U10" s="48">
        <v>0.0</v>
      </c>
      <c r="V10" s="6"/>
      <c r="W10" s="6"/>
      <c r="X10" s="18" t="s">
        <v>1052</v>
      </c>
      <c r="Y10" s="48">
        <v>0.0</v>
      </c>
      <c r="Z10" s="6"/>
      <c r="AA10" s="6"/>
      <c r="AB10" s="18" t="s">
        <v>1053</v>
      </c>
      <c r="AC10" s="48">
        <v>0.0</v>
      </c>
      <c r="AD10" s="6"/>
      <c r="AE10" s="6"/>
      <c r="AF10" s="18" t="s">
        <v>1054</v>
      </c>
      <c r="AG10" s="48">
        <v>0.0</v>
      </c>
      <c r="AH10" s="6"/>
      <c r="AI10" s="6"/>
      <c r="AJ10" s="18" t="s">
        <v>1055</v>
      </c>
      <c r="AK10" s="48">
        <v>0.0</v>
      </c>
      <c r="AL10" s="6"/>
      <c r="AM10" s="6"/>
      <c r="AN10" s="18" t="s">
        <v>1056</v>
      </c>
      <c r="AO10" s="48">
        <v>0.0</v>
      </c>
      <c r="AP10" s="6"/>
      <c r="AQ10" s="6"/>
      <c r="AR10" s="18" t="s">
        <v>1057</v>
      </c>
      <c r="AS10" s="48">
        <v>0.0</v>
      </c>
      <c r="AT10" s="6"/>
      <c r="AU10" s="6"/>
      <c r="AV10" s="18" t="s">
        <v>1058</v>
      </c>
      <c r="AW10" s="48">
        <v>0.0</v>
      </c>
      <c r="AX10" s="6"/>
      <c r="AY10" s="6"/>
      <c r="AZ10" s="18" t="s">
        <v>1059</v>
      </c>
      <c r="BA10" s="48">
        <v>0.0</v>
      </c>
      <c r="BB10" s="6"/>
      <c r="BC10" s="6"/>
      <c r="BD10" s="18" t="s">
        <v>1060</v>
      </c>
      <c r="BE10" s="48">
        <v>0.0</v>
      </c>
      <c r="BF10" s="6"/>
      <c r="BG10" s="6"/>
      <c r="BH10" s="18" t="s">
        <v>1061</v>
      </c>
      <c r="BI10" s="6"/>
      <c r="BJ10" s="6"/>
      <c r="BK10" s="6"/>
      <c r="BL10" s="18" t="s">
        <v>1062</v>
      </c>
      <c r="BM10" s="48">
        <v>0.0</v>
      </c>
      <c r="BN10" s="6"/>
      <c r="BO10" s="6"/>
      <c r="BP10" s="18" t="s">
        <v>1063</v>
      </c>
      <c r="BQ10" s="48">
        <v>0.0</v>
      </c>
      <c r="BR10" s="6"/>
      <c r="BS10" s="6"/>
      <c r="BT10" s="18" t="s">
        <v>1064</v>
      </c>
      <c r="BU10" s="48">
        <v>0.0</v>
      </c>
      <c r="BV10" s="6"/>
      <c r="BW10" s="6"/>
      <c r="BX10" s="18" t="s">
        <v>1065</v>
      </c>
      <c r="BY10" s="48">
        <v>0.0</v>
      </c>
      <c r="BZ10" s="6"/>
      <c r="CA10" s="6"/>
      <c r="CB10" s="18" t="s">
        <v>1066</v>
      </c>
      <c r="CC10" s="48">
        <v>0.0</v>
      </c>
      <c r="CD10" s="6"/>
      <c r="CE10" s="6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1067</v>
      </c>
      <c r="D1" s="1" t="s">
        <v>1068</v>
      </c>
      <c r="E1" s="1" t="s">
        <v>7</v>
      </c>
      <c r="F1" s="43" t="s">
        <v>1069</v>
      </c>
      <c r="G1" s="1" t="s">
        <v>7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13"/>
      <c r="B2" s="13"/>
      <c r="C2" s="13"/>
      <c r="D2" s="6"/>
      <c r="E2" s="6"/>
      <c r="F2" s="13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43" t="s">
        <v>1070</v>
      </c>
      <c r="D1" s="43" t="s">
        <v>1071</v>
      </c>
      <c r="E1" s="43" t="s">
        <v>1072</v>
      </c>
      <c r="F1" s="43" t="s">
        <v>757</v>
      </c>
      <c r="G1" s="43" t="s">
        <v>758</v>
      </c>
      <c r="H1" s="43" t="s">
        <v>759</v>
      </c>
      <c r="I1" s="43" t="s">
        <v>760</v>
      </c>
      <c r="J1" s="6" t="s">
        <v>1073</v>
      </c>
      <c r="K1" s="6" t="s">
        <v>1074</v>
      </c>
      <c r="L1" s="6" t="s">
        <v>1075</v>
      </c>
      <c r="M1" s="6" t="s">
        <v>7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5">
        <v>1155.0</v>
      </c>
      <c r="B2" s="29" t="s">
        <v>48</v>
      </c>
      <c r="C2" s="49" t="s">
        <v>1076</v>
      </c>
      <c r="D2" s="9" t="s">
        <v>1077</v>
      </c>
      <c r="E2" s="50">
        <v>0.0</v>
      </c>
      <c r="F2" s="9" t="s">
        <v>782</v>
      </c>
      <c r="G2" s="5">
        <v>0.0</v>
      </c>
      <c r="H2" s="9" t="s">
        <v>783</v>
      </c>
      <c r="I2" s="5">
        <v>0.0</v>
      </c>
      <c r="J2" s="9" t="s">
        <v>1078</v>
      </c>
      <c r="K2" s="39">
        <v>0.0</v>
      </c>
      <c r="L2" s="9" t="s">
        <v>700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5">
        <v>1155.0</v>
      </c>
      <c r="B3" s="29" t="s">
        <v>48</v>
      </c>
      <c r="C3" s="51" t="s">
        <v>1079</v>
      </c>
      <c r="D3" s="9" t="s">
        <v>1080</v>
      </c>
      <c r="E3" s="50">
        <v>0.0</v>
      </c>
      <c r="F3" s="9" t="s">
        <v>782</v>
      </c>
      <c r="G3" s="5">
        <v>0.0</v>
      </c>
      <c r="H3" s="9" t="s">
        <v>783</v>
      </c>
      <c r="I3" s="5">
        <v>0.0</v>
      </c>
      <c r="J3" s="9" t="s">
        <v>1078</v>
      </c>
      <c r="K3" s="39">
        <v>0.0</v>
      </c>
      <c r="L3" s="9" t="s">
        <v>700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5">
        <v>1155.0</v>
      </c>
      <c r="B4" s="29" t="s">
        <v>48</v>
      </c>
      <c r="C4" s="51" t="s">
        <v>1081</v>
      </c>
      <c r="D4" s="9" t="s">
        <v>1082</v>
      </c>
      <c r="E4" s="50">
        <v>0.0</v>
      </c>
      <c r="F4" s="9" t="s">
        <v>782</v>
      </c>
      <c r="G4" s="5">
        <v>0.0</v>
      </c>
      <c r="H4" s="9" t="s">
        <v>783</v>
      </c>
      <c r="I4" s="5">
        <v>0.0</v>
      </c>
      <c r="J4" s="9" t="s">
        <v>1078</v>
      </c>
      <c r="K4" s="39">
        <v>0.0</v>
      </c>
      <c r="L4" s="9" t="s">
        <v>700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5">
        <v>1155.0</v>
      </c>
      <c r="B5" s="29" t="s">
        <v>48</v>
      </c>
      <c r="C5" s="13" t="s">
        <v>1083</v>
      </c>
      <c r="D5" s="6"/>
      <c r="E5" s="6"/>
      <c r="F5" s="9" t="s">
        <v>1084</v>
      </c>
      <c r="G5" s="5">
        <v>0.0</v>
      </c>
      <c r="H5" s="9" t="s">
        <v>783</v>
      </c>
      <c r="I5" s="5">
        <v>0.0</v>
      </c>
      <c r="J5" s="9" t="s">
        <v>1078</v>
      </c>
      <c r="K5" s="39">
        <v>0.0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1085</v>
      </c>
      <c r="D1" s="36" t="s">
        <v>1086</v>
      </c>
      <c r="E1" s="36" t="s">
        <v>1087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1088</v>
      </c>
      <c r="D1" s="13" t="s">
        <v>1089</v>
      </c>
      <c r="E1" s="13" t="s">
        <v>7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5">
        <v>1155.0</v>
      </c>
      <c r="B2" s="29" t="s">
        <v>48</v>
      </c>
      <c r="C2" s="13" t="s">
        <v>1090</v>
      </c>
      <c r="D2" s="9" t="s">
        <v>1091</v>
      </c>
      <c r="E2" s="52">
        <v>0.0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3" t="s">
        <v>1092</v>
      </c>
      <c r="D1" s="13" t="s">
        <v>1093</v>
      </c>
      <c r="E1" s="13" t="s">
        <v>14</v>
      </c>
      <c r="F1" s="13" t="s">
        <v>1094</v>
      </c>
      <c r="G1" s="13" t="s">
        <v>14</v>
      </c>
      <c r="H1" s="13" t="s">
        <v>1095</v>
      </c>
      <c r="I1" s="13" t="s">
        <v>14</v>
      </c>
      <c r="J1" s="13" t="s">
        <v>1096</v>
      </c>
      <c r="K1" s="13" t="s">
        <v>14</v>
      </c>
      <c r="L1" s="5" t="s">
        <v>1097</v>
      </c>
      <c r="M1" s="5" t="s">
        <v>7</v>
      </c>
      <c r="N1" s="5" t="s">
        <v>1098</v>
      </c>
      <c r="O1" s="5" t="s">
        <v>7</v>
      </c>
      <c r="P1" s="13" t="s">
        <v>1099</v>
      </c>
      <c r="Q1" s="5" t="s">
        <v>7</v>
      </c>
      <c r="R1" s="17" t="s">
        <v>1100</v>
      </c>
      <c r="S1" s="17" t="s">
        <v>7</v>
      </c>
      <c r="T1" s="6" t="s">
        <v>1101</v>
      </c>
      <c r="U1" s="6" t="s">
        <v>7</v>
      </c>
      <c r="V1" s="6" t="s">
        <v>1102</v>
      </c>
      <c r="W1" s="6" t="s">
        <v>7</v>
      </c>
      <c r="X1" s="6" t="s">
        <v>1103</v>
      </c>
      <c r="Y1" s="6" t="s">
        <v>7</v>
      </c>
      <c r="Z1" s="6" t="s">
        <v>1104</v>
      </c>
      <c r="AA1" s="6" t="s">
        <v>7</v>
      </c>
    </row>
    <row r="2" ht="15.75" customHeight="1">
      <c r="A2" s="5">
        <v>1155.0</v>
      </c>
      <c r="B2" s="29" t="s">
        <v>48</v>
      </c>
      <c r="C2" s="13" t="s">
        <v>1105</v>
      </c>
      <c r="D2" s="17" t="s">
        <v>543</v>
      </c>
      <c r="E2" s="5">
        <v>0.0</v>
      </c>
      <c r="F2" s="17" t="s">
        <v>553</v>
      </c>
      <c r="G2" s="5">
        <v>0.0</v>
      </c>
      <c r="H2" s="17" t="s">
        <v>562</v>
      </c>
      <c r="I2" s="5">
        <v>1.0</v>
      </c>
      <c r="J2" s="17" t="s">
        <v>570</v>
      </c>
      <c r="K2" s="5">
        <v>1.0</v>
      </c>
      <c r="L2" s="9" t="s">
        <v>1106</v>
      </c>
      <c r="M2" s="13"/>
      <c r="N2" s="9" t="s">
        <v>1107</v>
      </c>
      <c r="O2" s="13"/>
      <c r="P2" s="9" t="s">
        <v>1108</v>
      </c>
      <c r="Q2" s="13"/>
      <c r="R2" s="9" t="s">
        <v>1082</v>
      </c>
      <c r="S2" s="39">
        <v>0.0</v>
      </c>
      <c r="T2" s="17" t="s">
        <v>564</v>
      </c>
      <c r="U2" s="39">
        <v>1.0</v>
      </c>
      <c r="V2" s="6"/>
      <c r="W2" s="6"/>
      <c r="X2" s="17" t="s">
        <v>572</v>
      </c>
      <c r="Y2" s="39">
        <v>1.0</v>
      </c>
      <c r="Z2" s="6"/>
      <c r="AA2" s="6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