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ESD Effect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/>
  <calcPr/>
  <extLst>
    <ext uri="GoogleSheetsCustomDataVersion2">
      <go:sheetsCustomData xmlns:go="http://customooxmlschemas.google.com/" r:id="rId22" roundtripDataChecksum="Wd69OSQ82q2E5cf4A5Gqe3EElj+ltCaZzrCNzhIuIlc="/>
    </ext>
  </extLst>
</workbook>
</file>

<file path=xl/sharedStrings.xml><?xml version="1.0" encoding="utf-8"?>
<sst xmlns="http://schemas.openxmlformats.org/spreadsheetml/2006/main" count="2759" uniqueCount="1955">
  <si>
    <t>SAPID</t>
  </si>
  <si>
    <t>Location</t>
  </si>
  <si>
    <t>Device Name</t>
  </si>
  <si>
    <t>Tank ID</t>
  </si>
  <si>
    <t>Tank Type</t>
  </si>
  <si>
    <t>Product</t>
  </si>
  <si>
    <t>Primary Gauge Level</t>
  </si>
  <si>
    <t>Normal value</t>
  </si>
  <si>
    <t xml:space="preserve">TANK LEAKAGE STATUS </t>
  </si>
  <si>
    <t>Primary Gauge HIGH</t>
  </si>
  <si>
    <t>Normal Value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</si>
  <si>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</si>
  <si>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</si>
  <si>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</si>
  <si>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</si>
  <si>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</si>
  <si>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</si>
  <si>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</si>
  <si>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</si>
  <si>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</si>
  <si>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</si>
  <si>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</si>
  <si>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</si>
  <si>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</si>
  <si>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</si>
  <si>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</si>
  <si>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</si>
  <si>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</si>
  <si>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</si>
  <si>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</si>
  <si>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</si>
  <si>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</si>
  <si>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Secunderabad</t>
  </si>
  <si>
    <t>51-TT-CR-003D</t>
  </si>
  <si>
    <t>AG</t>
  </si>
  <si>
    <t>BS VI HSD</t>
  </si>
  <si>
    <t>TANK.51-TT-CR-003D.LEVEL</t>
  </si>
  <si>
    <t>TANK.51-TT-CR-003D.TANK_ALERT</t>
  </si>
  <si>
    <t>TANK.51-TT-CR-003D.HIGH_LEVEL</t>
  </si>
  <si>
    <t>TANK.51-TT-CR-003D.HIGH_HIGH_LEVEL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</si>
  <si>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</si>
  <si>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</si>
  <si>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</si>
  <si>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</si>
  <si>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</si>
  <si>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</si>
  <si>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MOV.ROSOV-15.OPEN_STATUS</t>
  </si>
  <si>
    <t>MOV.ROSOV-15.FAILED_TO_OPEN</t>
  </si>
  <si>
    <t>MOV.ROSOV-16.OPEN_STATUS</t>
  </si>
  <si>
    <t>MOV.ROSOV-16.FAILED_TO_CLOSE</t>
  </si>
  <si>
    <t>MOV.MOV-1307.CLOSE_STATUS</t>
  </si>
  <si>
    <t>MOV.MOV-1308.CLOSE_STATUS</t>
  </si>
  <si>
    <t>51-TT-CR-005A</t>
  </si>
  <si>
    <t>ETHANOL</t>
  </si>
  <si>
    <t>TANK.51-TT-CR-005A.LEVEL</t>
  </si>
  <si>
    <t>TANK.51-TT-CR-005A.TANK_ALERT</t>
  </si>
  <si>
    <t>TANK.51-TT-CR-005A.HIGH_LEVEL</t>
  </si>
  <si>
    <t>TANK.51-TT-CR-005A.HIGH_HIGH_LEVEL</t>
  </si>
  <si>
    <t>LEVELSWITCH.LSW-17.SWITCH_STATUS</t>
  </si>
  <si>
    <t>LEVELSWITCH.LSW-17.PROOF_TEST_OK</t>
  </si>
  <si>
    <t>LEVELSWITCH.LSW-17.PROOF_TEST_FAILED</t>
  </si>
  <si>
    <t>LEVELSWITCH.RDR-17.SWITCH_STATUS</t>
  </si>
  <si>
    <t>LEVELSWITCH.RDR-17.PROOF_TEST_OK</t>
  </si>
  <si>
    <t>LEVELSWITCH.RDR-17.PROOF_TEST_FAILED</t>
  </si>
  <si>
    <t>MOV.ROSOV-33.OPEN_STATUS</t>
  </si>
  <si>
    <t>MOV.ROSOV-33.FAILED_TO_OPEN</t>
  </si>
  <si>
    <t>MOV.ROSOV-23.OPEN_STATUS</t>
  </si>
  <si>
    <t>MOV.ROSOV-23.FAILED_TO_CLOSE</t>
  </si>
  <si>
    <t>MOV.MOV-1506.CLOSE_STATUS</t>
  </si>
  <si>
    <t>MOV.MOV-1513.CLOSE_STATUS</t>
  </si>
  <si>
    <t>51-TT-CR-005B</t>
  </si>
  <si>
    <t>INTERFACE</t>
  </si>
  <si>
    <t>TANK.51-TT-CR-005B.LEVEL</t>
  </si>
  <si>
    <t>TANK.51-TT-CR-005B.TANK_ALERT</t>
  </si>
  <si>
    <t>TANK.51-TT-CR-005B.HIGH_LEVEL</t>
  </si>
  <si>
    <t>TANK.51-TT-CR-005B.HIGH_HIGH_LEVEL</t>
  </si>
  <si>
    <t>LEVELSWITCH.LSW-15.SWITCH_STATUS</t>
  </si>
  <si>
    <t>LEVELSWITCH.LSW-15.PROOF_TEST_OK</t>
  </si>
  <si>
    <t>LEVELSWITCH.LSW-15.PROOF_TEST_FAILED</t>
  </si>
  <si>
    <t>LEVELSWITCH.RDR-15.SWITCH_STATUS</t>
  </si>
  <si>
    <t>LEVELSWITCH.RDR-15.PROOF_TEST_OK</t>
  </si>
  <si>
    <t>LEVELSWITCH.RDR-15.PROOF_TEST_FAILED</t>
  </si>
  <si>
    <t>MOV.ROSOV-30.OPEN_STATUS</t>
  </si>
  <si>
    <t>MOV.ROSOV-30.FAILED_TO_CLOSE</t>
  </si>
  <si>
    <t>MOV.MOV-1508.CLOSE_STATUS</t>
  </si>
  <si>
    <t>51-TT-CR-006A</t>
  </si>
  <si>
    <t>WATER</t>
  </si>
  <si>
    <t>TANK.51-TT-CR-006A.LEVEL</t>
  </si>
  <si>
    <t>TANK.51-TT-CR-006A.TANK_ALERT</t>
  </si>
  <si>
    <t>51-TT-CR-006B</t>
  </si>
  <si>
    <t>TANK.51-TT-CR-006B.LEVEL</t>
  </si>
  <si>
    <t>TANK.51-TT-CR-006B.TANK_ALERT</t>
  </si>
  <si>
    <t>51-TT-CR-006C</t>
  </si>
  <si>
    <t>TANK.51-TT-CR-006C.LEVEL</t>
  </si>
  <si>
    <t>TANK.51-TT-CR-006C.TANK_ALERT</t>
  </si>
  <si>
    <t>51-TT-CR-006D</t>
  </si>
  <si>
    <t>TANK.51-TT-CR-006D.LEVEL</t>
  </si>
  <si>
    <t>TANK.51-TT-CR-006D.TANK_ALERT</t>
  </si>
  <si>
    <t>51-TT-FR-001A</t>
  </si>
  <si>
    <t>BS VI MS</t>
  </si>
  <si>
    <t>TANK.51-TT-FR-001A.LEVEL</t>
  </si>
  <si>
    <t>TANK.51-TT-FR-001A.TANK_ALERT</t>
  </si>
  <si>
    <t>TANK.51-TT-FR-001A.HIGH_LEVEL</t>
  </si>
  <si>
    <t>TANK.51-TT-FR-001A.HIGH_HIGH_LEVEL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</si>
  <si>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</si>
  <si>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</si>
  <si>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</si>
  <si>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</si>
  <si>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</si>
  <si>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</si>
  <si>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MOV.ROSOV-05.OPEN_STATUS</t>
  </si>
  <si>
    <t>MOV.ROSOV-05.FAILED_TO_OPEN</t>
  </si>
  <si>
    <t>MOV.ROSOV-06.OPEN_STATUS</t>
  </si>
  <si>
    <t>MOV.ROSOV-06.FAILED_TO_CLOSE</t>
  </si>
  <si>
    <t>MOV.MOV-1101.CLOSE_STATUS</t>
  </si>
  <si>
    <t>MOV.MOV-1103.CLOSE_STATUS</t>
  </si>
  <si>
    <t>RIMSEAL.RIMSEAL-01.FIRE_ALARM</t>
  </si>
  <si>
    <t>RIMSEAL.RIMSEAL-01.DETECTOR_FAULT</t>
  </si>
  <si>
    <t>51-TT-FR-001B</t>
  </si>
  <si>
    <t>TANK.51-TT-FR-001B.LEVEL</t>
  </si>
  <si>
    <t>TANK.51-TT-FR-001B.TANK_ALERT</t>
  </si>
  <si>
    <t>TANK.51-TT-FR-001B.HIGH_LEVEL</t>
  </si>
  <si>
    <t>TANK.51-TT-FR-001B.HIGH_HIGH_LEVEL</t>
  </si>
  <si>
    <t>LEVELSWITCH.LSW-01.SWITCH_STATUS</t>
  </si>
  <si>
    <t>LEVELSWITCH.LSW-01.PROOF_TEST_OK</t>
  </si>
  <si>
    <t>LEVELSWITCH.LSW-01.PROOF_TEST_FAILED</t>
  </si>
  <si>
    <t>LEVELSWITCH.RDR-01.SWITCH_STATUS</t>
  </si>
  <si>
    <t>LEVELSWITCH.RDR-01.PROOF_TEST_OK</t>
  </si>
  <si>
    <t>LEVELSWITCH.RDR-01.PROOF_TEST_FAILED</t>
  </si>
  <si>
    <t>MOV.ROSOV-01.OPEN_STATUS</t>
  </si>
  <si>
    <t>MOV.ROSOV-01.FAILED_TO_OPEN</t>
  </si>
  <si>
    <t>MOV.ROSOV-02.OPEN_STATUS</t>
  </si>
  <si>
    <t>MOV.ROSOV-02.FAILED_TO_CLOSE</t>
  </si>
  <si>
    <t>MOV.MOV-1102.CLOSE_STATUS</t>
  </si>
  <si>
    <t>MOV.MOV-1104.CLOSE_STATUS</t>
  </si>
  <si>
    <t>RIMSEAL.RIMSEAL-02.FIRE_ALARM</t>
  </si>
  <si>
    <t>RIMSEAL.RIMSEAL-02.DETECTOR_FAULT</t>
  </si>
  <si>
    <t>51-TT-FR-001C</t>
  </si>
  <si>
    <t>GASOHOL</t>
  </si>
  <si>
    <t>TANK.51-TT-FR-001C.LEVEL</t>
  </si>
  <si>
    <t>TANK.51-TT-FR-001C.TANK_ALERT</t>
  </si>
  <si>
    <t>TANK.51-TT-FR-001C.HIGH_LEVEL</t>
  </si>
  <si>
    <t>TANK.51-TT-FR-001C.HIGH_HIGH_LEVEL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</si>
  <si>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</si>
  <si>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</si>
  <si>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</si>
  <si>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</si>
  <si>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</si>
  <si>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</si>
  <si>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MOV.ROSOV-07.OPEN_STATUS</t>
  </si>
  <si>
    <t>MOV.ROSOV-07.FAILED_TO_OPEN</t>
  </si>
  <si>
    <t>MOV.ROSOV-08.OPEN_STATUS</t>
  </si>
  <si>
    <t>MOV.ROSOV-08.FAILED_TO_CLOSE</t>
  </si>
  <si>
    <t>MOV.MOV-1105.CLOSE_STATUS</t>
  </si>
  <si>
    <t>MOV.MOV-1107.CLOSE_STATUS</t>
  </si>
  <si>
    <t>RIMSEAL.RIMSEAL-03.FIRE_ALARM</t>
  </si>
  <si>
    <t>RIMSEAL.RIMSEAL-03.DETECTOR_FAULT</t>
  </si>
  <si>
    <t>51-TT-FR-001D</t>
  </si>
  <si>
    <t>TANK.51-TT-FR-001D.LEVEL</t>
  </si>
  <si>
    <t>TANK.51-TT-FR-001D.TANK_ALERT</t>
  </si>
  <si>
    <t>TANK.51-TT-FR-001D.HIGH_LEVEL</t>
  </si>
  <si>
    <t>TANK.51-TT-FR-001D.HIGH_HIGH_LEVEL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</si>
  <si>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</si>
  <si>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</si>
  <si>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</si>
  <si>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</si>
  <si>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</si>
  <si>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LEVELSWITCH.RDR-12.PROOF_TEST_FAILED</t>
  </si>
  <si>
    <t>MOV.ROSOV-24.OPEN_STATUS</t>
  </si>
  <si>
    <t>MOV.ROSOV-24.FAILED_TO_CLOSE</t>
  </si>
  <si>
    <t>MOV.MOV-1106.CLOSE_STATUS</t>
  </si>
  <si>
    <t>MOV.MOV-1108.CLOSE_STATUS</t>
  </si>
  <si>
    <t>51-TT-FR-002A</t>
  </si>
  <si>
    <t>SKO</t>
  </si>
  <si>
    <t>TANK.51-TT-FR-002A.LEVEL</t>
  </si>
  <si>
    <t>TANK.51-TT-FR-002A.TANK_ALERT</t>
  </si>
  <si>
    <t>TANK.51-TT-FR-002A.HIGH_LEVEL</t>
  </si>
  <si>
    <t>TANK.51-TT-FR-002A.HIGH_HIGH_LEVEL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</si>
  <si>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</si>
  <si>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</si>
  <si>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</si>
  <si>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</si>
  <si>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</si>
  <si>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LEVELSWITCH.RDR-13.PROOF_TEST_FAILED</t>
  </si>
  <si>
    <t>MOV.ROSOV-25.OPEN_STATUS</t>
  </si>
  <si>
    <t>MOV.ROSOV-25.FAILED_TO_OPEN</t>
  </si>
  <si>
    <t>MOV.ROSOV-26.OPEN_STATUS</t>
  </si>
  <si>
    <t>MOV.ROSOV-26.FAILED_TO_CLOSE</t>
  </si>
  <si>
    <t>MOV.MOV-1201.CLOSE_STATUS</t>
  </si>
  <si>
    <t>MOV.MOV-1204.CLOSE_STATUS</t>
  </si>
  <si>
    <t>51-TT-FR-002B</t>
  </si>
  <si>
    <t>TANK.51-TT-FR-002B.LEVEL</t>
  </si>
  <si>
    <t>TANK.51-TT-FR-002B.TANK_ALERT</t>
  </si>
  <si>
    <t>TANK.51-TT-FR-002B.HIGH_LEVEL</t>
  </si>
  <si>
    <t>TANK.51-TT-FR-002B.HIGH_HIGH_LEVEL</t>
  </si>
  <si>
    <t>LEVELSWITCH.LSW-14.SWITCH_STATUS</t>
  </si>
  <si>
    <t>LEVELSWITCH.LSW-14.PROOF_TEST_OK</t>
  </si>
  <si>
    <t>LEVELSWITCH.LSW-14.PROOF_TEST_FAILED</t>
  </si>
  <si>
    <t>LEVELSWITCH.RDR-14.SWITCH_STATUS</t>
  </si>
  <si>
    <t>LEVELSWITCH.RDR-14.PROOF_TEST_OK</t>
  </si>
  <si>
    <t>LEVELSWITCH.RDR-14.PROOF_TEST_FAILED</t>
  </si>
  <si>
    <t>MOV.ROSOV-27.OPEN_STATUS</t>
  </si>
  <si>
    <t>MOV.ROSOV-27.FAILED_TO_OPEN</t>
  </si>
  <si>
    <t>MOV.ROSOV-28.OPEN_STATUS</t>
  </si>
  <si>
    <t>MOV.ROSOV-28.FAILED_TO_CLOSE</t>
  </si>
  <si>
    <t>MOV.MOV-1202.CLOSE_STATUS</t>
  </si>
  <si>
    <t>MOV.MOV-1205.CLOSE_STATUS</t>
  </si>
  <si>
    <t>51-TT-FR-003A</t>
  </si>
  <si>
    <t>TANK.51-TT-FR-003A.LEVEL</t>
  </si>
  <si>
    <t>TANK.51-TT-FR-003A.TANK_ALERT</t>
  </si>
  <si>
    <t>TANK.51-TT-FR-003A.HIGH_LEVEL</t>
  </si>
  <si>
    <t>TANK.51-TT-FR-003A.HIGH_HIGH_LEVEL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</si>
  <si>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</si>
  <si>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</si>
  <si>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</si>
  <si>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</si>
  <si>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</si>
  <si>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</si>
  <si>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MOV.ROSOV-17.OPEN_STATUS</t>
  </si>
  <si>
    <t>MOV.ROSOV-17.FAILED_TO_OPEN</t>
  </si>
  <si>
    <t>MOV.ROSOV-18.OPEN_STATUS</t>
  </si>
  <si>
    <t>MOV.ROSOV-18.FAILED_TO_CLOSE</t>
  </si>
  <si>
    <t>MOV.MOV-1301.CLOSE_STATUS</t>
  </si>
  <si>
    <t>MOV.MOV-1303.CLOSE_STATUS</t>
  </si>
  <si>
    <t>51-TT-FR-003B</t>
  </si>
  <si>
    <t>TANK.51-TT-FR-003B.LEVEL</t>
  </si>
  <si>
    <t>TANK.51-TT-FR-003B.TANK_ALERT</t>
  </si>
  <si>
    <t>TANK.51-TT-FR-003B.HIGH_LEVEL</t>
  </si>
  <si>
    <t>TANK.51-TT-FR-003B.HIGH_HIGH_LEVEL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</si>
  <si>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</si>
  <si>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</si>
  <si>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</si>
  <si>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</si>
  <si>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</si>
  <si>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</si>
  <si>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MOV.ROSOV-11.OPEN_STATUS</t>
  </si>
  <si>
    <t>MOV.ROSOV-11.FAILED_TO_OPEN</t>
  </si>
  <si>
    <t>MOV.ROSOV-12.OPEN_STATUS</t>
  </si>
  <si>
    <t>MOV.ROSOV-12.FAILED_TO_CLOSE</t>
  </si>
  <si>
    <t>MOV.MOV-1302.CLOSE_STATUS</t>
  </si>
  <si>
    <t>MOV.MOV-1304.CLOSE_STATUS</t>
  </si>
  <si>
    <t>51-TT-FR-003C</t>
  </si>
  <si>
    <t>TANK.51-TT-FR-003C.LEVEL</t>
  </si>
  <si>
    <t>TANK.51-TT-FR-003C.TANK_ALERT</t>
  </si>
  <si>
    <t>TANK.51-TT-FR-003C.HIGH_LEVEL</t>
  </si>
  <si>
    <t>TANK.51-TT-FR-003C.HIGH_HIGH_LEVEL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</si>
  <si>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</si>
  <si>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</si>
  <si>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</si>
  <si>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</si>
  <si>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</si>
  <si>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</si>
  <si>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MOV.ROSOV-03.OPEN_STATUS</t>
  </si>
  <si>
    <t>MOV.ROSOV-03.FAILED_TO_OPEN</t>
  </si>
  <si>
    <t>MOV.ROSOV-04.OPEN_STATUS</t>
  </si>
  <si>
    <t>MOV.ROSOV-04.FAILED_TO_CLOSE</t>
  </si>
  <si>
    <t>MOV.MOV-1305.CLOSE_STATUS</t>
  </si>
  <si>
    <t>MOV.MOV-1306.CLOSE_STATUS</t>
  </si>
  <si>
    <t>RIMSEAL.RIMSEAL-04.FIRE_ALARM</t>
  </si>
  <si>
    <t>RIMSEAL.RIMSEAL-04.DETECTOR_FAULT</t>
  </si>
  <si>
    <t>51-TT-FR-003E</t>
  </si>
  <si>
    <t>TANK.51-TT-FR-003E.LEVEL</t>
  </si>
  <si>
    <t>TANK.51-TT-FR-003E.TANK_ALERT</t>
  </si>
  <si>
    <t>TANK.51-TT-FR-003E.HIGH_LEVEL</t>
  </si>
  <si>
    <t>TANK.51-TT-FR-003E.HIGH_HIGH_LEVEL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</si>
  <si>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</si>
  <si>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</si>
  <si>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</si>
  <si>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</si>
  <si>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</si>
  <si>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</si>
  <si>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MOV.ROSOV-21.OPEN_STATUS</t>
  </si>
  <si>
    <t>MOV.ROSOV-21.FAILED_TO_OPEN</t>
  </si>
  <si>
    <t>MOV.ROSOV-22.OPEN_STATUS</t>
  </si>
  <si>
    <t>MOV.ROSOV-22.FAILED_TO_CLOSE</t>
  </si>
  <si>
    <t>MOV.MOV-1309.CLOSE_STATUS</t>
  </si>
  <si>
    <t>MOV.MOV-1310.CLOSE_STATUS</t>
  </si>
  <si>
    <t>51-TT-FR-004A</t>
  </si>
  <si>
    <t>ATF</t>
  </si>
  <si>
    <t>TANK.51-TT-FR-004A.LEVEL</t>
  </si>
  <si>
    <t>TANK.51-TT-FR-004A.TANK_ALERT</t>
  </si>
  <si>
    <t>TANK.51-TT-FR-004A.HIGH_LEVEL</t>
  </si>
  <si>
    <t>TANK.51-TT-FR-004A.HIGH_HIGH_LEVEL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</si>
  <si>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</si>
  <si>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</si>
  <si>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</si>
  <si>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</si>
  <si>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</si>
  <si>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</si>
  <si>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MOV.ROSOV-13.OPEN_STATUS</t>
  </si>
  <si>
    <t>MOV.ROSOV-13.FAILED_TO_OPEN</t>
  </si>
  <si>
    <t>MOV.ROSOV-14.OPEN_STATUS</t>
  </si>
  <si>
    <t>MOV.ROSOV-14.FAILED_TO_CLOSE</t>
  </si>
  <si>
    <t>MOV.MOV-1401.CLOSE_STATUS</t>
  </si>
  <si>
    <t>MOV.MOV-1404.CLOSE_STATUS</t>
  </si>
  <si>
    <t>51-TT-FR-004B</t>
  </si>
  <si>
    <t>TANK.51-TT-FR-004B.LEVEL</t>
  </si>
  <si>
    <t>TANK.51-TT-FR-004B.TANK_ALERT</t>
  </si>
  <si>
    <t>TANK.51-TT-FR-004B.HIGH_LEVEL</t>
  </si>
  <si>
    <t>TANK.51-TT-FR-004B.HIGH_HIGH_LEVEL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</si>
  <si>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</si>
  <si>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</si>
  <si>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</si>
  <si>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</si>
  <si>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</si>
  <si>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</si>
  <si>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MOV.ROSOV-19.OPEN_STATUS</t>
  </si>
  <si>
    <t>MOV.ROSOV-19.FAILED_TO_OPEN</t>
  </si>
  <si>
    <t>MOV.ROSOV-20.OPEN_STATUS</t>
  </si>
  <si>
    <t>MOV.ROSOV-20.FAILED_TO_CLOSE</t>
  </si>
  <si>
    <t>MOV.MOV-1402.CLOSE_STATUS</t>
  </si>
  <si>
    <t>MOV.MOV-1405.CLOSE_STATUS</t>
  </si>
  <si>
    <t>51-TT-FR-004C</t>
  </si>
  <si>
    <t>TANK.51-TT-FR-004C.LEVEL</t>
  </si>
  <si>
    <t>TANK.51-TT-FR-004C.TANK_ALERT</t>
  </si>
  <si>
    <t>TANK.51-TT-FR-004C.HIGH_LEVEL</t>
  </si>
  <si>
    <t>TANK.51-TT-FR-004C.HIGH_HIGH_LEVEL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</si>
  <si>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</si>
  <si>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</si>
  <si>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</si>
  <si>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</si>
  <si>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</si>
  <si>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</si>
  <si>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MOV.ROSOV-09.OPEN_STATUS</t>
  </si>
  <si>
    <t>MOV.ROSOV-09.FAILED_TO_OPEN</t>
  </si>
  <si>
    <t>MOV.ROSOV-10.OPEN_STATUS</t>
  </si>
  <si>
    <t>MOV.ROSOV-10.FAILED_TO_CLOSE</t>
  </si>
  <si>
    <t>MOV.MOV-1403.CLOSE_STATUS</t>
  </si>
  <si>
    <t>MOV.MOV-1406.CLOSE_STATUS</t>
  </si>
  <si>
    <t>RIMSEAL.RIMSEAL-05.FIRE_ALARM</t>
  </si>
  <si>
    <t>RIMSEAL.RIMSEAL-05.DETECTOR_FAULT</t>
  </si>
  <si>
    <t>51-TT-FR-005C</t>
  </si>
  <si>
    <t>TANK.51-TT-FR-005C.LEVEL</t>
  </si>
  <si>
    <t>TANK.51-TT-FR-005C.TANK_ALERT</t>
  </si>
  <si>
    <t>TANK.51-TT-FR-005C.HIGH_LEVEL</t>
  </si>
  <si>
    <t>TANK.51-TT-FR-005C.HIGH_HIGH_LEVEL</t>
  </si>
  <si>
    <t>LEVELSWITCH.LSW-16.SWITCH_STATUS</t>
  </si>
  <si>
    <t>LEVELSWITCH.LSW-16.PROOF_TEST_OK</t>
  </si>
  <si>
    <t>LEVELSWITCH.LSW-16.PROOF_TEST_FAILED</t>
  </si>
  <si>
    <t>LEVELSWITCH.RDR-16.SWITCH_STATUS</t>
  </si>
  <si>
    <t>LEVELSWITCH.RDR-16.PROOF_TEST_OK</t>
  </si>
  <si>
    <t>LEVELSWITCH.RDR-16.PROOF_TEST_FAILED</t>
  </si>
  <si>
    <t>MOV.ROSOV-31.OPEN_STATUS</t>
  </si>
  <si>
    <t>MOV.ROSOV-31.FAILED_TO_OPEN</t>
  </si>
  <si>
    <t>MOV.ROSOV-32.OPEN_STATUS</t>
  </si>
  <si>
    <t>MOV.ROSOV-32.FAILED_TO_CLOSE</t>
  </si>
  <si>
    <t>MOV.MOV-1510.CLOSE_STATUS</t>
  </si>
  <si>
    <t>MOV.MOV-1511.CLOSE_STATUS</t>
  </si>
  <si>
    <t>51-TT-UG-0001</t>
  </si>
  <si>
    <t>UG</t>
  </si>
  <si>
    <t>TANK.51-TT-UG-0001.LEVEL</t>
  </si>
  <si>
    <t>TANK.51-TT-UG-0001.TANK_ALERT</t>
  </si>
  <si>
    <t>TANK.51-TT-UG-0001.HIGH_LEVEL</t>
  </si>
  <si>
    <t>TANK.51-TT-UG-0001.HIGH_HIGH_LEVEL</t>
  </si>
  <si>
    <t>51-TT-UG-0002</t>
  </si>
  <si>
    <t>TANK.51-TT-UG-0002.LEVEL</t>
  </si>
  <si>
    <t>TANK.51-TT-UG-0002.TANK_ALERT</t>
  </si>
  <si>
    <t>TANK.51-TT-UG-0002.HIGH_LEVEL</t>
  </si>
  <si>
    <t>TANK.51-TT-UG-0002.HIGH_HIGH_LEVEL</t>
  </si>
  <si>
    <t>51-TT-UG-0003</t>
  </si>
  <si>
    <t>TANK.51-TT-UG-0003.LEVEL</t>
  </si>
  <si>
    <t>TANK.51-TT-UG-0003.TANK_ALERT</t>
  </si>
  <si>
    <t>TANK.51-TT-UG-0003.HIGH_LEVEL</t>
  </si>
  <si>
    <t>TANK.51-TT-UG-0003.HIGH_HIGH_LEVEL</t>
  </si>
  <si>
    <t>51-TT-UG-0010</t>
  </si>
  <si>
    <t>TANK.51-TT-UG-0010.LEVEL</t>
  </si>
  <si>
    <t>TANK.51-TT-UG-0010.TANK_ALERT</t>
  </si>
  <si>
    <t>TANK.51-TT-UG-0010.HIGH_LEVEL</t>
  </si>
  <si>
    <t>TANK.51-TT-UG-0010.HIGH_HIGH_LEVEL</t>
  </si>
  <si>
    <t>51-TT-UG-0013</t>
  </si>
  <si>
    <t>TANK.51-TT-UG-0013.LEVEL</t>
  </si>
  <si>
    <t>TANK.51-TT-UG-0013.TANK_ALERT</t>
  </si>
  <si>
    <t>TANK.51-TT-UG-0013.HIGH_LEVEL</t>
  </si>
  <si>
    <t>TANK.51-TT-UG-0013.HIGH_HIGH_LEVEL</t>
  </si>
  <si>
    <t>51-TT-UG-0014</t>
  </si>
  <si>
    <t>BIO HSD</t>
  </si>
  <si>
    <t>TANK.51-TT-UG-0014.LEVEL</t>
  </si>
  <si>
    <t>TANK.51-TT-UG-0014.TANK_ALERT</t>
  </si>
  <si>
    <t>TANK.51-TT-UG-0014.HIGH_LEVEL</t>
  </si>
  <si>
    <t>TANK.51-TT-UG-0014.HIGH_HIGH_LEVEL</t>
  </si>
  <si>
    <t>51-TT-UG-0015</t>
  </si>
  <si>
    <t>TANK.51-TT-UG-0015.LEVEL</t>
  </si>
  <si>
    <t>TANK.51-TT-UG-0015.TANK_ALERT</t>
  </si>
  <si>
    <t>TANK.51-TT-UG-0015.HIGH_LEVEL</t>
  </si>
  <si>
    <t>TANK.51-TT-UG-0015.HIGH_HIGH_LEVEL</t>
  </si>
  <si>
    <t>51-TT-UG-SLOP</t>
  </si>
  <si>
    <t>SLOP</t>
  </si>
  <si>
    <t>DBBV</t>
  </si>
  <si>
    <t>PLT HEADER LINE</t>
  </si>
  <si>
    <t>MOV.DBBV-01.CLOSE_STATUS</t>
  </si>
  <si>
    <t>MOV.DBBV-02.CLOSE_STATUS</t>
  </si>
  <si>
    <t>DBBV1_BS VI HSD</t>
  </si>
  <si>
    <t>MOV.DBBV-03.CLOSE_STATUS</t>
  </si>
  <si>
    <t>DBBV2_BS VI HSD</t>
  </si>
  <si>
    <t>MOV.DBBV-04.CLOSE_STATUS</t>
  </si>
  <si>
    <t>MOV</t>
  </si>
  <si>
    <t>GANTRY HEADER</t>
  </si>
  <si>
    <t>MOV.MOV-1501.CLOSE_STATUS</t>
  </si>
  <si>
    <t>MOV.MOV-1502.CLOSE_STATUS</t>
  </si>
  <si>
    <t>MOV.MOV-1503.CLOSE_STATUS</t>
  </si>
  <si>
    <t>MOV.MOV-1504.CLOSE_STATUS</t>
  </si>
  <si>
    <t>MOV.MOV-1505.CLOSE_STATUS</t>
  </si>
  <si>
    <t>TANK MAINTENANCE</t>
  </si>
  <si>
    <t>LEVEL SWITCH MAINTENANCE</t>
  </si>
  <si>
    <t>RADAR MAINTENANCE</t>
  </si>
  <si>
    <t>ROSOV MAINTENANCE IL1</t>
  </si>
  <si>
    <t>ROSOV MAINTENANCE IL2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</si>
  <si>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</si>
  <si>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</si>
  <si>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</si>
  <si>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</si>
  <si>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</si>
  <si>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</si>
  <si>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</si>
  <si>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Maintenance-CR-003D</t>
  </si>
  <si>
    <t>TANK.Maintenance-CR-003D.MAINTENANCE_STATUS</t>
  </si>
  <si>
    <t>LEVELSWITCH.LSW-08.MAINTENANCE_STATUS</t>
  </si>
  <si>
    <t>LEVELSWITCH.RDR-08.MAINTENANCE_STATUS</t>
  </si>
  <si>
    <t>MOV.ROSOV-15.MAINTENANCE_STATUS</t>
  </si>
  <si>
    <t>MOV.ROSOV-16.MAINTENANCE_STATUS</t>
  </si>
  <si>
    <t>MOV.MOV-1307.MAINTENANCE_STATUS</t>
  </si>
  <si>
    <t>MOV.MOV-1308.MAINTENANCE_STATUS</t>
  </si>
  <si>
    <t>Maintenance-CR-005A</t>
  </si>
  <si>
    <t>TANK.Maintenance-CR-005A.MAINTENANCE_STATUS</t>
  </si>
  <si>
    <t>LEVELSWITCH.LSW-17.MAINTENANCE_STATUS</t>
  </si>
  <si>
    <t>LEVELSWITCH.RDR-17.MAINTENANCE_STATUS</t>
  </si>
  <si>
    <t>MOV.ROSOV-33.MAINTENANCE_STATUS</t>
  </si>
  <si>
    <t>MOV.ROSOV-23.MAINTENANCE_STATUS</t>
  </si>
  <si>
    <t>MOV.MOV-1506.MAINTENANCE_STATUS</t>
  </si>
  <si>
    <t>MOV.MOV-1513.MAINTENANCE_STATUS</t>
  </si>
  <si>
    <t>Maintenance-CR-005B</t>
  </si>
  <si>
    <t>TANK.Maintenance-CR-005B.MAINTENANCE_STATUS</t>
  </si>
  <si>
    <t>LEVELSWITCH.LSW-15.MAINTENANCE_STATUS</t>
  </si>
  <si>
    <t>LEVELSWITCH.RDR-15.MAINTENANCE_STATUS</t>
  </si>
  <si>
    <t>MOV.MOV-1508.MAINTENANCE_STATUS</t>
  </si>
  <si>
    <t>Maintenance-CR-006A</t>
  </si>
  <si>
    <t>Maintenance-CR-006B</t>
  </si>
  <si>
    <t>Maintenance-CR-006C</t>
  </si>
  <si>
    <t>Maintenance-CR-006D</t>
  </si>
  <si>
    <t>Maintenance-FR-001A</t>
  </si>
  <si>
    <t>TANK.Maintenance-FR-001A.MAINTENANCE_STATUS</t>
  </si>
  <si>
    <t>LEVELSWITCH.LSW-03.MAINTENANCE_STATUS</t>
  </si>
  <si>
    <t>LEVELSWITCH.RDR-03.MAINTENANCE_STATUS</t>
  </si>
  <si>
    <t>MOV.ROSOV-05.MAINTENANCE_STATUS</t>
  </si>
  <si>
    <t>MOV.ROSOV-06.MAINTENANCE_STATUS</t>
  </si>
  <si>
    <t>MOV.MOV-1101.MAINTENANCE_STATUS</t>
  </si>
  <si>
    <t>MOV.MOV-1103.MAINTENANCE_STATUS</t>
  </si>
  <si>
    <t>Maintenance-FR-001B</t>
  </si>
  <si>
    <t>TANK.Maintenance-FR-001B.MAINTENANCE_STATUS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</si>
  <si>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</si>
  <si>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</si>
  <si>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</si>
  <si>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</si>
  <si>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MOV.MOV-1102.MAINTENANCE_STATUS</t>
  </si>
  <si>
    <t>MOV.MOV-1104.MAINTENANCE_STATUS</t>
  </si>
  <si>
    <t>Maintenance-FR-001C</t>
  </si>
  <si>
    <t>TANK.Maintenance-FR-001C.MAINTENANCE_STATUS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</si>
  <si>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</si>
  <si>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</si>
  <si>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</si>
  <si>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</si>
  <si>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MOV.MOV-1105.MAINTENANCE_STATUS</t>
  </si>
  <si>
    <t>MOV.MOV-1107.MAINTENANCE_STATUS</t>
  </si>
  <si>
    <t>Maintenance-FR-001D</t>
  </si>
  <si>
    <t>TANK.Maintenance-FR-001D.MAINTENANCE_STATUS</t>
  </si>
  <si>
    <t>LEVELSWITCH.LSW-12.MAINTENANCE_STATUS</t>
  </si>
  <si>
    <t>LEVELSWITCH.RDR-12.MAINTENANCE_STATUS</t>
  </si>
  <si>
    <t>MOV.ROSOV-24.MAINTENANCE_STATUS</t>
  </si>
  <si>
    <t>MOV.MOV-1106.MAINTENANCE_STATUS</t>
  </si>
  <si>
    <t>MOV.MOV-1108.MAINTENANCE_STATUS</t>
  </si>
  <si>
    <t>Maintenance-FR-002A</t>
  </si>
  <si>
    <t>TANK.Maintenance-FR-002A.MAINTENANCE_STATUS</t>
  </si>
  <si>
    <t>LEVELSWITCH.LSW-13.MAINTENANCE_STATUS</t>
  </si>
  <si>
    <t>LEVELSWITCH.RDR-13.MAINTENANCE_STATUS</t>
  </si>
  <si>
    <t>MOV.ROSOV-25.MAINTENANCE_STATUS</t>
  </si>
  <si>
    <t>MOV.ROSOV-26.MAINTENANCE_STATUS</t>
  </si>
  <si>
    <t>MOV.MOV-1201.MAINTENANCE_STATUS</t>
  </si>
  <si>
    <t>MOV.MOV-1204.MAINTENANCE_STATUS</t>
  </si>
  <si>
    <t>Maintenance-FR-002B</t>
  </si>
  <si>
    <t>TANK.Maintenance-FR-002B.MAINTENANCE_STATUS</t>
  </si>
  <si>
    <t>LEVELSWITCH.LSW-14.MAINTENANCE_STATUS</t>
  </si>
  <si>
    <t>LEVELSWITCH.RDR-14.MAINTENANCE_STATUS</t>
  </si>
  <si>
    <t>MOV.ROSOV-27.MAINTENANCE_STATUS</t>
  </si>
  <si>
    <t>MOV.ROSOV-28.MAINTENANCE_STATUS</t>
  </si>
  <si>
    <t>MOV.MOV-1202.MAINTENANCE_STATUS</t>
  </si>
  <si>
    <t>MOV.MOV-1205.MAINTENANCE_STATUS</t>
  </si>
  <si>
    <t>Maintenance-FR-003A</t>
  </si>
  <si>
    <t>TANK.Maintenance-FR-003A.MAINTENANCE_STATUS</t>
  </si>
  <si>
    <t>LEVELSWITCH.LSW-09.MAINTENANCE_STATUS</t>
  </si>
  <si>
    <t>LEVELSWITCH.RDR-09.MAINTENANCE_STATUS</t>
  </si>
  <si>
    <t>MOV.ROSOV-17.MAINTENANCE_STATUS</t>
  </si>
  <si>
    <t>MOV.ROSOV-18.MAINTENANCE_STATUS</t>
  </si>
  <si>
    <t>MOV.MOV-1301.MAINTENANCE_STATUS</t>
  </si>
  <si>
    <t>MOV.MOV-1303.MAINTENANCE_STATUS</t>
  </si>
  <si>
    <t>Maintenance-FR-003B</t>
  </si>
  <si>
    <t>TANK.Maintenance-FR-003B.MAINTENANCE_STATUS</t>
  </si>
  <si>
    <t>LEVELSWITCH.LSW-06.MAINTENANCE_STATUS</t>
  </si>
  <si>
    <t>LEVELSWITCH.RDR-06.MAINTENANCE_STATUS</t>
  </si>
  <si>
    <t>MOV.ROSOV-11.MAINTENANCE_STATUS</t>
  </si>
  <si>
    <t>MOV.ROSOV-12.MAINTENANCE_STATUS</t>
  </si>
  <si>
    <t>MOV.MOV-1302.MAINTENANCE_STATUS</t>
  </si>
  <si>
    <t>MOV.MOV-1304.MAINTENANCE_STATUS</t>
  </si>
  <si>
    <t>Maintenance-FR-003C</t>
  </si>
  <si>
    <t>TANK.Maintenance-FR-003C.MAINTENANCE_STATUS</t>
  </si>
  <si>
    <t>LEVELSWITCH.LSW-02.MAINTENANCE_STATUS</t>
  </si>
  <si>
    <t>LEVELSWITCH.RDR-02.MAINTENANCE_STATUS</t>
  </si>
  <si>
    <t>MOV.ROSOV-03.MAINTENANCE_STATUS</t>
  </si>
  <si>
    <t>MOV.ROSOV-04.MAINTENANCE_STATUS</t>
  </si>
  <si>
    <t>MOV.MOV-1305.MAINTENANCE_STATUS</t>
  </si>
  <si>
    <t>MOV.MOV-1306.MAINTENANCE_STATUS</t>
  </si>
  <si>
    <t>Maintenance-FR-003E</t>
  </si>
  <si>
    <t>TANK.Maintenance-FR-003E.MAINTENANCE_STATUS</t>
  </si>
  <si>
    <t>LEVELSWITCH.LSW-11.MAINTENANCE_STATUS</t>
  </si>
  <si>
    <t>LEVELSWITCH.RDR-11.MAINTENANCE_STATUS</t>
  </si>
  <si>
    <t>MOV.ROSOV-21.MAINTENANCE_STATUS</t>
  </si>
  <si>
    <t>MOV.ROSOV-22.MAINTENANCE_STATUS</t>
  </si>
  <si>
    <t>MOV.MOV-1309.MAINTENANCE_STATUS</t>
  </si>
  <si>
    <t>MOV.MOV-1310.MAINTENANCE_STATUS</t>
  </si>
  <si>
    <t>Maintenance-FR-004A</t>
  </si>
  <si>
    <t>TANK.Maintenance-FR-004A.MAINTENANCE_STATUS</t>
  </si>
  <si>
    <t>LEVELSWITCH.LSW-07.MAINTENANCE_STATUS</t>
  </si>
  <si>
    <t>LEVELSWITCH.RDR-07.MAINTENANCE_STATUS</t>
  </si>
  <si>
    <t>MOV.ROSOV-13.MAINTENANCE_STATUS</t>
  </si>
  <si>
    <t>MOV.ROSOV-14.MAINTENANCE_STATUS</t>
  </si>
  <si>
    <t>MOV.MOV-1401.MAINTENANCE_STATUS</t>
  </si>
  <si>
    <t>MOV.MOV-1404.MAINTENANCE_STATUS</t>
  </si>
  <si>
    <t>Maintenance-FR-004B</t>
  </si>
  <si>
    <t>TANK.Maintenance-FR-004B.MAINTENANCE_STATUS</t>
  </si>
  <si>
    <t>LEVELSWITCH.LSW-10.MAINTENANCE_STATUS</t>
  </si>
  <si>
    <t>LEVELSWITCH.RDR-10.MAINTENANCE_STATUS</t>
  </si>
  <si>
    <t>MOV.ROSOV-19.MAINTENANCE_STATUS</t>
  </si>
  <si>
    <t>MOV.ROSOV-20.MAINTENANCE_STATUS</t>
  </si>
  <si>
    <t>MOV.MOV-1402.MAINTENANCE_STATUS</t>
  </si>
  <si>
    <t>MOV.MOV-1405.MAINTENANCE_STATUS</t>
  </si>
  <si>
    <t>Maintenance-FR-004C</t>
  </si>
  <si>
    <t>TANK.Maintenance-FR-004C.MAINTENANCE_STATUS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</si>
  <si>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</si>
  <si>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</si>
  <si>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</si>
  <si>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</si>
  <si>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MOV.MOV-1403.MAINTENANCE_STATUS</t>
  </si>
  <si>
    <t>MOV.MOV-1406.MAINTENANCE_STATUS</t>
  </si>
  <si>
    <t>Maintenance-FR-005C</t>
  </si>
  <si>
    <t>TANK.Maintenance-FR-005C.MAINTENANCE_STATUS</t>
  </si>
  <si>
    <t>LEVELSWITCH.LSW-16.MAINTENANCE_STATUS</t>
  </si>
  <si>
    <t>LEVELSWITCH.RDR-16.MAINTENANCE_STATUS</t>
  </si>
  <si>
    <t>MOV.ROSOV-31.MAINTENANCE_STATUS</t>
  </si>
  <si>
    <t>MOV.ROSOV-32.MAINTENANCE_STATUS</t>
  </si>
  <si>
    <t>MOV.MOV-1510.MAINTENANCE_STATUS</t>
  </si>
  <si>
    <t>MOV.MOV-1511.MAINTENANCE_STATUS</t>
  </si>
  <si>
    <t>Pump ID</t>
  </si>
  <si>
    <t>Fuel Type</t>
  </si>
  <si>
    <t>Pump Type</t>
  </si>
  <si>
    <t>Pump Direction(Reciept/Dispatch)</t>
  </si>
  <si>
    <t>PUMP ON STATUS</t>
  </si>
  <si>
    <t>PUMP OFF STATUS</t>
  </si>
  <si>
    <t>PUMP LR STATUS</t>
  </si>
  <si>
    <t>51-PA-CF-001A</t>
  </si>
  <si>
    <t>TLF</t>
  </si>
  <si>
    <t>DISPATCH</t>
  </si>
  <si>
    <t>PUMP.51-PA-CF-001A.ON</t>
  </si>
  <si>
    <t>PUMP.51-PA-CF-001A.OFF</t>
  </si>
  <si>
    <t>PUMP.51-PA-CF-001A.REMOTE_STATUS</t>
  </si>
  <si>
    <t>51-PA-CF-001B</t>
  </si>
  <si>
    <t>PUMP.51-PA-CF-001B.ON</t>
  </si>
  <si>
    <t>PUMP.51-PA-CF-001B.OFF</t>
  </si>
  <si>
    <t>PUMP.51-PA-CF-001B.REMOTE_STATUS</t>
  </si>
  <si>
    <t>51-PA-CF-001C</t>
  </si>
  <si>
    <t>PUMP.51-PA-CF-001C.ON</t>
  </si>
  <si>
    <t>PUMP.51-PA-CF-001C.OFF</t>
  </si>
  <si>
    <t>PUMP.51-PA-CF-001C.REMOTE_STATUS</t>
  </si>
  <si>
    <t>51-PA-CF-001E</t>
  </si>
  <si>
    <t>PUMP.51-PA-CF-001E.ON</t>
  </si>
  <si>
    <t>PUMP.51-PA-CF-001E.OFF</t>
  </si>
  <si>
    <t>PUMP.51-PA-CF-001E.REMOTE_STATUS</t>
  </si>
  <si>
    <t>51-PA-CF-001F</t>
  </si>
  <si>
    <t>PUMP.51-PA-CF-001F.ON</t>
  </si>
  <si>
    <t>PUMP.51-PA-CF-001F.OFF</t>
  </si>
  <si>
    <t>PUMP.51-PA-CF-001F.REMOTE_STATUS</t>
  </si>
  <si>
    <t>51-PA-CF-003A</t>
  </si>
  <si>
    <t>PUMP.51-PA-CF-003A.ON</t>
  </si>
  <si>
    <t>PUMP.51-PA-CF-003A.OFF</t>
  </si>
  <si>
    <t>PUMP.51-PA-CF-003A.REMOTE_STATUS</t>
  </si>
  <si>
    <t>51-PA-CF-003B</t>
  </si>
  <si>
    <t>PUMP.51-PA-CF-003B.ON</t>
  </si>
  <si>
    <t>PUMP.51-PA-CF-003B.OFF</t>
  </si>
  <si>
    <t>PUMP.51-PA-CF-003B.REMOTE_STATUS</t>
  </si>
  <si>
    <t>51-PA-CF-003C</t>
  </si>
  <si>
    <t>PUMP.51-PA-CF-003C.ON</t>
  </si>
  <si>
    <t>PUMP.51-PA-CF-003C.OFF</t>
  </si>
  <si>
    <t>PUMP.51-PA-CF-003C.REMOTE_STATUS</t>
  </si>
  <si>
    <t>51-PA-CF-003D</t>
  </si>
  <si>
    <t>PUMP.51-PA-CF-003D.ON</t>
  </si>
  <si>
    <t>PUMP.51-PA-CF-003D.OFF</t>
  </si>
  <si>
    <t>PUMP.51-PA-CF-003D.REMOTE_STATUS</t>
  </si>
  <si>
    <t>51-PA-CF-003E</t>
  </si>
  <si>
    <t>PUMP.51-PA-CF-003E.ON</t>
  </si>
  <si>
    <t>PUMP.51-PA-CF-003E.OFF</t>
  </si>
  <si>
    <t>PUMP.51-PA-CF-003E.REMOTE_STATUS</t>
  </si>
  <si>
    <t>51-PA-CF-003F</t>
  </si>
  <si>
    <t>PUMP.51-PA-CF-003F.ON</t>
  </si>
  <si>
    <t>PUMP.51-PA-CF-003F.OFF</t>
  </si>
  <si>
    <t>PUMP.51-PA-CF-003F.REMOTE_STATUS</t>
  </si>
  <si>
    <t>51-PA-CF-006A</t>
  </si>
  <si>
    <t>SUMP</t>
  </si>
  <si>
    <t>51-PA-CF-006B</t>
  </si>
  <si>
    <t>PUMP.51-PA-CF-006B.ON</t>
  </si>
  <si>
    <t>PUMP.51-PA-CF-006B.OFF</t>
  </si>
  <si>
    <t>PUMP.51-PA-CF-006B.REMOTE_STATUS</t>
  </si>
  <si>
    <t>51-PA-CF-006C</t>
  </si>
  <si>
    <t>PUMP.51-PA-CF-006C.ON</t>
  </si>
  <si>
    <t>PUMP.51-PA-CF-006C.OFF</t>
  </si>
  <si>
    <t>PUMP.51-PA-CF-006C.REMOTE_STATUS</t>
  </si>
  <si>
    <t>51-PA-CF-007</t>
  </si>
  <si>
    <t>PUMP.51-PA-CF-007.ON</t>
  </si>
  <si>
    <t>PUMP.51-PA-CF-007.OFF</t>
  </si>
  <si>
    <t>PUMP.51-PA-CF-007.REMOTE_STATUS</t>
  </si>
  <si>
    <t>51-PA-HEXANE-13</t>
  </si>
  <si>
    <t>HEXANE</t>
  </si>
  <si>
    <t>PUMP.51-PA-HEXANE-13.ON</t>
  </si>
  <si>
    <t>PUMP.51-PA-HEXANE-13.OFF</t>
  </si>
  <si>
    <t>PUMP.51-PA-HEXANE-13.REMOTE_STATUS</t>
  </si>
  <si>
    <t>51-PA-HEXANE-14</t>
  </si>
  <si>
    <t>PUMP.51-PA-HEXANE-14.ON</t>
  </si>
  <si>
    <t>PUMP.51-PA-HEXANE-14.OFF</t>
  </si>
  <si>
    <t>PUMP.51-PA-HEXANE-14.REMOTE_STATUS</t>
  </si>
  <si>
    <t>51-PA-MTO-15</t>
  </si>
  <si>
    <t>MTO</t>
  </si>
  <si>
    <t>PUMP.51-PA-MTO-15.ON</t>
  </si>
  <si>
    <t>PUMP.51-PA-MTO-15.OFF</t>
  </si>
  <si>
    <t>PUMP.51-PA-MTO-15.REMOTE_STATUS</t>
  </si>
  <si>
    <t>51-PA-RP-9A</t>
  </si>
  <si>
    <t>POWER100</t>
  </si>
  <si>
    <t>PUMP.51-PA-RP-9A.ON</t>
  </si>
  <si>
    <t>PUMP.51-PA-RP-9A.OFF</t>
  </si>
  <si>
    <t>PUMP.51-PA-RP-9A.REMOTE_STATUS</t>
  </si>
  <si>
    <t>51-PA-RP-9B</t>
  </si>
  <si>
    <t>PUMP.51-PA-RP-9B.ON</t>
  </si>
  <si>
    <t>PUMP.51-PA-RP-9B.OFF</t>
  </si>
  <si>
    <t>PUMP.51-PA-RP-9B.REMOTE_STATUS</t>
  </si>
  <si>
    <t>ADTV PMP-1 POWER</t>
  </si>
  <si>
    <t>POWER</t>
  </si>
  <si>
    <t>PUMP.ADTV PMP-1 POWER.ON</t>
  </si>
  <si>
    <t>PUMP.ADTV PMP-1 POWER.OFF</t>
  </si>
  <si>
    <t>PUMP.ADTV PMP-1 POWER.REMOTE_STATUS</t>
  </si>
  <si>
    <t>ADTV PMP-1 TURBO</t>
  </si>
  <si>
    <t>TURBO</t>
  </si>
  <si>
    <t>PUMP.ADTV PMP-1 TURBO.ON</t>
  </si>
  <si>
    <t>PUMP.ADTV PMP-1 TURBO.OFF</t>
  </si>
  <si>
    <t>PUMP.ADTV PMP-1 TURBO.REMOTE_STATUS</t>
  </si>
  <si>
    <t>ADTV PMP-2 POWER</t>
  </si>
  <si>
    <t>PUMP.ADTV PMP-2 POWER.ON</t>
  </si>
  <si>
    <t>PUMP.ADTV PMP-2 POWER.OFF</t>
  </si>
  <si>
    <t>PUMP.ADTV PMP-2 POWER.REMOTE_STATUS</t>
  </si>
  <si>
    <t>ADTV PMP-2 TURBO</t>
  </si>
  <si>
    <t>PUMP.ADTV PMP-2 TURBO.ON</t>
  </si>
  <si>
    <t>PUMP.ADTV PMP-2 TURBO.OFF</t>
  </si>
  <si>
    <t>PUMP.ADTV PMP-2 TURBO.REMOTE_STATUS</t>
  </si>
  <si>
    <t>PMP-01</t>
  </si>
  <si>
    <t>PUMP.PMP-01.ON</t>
  </si>
  <si>
    <t>PUMP.PMP-01.OFF</t>
  </si>
  <si>
    <t>PUMP.PMP-01.REMOTE_STATUS</t>
  </si>
  <si>
    <t>PMP-02</t>
  </si>
  <si>
    <t>PUMP.PMP-02.ON</t>
  </si>
  <si>
    <t>PUMP.PMP-02.OFF</t>
  </si>
  <si>
    <t>PUMP.PMP-02.REMOTE_STATUS</t>
  </si>
  <si>
    <t>PMP-03</t>
  </si>
  <si>
    <t>PUMP.PMP-03.ON</t>
  </si>
  <si>
    <t>PUMP.PMP-03.OFF</t>
  </si>
  <si>
    <t>PUMP.PMP-03.REMOTE_STATUS</t>
  </si>
  <si>
    <t>PMP-05</t>
  </si>
  <si>
    <t>PUMP.PMP-05.ON</t>
  </si>
  <si>
    <t>PUMP.PMP-05.OFF</t>
  </si>
  <si>
    <t>PUMP.PMP-05.REMOTE_STATUS</t>
  </si>
  <si>
    <t>PMP-06</t>
  </si>
  <si>
    <t>PUMP.PMP-06.ON</t>
  </si>
  <si>
    <t>PUMP.PMP-06.OFF</t>
  </si>
  <si>
    <t>PUMP.PMP-06.REMOTE_STATUS</t>
  </si>
  <si>
    <t>PMP-07</t>
  </si>
  <si>
    <t>TWD</t>
  </si>
  <si>
    <t>RECEIPT</t>
  </si>
  <si>
    <t>PUMP.PMP-07.ON</t>
  </si>
  <si>
    <t>PUMP.PMP-07.OFF</t>
  </si>
  <si>
    <t>PUMP.PMP-07.REMOTE_STATUS</t>
  </si>
  <si>
    <t>PMP-08</t>
  </si>
  <si>
    <t>PUMP.PMP-08.ON</t>
  </si>
  <si>
    <t>PUMP.PMP-08.OFF</t>
  </si>
  <si>
    <t>PUMP.PMP-08.REMOTE_STATUS</t>
  </si>
  <si>
    <t>PMP-09</t>
  </si>
  <si>
    <t>PUMP.PMP-09.ON</t>
  </si>
  <si>
    <t>PUMP.PMP-09.OFF</t>
  </si>
  <si>
    <t>PUMP.PMP-09.REMOTE_STATUS</t>
  </si>
  <si>
    <t>PMP-10</t>
  </si>
  <si>
    <t>CI</t>
  </si>
  <si>
    <t>PUMP.PMP-10.ON</t>
  </si>
  <si>
    <t>PUMP.PMP-10.OFF</t>
  </si>
  <si>
    <t>PUMP.PMP-10.REMOTE_STATUS</t>
  </si>
  <si>
    <t>PMP-11</t>
  </si>
  <si>
    <t>PUMP.PMP-11.ON</t>
  </si>
  <si>
    <t>PUMP.PMP-11.OFF</t>
  </si>
  <si>
    <t>PUMP.PMP-11.REMOTE_STATUS</t>
  </si>
  <si>
    <t>PMP-47</t>
  </si>
  <si>
    <t>PUMP.PMP-47.ON</t>
  </si>
  <si>
    <t>PUMP.PMP-47.OFF</t>
  </si>
  <si>
    <t>PUMP.PMP-47.REMOTE_STATUS</t>
  </si>
  <si>
    <t>PMP-48</t>
  </si>
  <si>
    <t>PUMP.PMP-48.ON</t>
  </si>
  <si>
    <t>PUMP.PMP-48.OFF</t>
  </si>
  <si>
    <t>PUMP.PMP-48.REMOTE_STATUS</t>
  </si>
  <si>
    <t>PMP-49</t>
  </si>
  <si>
    <t>POWER99</t>
  </si>
  <si>
    <t>PUMP.PMP-49.ON</t>
  </si>
  <si>
    <t>PUMP.PMP-49.OFF</t>
  </si>
  <si>
    <t>PUMP.PMP-49.REMOTE_STATUS</t>
  </si>
  <si>
    <t>PMP-50</t>
  </si>
  <si>
    <t>PUMP.PMP-50.ON</t>
  </si>
  <si>
    <t>PUMP.PMP-50.OFF</t>
  </si>
  <si>
    <t>PUMP.PMP-50.REMOTE_STATUS</t>
  </si>
  <si>
    <t>VRU-PMP-01</t>
  </si>
  <si>
    <t>BS IV HSD</t>
  </si>
  <si>
    <t>PUMP.VRU-PMP-01.ON</t>
  </si>
  <si>
    <t>PUMP.VRU-PMP-01.OFF</t>
  </si>
  <si>
    <t>PUMP ON STATUS Normal value</t>
  </si>
  <si>
    <t>PUMP OFF STATUS Normal value</t>
  </si>
  <si>
    <t>PUMP LR STATUS Normal value</t>
  </si>
  <si>
    <t>FIRE PUMP MAINTENANCE</t>
  </si>
  <si>
    <t>FIRE PUMP MAINTENANCE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</si>
  <si>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</si>
  <si>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</si>
  <si>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</si>
  <si>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</si>
  <si>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</si>
  <si>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</si>
  <si>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4</t>
  </si>
  <si>
    <t>FIRE PUMP FAIL TO START 5</t>
  </si>
  <si>
    <t>FIRE PUMP FAIL TO START STANDBY1</t>
  </si>
  <si>
    <t>FIRE PUMP FAIL TO START STANDBY2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</si>
  <si>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</si>
  <si>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</si>
  <si>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</si>
  <si>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</si>
  <si>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</si>
  <si>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</si>
  <si>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</si>
  <si>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PH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</si>
  <si>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</si>
  <si>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</si>
  <si>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</si>
  <si>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</si>
  <si>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</si>
  <si>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</si>
  <si>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</si>
  <si>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PUMP.FWP-01.FAILED_TO_START_MAIN4</t>
  </si>
  <si>
    <t>PUMP.FWP-01.FAILED_TO_START_MAIN5</t>
  </si>
  <si>
    <t>PUMP.FWP-01.FAILED_TO_START_STANDBY1</t>
  </si>
  <si>
    <t>PUMP.FWP-01.FAILED_TO_START_STANDBY2</t>
  </si>
  <si>
    <t>PUMP.FWP-01.PUMP_TRIPPED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</si>
  <si>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</si>
  <si>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</si>
  <si>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</si>
  <si>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</si>
  <si>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</si>
  <si>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</si>
  <si>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</si>
  <si>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</si>
  <si>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</si>
  <si>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PUMP.FWP-02.FAILED_TO_START_MAIN4</t>
  </si>
  <si>
    <t>PUMP.FWP-02.FAILED_TO_START_MAIN5</t>
  </si>
  <si>
    <t>PUMP.FWP-02.FAILED_TO_START_STANDBY1</t>
  </si>
  <si>
    <t>PUMP.FWP-02.FAILED_TO_START_STANDBY2</t>
  </si>
  <si>
    <t>PUMP.FWP-02.PUMP_TRIPPED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</si>
  <si>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</si>
  <si>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</si>
  <si>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</si>
  <si>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</si>
  <si>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</si>
  <si>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</si>
  <si>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</si>
  <si>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</si>
  <si>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</si>
  <si>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PUMP.FWP-03.FAILED_TO_START_MAIN4</t>
  </si>
  <si>
    <t>PUMP.FWP-03.FAILED_TO_START_MAIN5</t>
  </si>
  <si>
    <t>PUMP.FWP-03.FAILED_TO_START_STANDBY1</t>
  </si>
  <si>
    <t>PUMP.FWP-03.FAILED_TO_START_STANDBY2</t>
  </si>
  <si>
    <t>PUMP.FWP-03.PUMP_TRIPPED</t>
  </si>
  <si>
    <t>PUMP.FWP-03.HIGH_TEMPERATURE_ALARM</t>
  </si>
  <si>
    <t>FWP-04</t>
  </si>
  <si>
    <t>PUMP.FWP-04.ON</t>
  </si>
  <si>
    <t>PUMP.FWP-04.OFF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</si>
  <si>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</si>
  <si>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</si>
  <si>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</si>
  <si>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</si>
  <si>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</si>
  <si>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PUMP.FWP-04.FAILED_TO_START_MAIN4</t>
  </si>
  <si>
    <t>PUMP.FWP-04.FAILED_TO_START_MAIN5</t>
  </si>
  <si>
    <t>PUMP.FWP-04.FAILED_TO_START_STANDBY1</t>
  </si>
  <si>
    <t>PUMP.FWP-04.FAILED_TO_START_STANDBY2</t>
  </si>
  <si>
    <t>PUMP.FWP-04.PUMP_TRIPPED</t>
  </si>
  <si>
    <t>PUMP.FWP-04.HIGH_TEMPERATURE_ALARM</t>
  </si>
  <si>
    <t>FWP-05</t>
  </si>
  <si>
    <t>PUMP.FWP-05.ON</t>
  </si>
  <si>
    <t>PUMP.FWP-05.OFF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</si>
  <si>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</si>
  <si>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</si>
  <si>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</si>
  <si>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</si>
  <si>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</si>
  <si>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PUMP.FWP-05.FAILED_TO_START_MAIN4</t>
  </si>
  <si>
    <t>PUMP.FWP-05.FAILED_TO_START_MAIN5</t>
  </si>
  <si>
    <t>PUMP.FWP-05.FAILED_TO_START_STANDBY1</t>
  </si>
  <si>
    <t>PUMP.FWP-05.FAILED_TO_START_STANDBY2</t>
  </si>
  <si>
    <t>PUMP.FWP-05.PUMP_TRIPPED</t>
  </si>
  <si>
    <t>PUMP.FWP-05.HIGH_TEMPERATURE_ALARM</t>
  </si>
  <si>
    <t>FWP-06</t>
  </si>
  <si>
    <t>PUMP.FWP-06.ON</t>
  </si>
  <si>
    <t>PUMP.FWP-06.OFF</t>
  </si>
  <si>
    <t>PUMP.FWP-06.REMOTE_STATUS</t>
  </si>
  <si>
    <t>PUMP.FWP-06.MAINTENANCE_STATUS</t>
  </si>
  <si>
    <t>PUMP.FWP-06.FAILED_TO_START_MAIN1</t>
  </si>
  <si>
    <t>PUMP.FWP-06.FAILED_TO_START_MAIN2</t>
  </si>
  <si>
    <t>PUMP.FWP-06.FAILED_TO_START_MAIN3</t>
  </si>
  <si>
    <t>PUMP.FWP-06.FAILED_TO_START_MAIN4</t>
  </si>
  <si>
    <t>PUMP.FWP-06.FAILED_TO_START_MAIN5</t>
  </si>
  <si>
    <t>PUMP.FWP-06.FAILED_TO_START_STANDBY1</t>
  </si>
  <si>
    <t>PUMP.FWP-06.FAILED_TO_START_STANDBY2</t>
  </si>
  <si>
    <t>PUMP.FWP-06.PUMP_TRIPPED</t>
  </si>
  <si>
    <t>PUMP.FWP-06.HIGH_TEMPERATURE_ALARM</t>
  </si>
  <si>
    <t>FWP-07</t>
  </si>
  <si>
    <t>PUMP.FWP-07.ON</t>
  </si>
  <si>
    <t>PUMP.FWP-07.OFF</t>
  </si>
  <si>
    <t>PUMP.FWP-07.REMOTE_STATUS</t>
  </si>
  <si>
    <t>PUMP.FWP-07.MAINTENANCE_STATUS</t>
  </si>
  <si>
    <t>PUMP.FWP-07.FAILED_TO_START_MAIN1</t>
  </si>
  <si>
    <t>PUMP.FWP-07.FAILED_TO_START_MAIN2</t>
  </si>
  <si>
    <t>PUMP.FWP-07.FAILED_TO_START_MAIN3</t>
  </si>
  <si>
    <t>PUMP.FWP-07.FAILED_TO_START_MAIN4</t>
  </si>
  <si>
    <t>PUMP.FWP-07.FAILED_TO_START_MAIN5</t>
  </si>
  <si>
    <t>PUMP.FWP-07.FAILED_TO_START_STANDBY1</t>
  </si>
  <si>
    <t>PUMP.FWP-07.FAILED_TO_START_STANDBY2</t>
  </si>
  <si>
    <t>PUMP.FWP-07.PUMP_TRIPPED</t>
  </si>
  <si>
    <t>PUMP.FWP-07.HIGH_TEMPERATURE_ALARM</t>
  </si>
  <si>
    <t>FWP-08</t>
  </si>
  <si>
    <t>PUMP.FWP-08.ON</t>
  </si>
  <si>
    <t>PUMP.FWP-08.OFF</t>
  </si>
  <si>
    <t>PUMP.FWP-08.REMOTE_STATUS</t>
  </si>
  <si>
    <t>PUMP.FWP-08.MAINTENANCE_STATUS</t>
  </si>
  <si>
    <t>PUMP.FWP-08.FAILED_TO_START_MAIN1</t>
  </si>
  <si>
    <t>PUMP.FWP-08.FAILED_TO_START_MAIN2</t>
  </si>
  <si>
    <t>PUMP.FWP-08.FAILED_TO_START_MAIN3</t>
  </si>
  <si>
    <t>PUMP.FWP-08.FAILED_TO_START_MAIN4</t>
  </si>
  <si>
    <t>PUMP.FWP-08.FAILED_TO_START_MAIN5</t>
  </si>
  <si>
    <t>PUMP.FWP-08.FAILED_TO_START_STANDBY1</t>
  </si>
  <si>
    <t>PUMP.FWP-08.FAILED_TO_START_STANDBY2</t>
  </si>
  <si>
    <t>PUMP.FWP-08.PUMP_TRIPPED</t>
  </si>
  <si>
    <t>PUMP.FWP-08.HIGH_TEMPERATURE_ALARM</t>
  </si>
  <si>
    <t>JCY-01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</si>
  <si>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</si>
  <si>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</si>
  <si>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</si>
  <si>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</si>
  <si>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</si>
  <si>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</si>
  <si>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</si>
  <si>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</si>
  <si>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</si>
  <si>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</si>
  <si>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</si>
  <si>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</si>
  <si>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</si>
  <si>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</si>
  <si>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</si>
  <si>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Hydrant</t>
  </si>
  <si>
    <t>PT</t>
  </si>
  <si>
    <t>Farthest Point</t>
  </si>
  <si>
    <t>PressureTransmitter.PT-01.MAINTENANCE_STATUS</t>
  </si>
  <si>
    <t>Nearest Point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</si>
  <si>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</si>
  <si>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</si>
  <si>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</si>
  <si>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</si>
  <si>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</si>
  <si>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</si>
  <si>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</si>
  <si>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</si>
  <si>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</si>
  <si>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</si>
  <si>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</si>
  <si>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</t>
  </si>
  <si>
    <t>UPS.UPS-01.MAIN_AC_FAIL</t>
  </si>
  <si>
    <t>UPS.UPS-01.LOW_BATTERY</t>
  </si>
  <si>
    <t>UPS.UPS-01.OVERLOAD_ALARM</t>
  </si>
  <si>
    <t>UPS-02</t>
  </si>
  <si>
    <t>UPS.UPS-02.MAIN_AC_FAIL</t>
  </si>
  <si>
    <t>UPS.UPS-02.LOW_BATTERY</t>
  </si>
  <si>
    <t>UPS.UPS-02.OVERLOAD_ALARM</t>
  </si>
  <si>
    <t>UPS-03</t>
  </si>
  <si>
    <t>UPS.UPS-03.MAIN_AC_FAIL</t>
  </si>
  <si>
    <t>UPS.UPS-03.LOW_BATTERY</t>
  </si>
  <si>
    <t>UPS.UPS-03.LOAD_ON_UPS</t>
  </si>
  <si>
    <t>UPS-04</t>
  </si>
  <si>
    <t>UPS.UPS-04.MAIN_AC_FAIL</t>
  </si>
  <si>
    <t>UPS.UPS-04.LOW_BATTERY</t>
  </si>
  <si>
    <t>UPS.UPS-04.LOAD_ON_UPS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</si>
  <si>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</si>
  <si>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</si>
  <si>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</si>
  <si>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</si>
  <si>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</si>
  <si>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</si>
  <si>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</si>
  <si>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</si>
  <si>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</si>
  <si>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PLC A COOMUNCIATION</t>
  </si>
  <si>
    <t>PLC A COOMUNCIATION Normal Value</t>
  </si>
  <si>
    <t>PLC B COOMUNCIATION</t>
  </si>
  <si>
    <t>PLC B COOMUNCIATION Normal Value</t>
  </si>
  <si>
    <t>GEPLC</t>
  </si>
  <si>
    <t>PLC.TASPLC.PLCA_IS_MASTER</t>
  </si>
  <si>
    <t>PLC.TASPLC.PLCB_IS_MASTER</t>
  </si>
  <si>
    <t>SFT PLC</t>
  </si>
  <si>
    <t>PLC.SFTPLC.PLCA_IS_MASTER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</si>
  <si>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</si>
  <si>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</si>
  <si>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</si>
  <si>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</si>
  <si>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</si>
  <si>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</si>
  <si>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</si>
  <si>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</si>
  <si>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</si>
  <si>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</si>
  <si>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</si>
  <si>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</si>
  <si>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</si>
  <si>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</si>
  <si>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</si>
  <si>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</si>
  <si>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</si>
  <si>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HDS-01</t>
  </si>
  <si>
    <t>OPEN PATH</t>
  </si>
  <si>
    <t>TANK1A TANK1B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</si>
  <si>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</si>
  <si>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</si>
  <si>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</si>
  <si>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</si>
  <si>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</si>
  <si>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HDS-02</t>
  </si>
  <si>
    <t>TANK1C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</si>
  <si>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</si>
  <si>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</si>
  <si>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</si>
  <si>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</si>
  <si>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</si>
  <si>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</si>
  <si>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PRODUCT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</si>
  <si>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</si>
  <si>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</si>
  <si>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</si>
  <si>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</si>
  <si>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</si>
  <si>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</si>
  <si>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TANK5C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</si>
  <si>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</si>
  <si>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</si>
  <si>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</si>
  <si>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</si>
  <si>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</si>
  <si>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</si>
  <si>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POINT TYPE</t>
  </si>
  <si>
    <t>TANK5A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</si>
  <si>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</si>
  <si>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</si>
  <si>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</si>
  <si>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</si>
  <si>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</si>
  <si>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</si>
  <si>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TANK3C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</si>
  <si>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</si>
  <si>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</si>
  <si>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</si>
  <si>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</si>
  <si>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</si>
  <si>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</si>
  <si>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TANK4C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</si>
  <si>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</si>
  <si>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</si>
  <si>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</si>
  <si>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</si>
  <si>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</si>
  <si>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</si>
  <si>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TANK1B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</si>
  <si>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</si>
  <si>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</si>
  <si>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</si>
  <si>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</si>
  <si>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</si>
  <si>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</si>
  <si>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</si>
  <si>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</si>
  <si>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</si>
  <si>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</si>
  <si>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</si>
  <si>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</si>
  <si>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TANK 1A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</si>
  <si>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</si>
  <si>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</si>
  <si>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</si>
  <si>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</si>
  <si>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</si>
  <si>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</si>
  <si>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TANK5B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</si>
  <si>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</si>
  <si>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</si>
  <si>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</si>
  <si>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</si>
  <si>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</si>
  <si>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</si>
  <si>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</si>
  <si>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</si>
  <si>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</si>
  <si>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</si>
  <si>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</si>
  <si>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</si>
  <si>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</si>
  <si>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</si>
  <si>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</si>
  <si>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</si>
  <si>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</si>
  <si>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</si>
  <si>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HCD-BPCL PLT MFM AREA</t>
  </si>
  <si>
    <t>BPCL PLT MFM AREA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</si>
  <si>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</si>
  <si>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</si>
  <si>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</si>
  <si>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</si>
  <si>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</si>
  <si>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</si>
  <si>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HCD-15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</si>
  <si>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</si>
  <si>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</si>
  <si>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</si>
  <si>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</si>
  <si>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</si>
  <si>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</si>
  <si>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HCD-16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</si>
  <si>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</si>
  <si>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</si>
  <si>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</si>
  <si>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</si>
  <si>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</si>
  <si>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</si>
  <si>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HCD-17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</si>
  <si>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</si>
  <si>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</si>
  <si>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</si>
  <si>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</si>
  <si>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</si>
  <si>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HDS-18</t>
  </si>
  <si>
    <t>HCD-18</t>
  </si>
  <si>
    <t>GDS.HDS-18.HYDROCARBON_40_PCT_LEL</t>
  </si>
  <si>
    <t>GDS.HDS-18.HYDROCARBON_20_PCT_LEL</t>
  </si>
  <si>
    <t>GDS.HDS-18.CRITICAL_FAULT_ALARM</t>
  </si>
  <si>
    <t>GDS.HDS-18.MISALIGNMENT_FAULT_ALARM</t>
  </si>
  <si>
    <t>GDS.HDS-18.MAINTENANCE_CALL</t>
  </si>
  <si>
    <t>HDS-19</t>
  </si>
  <si>
    <t>HCD-19</t>
  </si>
  <si>
    <t>GDS.HDS-19.HYDROCARBON_40_PCT_LEL</t>
  </si>
  <si>
    <t>GDS.HDS-19.HYDROCARBON_20_PCT_LEL</t>
  </si>
  <si>
    <t>GDS.HDS-19.CRITICAL_FAULT_ALARM</t>
  </si>
  <si>
    <t>GDS.HDS-19.MISALIGNMENT_FAULT_ALARM</t>
  </si>
  <si>
    <t>GDS.HDS-19.MAINTENANCE_CALL</t>
  </si>
  <si>
    <t>Dyke ID</t>
  </si>
  <si>
    <t>DYKE VALVE STATUS</t>
  </si>
  <si>
    <t>DYKE VALVE STATUS Normal Value</t>
  </si>
  <si>
    <t>DV-01</t>
  </si>
  <si>
    <t>DRAINVALVE.DV-01.DRAIN_VALVE_STATUS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</si>
  <si>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</si>
  <si>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</si>
  <si>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</si>
  <si>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</si>
  <si>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</si>
  <si>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</si>
  <si>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</si>
  <si>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</si>
  <si>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</si>
  <si>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</si>
  <si>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</si>
  <si>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</si>
  <si>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</si>
  <si>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</si>
  <si>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DV-09</t>
  </si>
  <si>
    <t>DRAINVALVE.DV-09.DRAIN_VALVE_STATUS</t>
  </si>
  <si>
    <t>DV-10</t>
  </si>
  <si>
    <t>DRAINVALVE.DV-10.DRAIN_VALVE_STATUS</t>
  </si>
  <si>
    <t>DV-11</t>
  </si>
  <si>
    <t>DRAINVALVE.DV-11.DRAIN_VALVE_STATUS</t>
  </si>
  <si>
    <t>DV-12</t>
  </si>
  <si>
    <t>DRAINVALVE.DV-12.DRAIN_VALVE_STATUS</t>
  </si>
  <si>
    <t>DV-13</t>
  </si>
  <si>
    <t>DRAINVALVE.DV-13.DRAIN_VALVE_STATUS</t>
  </si>
  <si>
    <t>DV-14</t>
  </si>
  <si>
    <t>DRAINVALVE.DV-14.DRAIN_VALVE_STATUS</t>
  </si>
  <si>
    <t>DV-15</t>
  </si>
  <si>
    <t>DRAINVALVE.DV-15.DRAIN_VALVE_STATUS</t>
  </si>
  <si>
    <t>DV-16</t>
  </si>
  <si>
    <t>DRAINVALVE.DV-16.DRAIN_VALVE_STATUS</t>
  </si>
  <si>
    <t>DV-17</t>
  </si>
  <si>
    <t>DRAINVALVE.DV-17.DRAIN_VALVE_STATUS</t>
  </si>
  <si>
    <t>DV-18</t>
  </si>
  <si>
    <t>DRAINVALVE.DV-18.DRAIN_VALVE_STATUS</t>
  </si>
  <si>
    <t>DV-19</t>
  </si>
  <si>
    <t>DRAINVALVE.DV-19.DRAIN_VALVE_STATUS</t>
  </si>
  <si>
    <t>DV-20</t>
  </si>
  <si>
    <t>DRAINVALVE.DV-20.DRAIN_VALVE_STATUS</t>
  </si>
  <si>
    <t>DV-21</t>
  </si>
  <si>
    <t>DRAINVALVE.DV-21.DRAIN_VALVE_STATUS</t>
  </si>
  <si>
    <t>DV-22</t>
  </si>
  <si>
    <t>DRAINVALVE.DV-22.DRAIN_VALVE_STATUS</t>
  </si>
  <si>
    <t>DV-23</t>
  </si>
  <si>
    <t>DRAINVALVE.DV-23.DRAIN_VALVE_STATUS</t>
  </si>
  <si>
    <t>DV-24</t>
  </si>
  <si>
    <t>DRAINVALVE.DV-24.DRAIN_VALVE_STATUS</t>
  </si>
  <si>
    <t>DV-25</t>
  </si>
  <si>
    <t>DRAINVALVE.DV-25.DRAIN_VALVE_STATUS</t>
  </si>
  <si>
    <t>DV-26</t>
  </si>
  <si>
    <t>DRAINVALVE.DV-26.DRAIN_VALVE_STATUS</t>
  </si>
  <si>
    <t>DV-27</t>
  </si>
  <si>
    <t>DRAINVALVE.DV-27.DRAIN_VALVE_STATUS</t>
  </si>
  <si>
    <t>DV-28</t>
  </si>
  <si>
    <t>DRAINVALVE.DV-28.DRAIN_VALVE_STATUS</t>
  </si>
  <si>
    <t>DV-29</t>
  </si>
  <si>
    <t>DRAINVALVE.DV-29.DRAIN_VALVE_STATUS</t>
  </si>
  <si>
    <t>DV-30</t>
  </si>
  <si>
    <t>DRAINVALVE.DV-30.DRAIN_VALVE_STATUS</t>
  </si>
  <si>
    <t>DV-31</t>
  </si>
  <si>
    <t>DRAINVALVE.DV-31.DRAIN_VALVE_STATUS</t>
  </si>
  <si>
    <t>DV-32</t>
  </si>
  <si>
    <t>DRAINVALVE.DV-32.DRAIN_VALVE_STATUS</t>
  </si>
  <si>
    <t>DV-33</t>
  </si>
  <si>
    <t>DRAINVALVE.DV-33.DRAIN_VALVE_STATUS</t>
  </si>
  <si>
    <t>DV-34</t>
  </si>
  <si>
    <t>DRAINVALVE.DV-34.DRAIN_VALVE_STATUS</t>
  </si>
  <si>
    <t>DV-35</t>
  </si>
  <si>
    <t>DRAINVALVE.DV-35.DRAIN_VALVE_STATUS</t>
  </si>
  <si>
    <t>DV-36</t>
  </si>
  <si>
    <t>DRAINVALVE.DV-36.DRAIN_VALVE_STATUS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</si>
  <si>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</si>
  <si>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</si>
  <si>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</si>
  <si>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</si>
  <si>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</si>
  <si>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</si>
  <si>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</si>
  <si>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</si>
  <si>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</si>
  <si>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</si>
  <si>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</si>
  <si>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</si>
  <si>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</si>
  <si>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</si>
  <si>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Name</t>
  </si>
  <si>
    <t>Hooter ID</t>
  </si>
  <si>
    <t>HOOTER STATUS</t>
  </si>
  <si>
    <t>HOOTER STATUS Normal Value</t>
  </si>
  <si>
    <t>Control room - Dyke/2 FWP/Gantry Permis sive</t>
  </si>
  <si>
    <t>PLC.SFTPLC.EFFECT_HOOTER_FOR_DYKE_FWP_CR</t>
  </si>
  <si>
    <t>Control room - ESD</t>
  </si>
  <si>
    <t>PLC.SFTPLC.EFFECT_HOOTER_FOR_ESD_CR</t>
  </si>
  <si>
    <t>Control room - HCD</t>
  </si>
  <si>
    <t>PLC.SFTPLC.EFFECT_HOOTER_FOR_HC_CR</t>
  </si>
  <si>
    <t>HCD activated in Field</t>
  </si>
  <si>
    <t>PLC.SFTPLC.EFFECT_HOOTER_FOR_HC_FIELD</t>
  </si>
  <si>
    <t>Dyke activated in field</t>
  </si>
  <si>
    <t>PLC.SFTPLC.EFFECT_HOOTER_FOR_RIMSEAL_CR</t>
  </si>
  <si>
    <t>Tank 1A activated in Field</t>
  </si>
  <si>
    <t>PLC.SFTPLC.HOOTER_FIELD_1</t>
  </si>
  <si>
    <t>TTL P/H activated in Field</t>
  </si>
  <si>
    <t>PLC.SFTPLC.HOOTER_FIELD_2</t>
  </si>
  <si>
    <t>Tank 3C activated in Field</t>
  </si>
  <si>
    <t>PLC.SFTPLC.HOOTER_FIELD_3</t>
  </si>
  <si>
    <t>Tank 4C activated in Field</t>
  </si>
  <si>
    <t>PLC.SFTPLC.HOOTER_FIELD_4</t>
  </si>
  <si>
    <t>Tank 5A activated in Field</t>
  </si>
  <si>
    <t>PLC.SFTPLC.HOOTER_FIELD_5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</si>
  <si>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</si>
  <si>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</si>
  <si>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</si>
  <si>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</si>
  <si>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</si>
  <si>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</si>
  <si>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ESD-01</t>
  </si>
  <si>
    <t>ESD-PB-01</t>
  </si>
  <si>
    <t>Control Room</t>
  </si>
  <si>
    <t>ESD.ESD-01.ESD_STATUS</t>
  </si>
  <si>
    <t>ESD.ESD-01.MAINTENANCE_STATUS</t>
  </si>
  <si>
    <t>ESD-02</t>
  </si>
  <si>
    <t>ESD-PB-02</t>
  </si>
  <si>
    <t>Gantry - 01</t>
  </si>
  <si>
    <t>ESD.ESD-02.ESD_STATUS</t>
  </si>
  <si>
    <t>ESD.ESD-02.MAINTENANCE_STATUS</t>
  </si>
  <si>
    <t>ESD-03</t>
  </si>
  <si>
    <t>ESD-PB-03</t>
  </si>
  <si>
    <t>BETWEEN GANTRY 1 AND 2</t>
  </si>
  <si>
    <t>ESD.ESD-03.ESD_STATUS</t>
  </si>
  <si>
    <t>ESD.ESD-03.MAINTENANCE_STATUS</t>
  </si>
  <si>
    <t>ESD-04</t>
  </si>
  <si>
    <t>ESD-PB-04</t>
  </si>
  <si>
    <t>Gantry - 02</t>
  </si>
  <si>
    <t>ESD.ESD-04.ESD_STATUS</t>
  </si>
  <si>
    <t>ESD.ESD-04.MAINTENANCE_STATUS</t>
  </si>
  <si>
    <t>ESD-05</t>
  </si>
  <si>
    <t>ESD-PB-05</t>
  </si>
  <si>
    <t>NEAR TANK-1B</t>
  </si>
  <si>
    <t>ESD.ESD-05.ESD_STATUS</t>
  </si>
  <si>
    <t>ESD.ESD-05.MAINTENANCE_STATUS</t>
  </si>
  <si>
    <t>ESD-06</t>
  </si>
  <si>
    <t>ESD-CENTRAL</t>
  </si>
  <si>
    <t>CENTRAL ESD</t>
  </si>
  <si>
    <t>ESD.ESD-06.ESD_STATUS</t>
  </si>
  <si>
    <t>ESD-07</t>
  </si>
  <si>
    <t>ESD-RDR</t>
  </si>
  <si>
    <t>ESD Due to Radar Relay</t>
  </si>
  <si>
    <t>ESD.ESD-07.ESD_STATUS</t>
  </si>
  <si>
    <t>ESD-08</t>
  </si>
  <si>
    <t>ESD-VFT</t>
  </si>
  <si>
    <t>ESD Due to Vibrating Fork</t>
  </si>
  <si>
    <t>ESD.ESD-08.ESD_STATUS</t>
  </si>
  <si>
    <t>ESD-09</t>
  </si>
  <si>
    <t>ESD-PB-06</t>
  </si>
  <si>
    <t>WEST OF TK3C</t>
  </si>
  <si>
    <t>ESD.ESD-09.ESD_STATUS</t>
  </si>
  <si>
    <t>ESD.ESD-09.MAINTENANCE_STATUS</t>
  </si>
  <si>
    <t>ESD-10</t>
  </si>
  <si>
    <t>ESD-PB-07</t>
  </si>
  <si>
    <t>NEAR TANK-4A</t>
  </si>
  <si>
    <t>ESD.ESD-10.ESD_STATUS</t>
  </si>
  <si>
    <t>ESD.ESD-10.MAINTENANCE_STATUS</t>
  </si>
  <si>
    <t>ESD-11</t>
  </si>
  <si>
    <t>ESD-PB-08</t>
  </si>
  <si>
    <t>NEAR TANK 5B</t>
  </si>
  <si>
    <t>ESD.ESD-11.ESD_STATUS</t>
  </si>
  <si>
    <t>ESD.ESD-11.MAINTENANCE_STATUS</t>
  </si>
  <si>
    <t>ESD-12</t>
  </si>
  <si>
    <t>ESD-PB-09</t>
  </si>
  <si>
    <t>NEAR TANK-1C</t>
  </si>
  <si>
    <t>ESD.ESD-12.ESD_STATUS</t>
  </si>
  <si>
    <t>ESD.ESD-12.MAINTENANCE_STATUS</t>
  </si>
  <si>
    <t>ESD-13</t>
  </si>
  <si>
    <t>PIPELINE PLC</t>
  </si>
  <si>
    <t>ESD.ESD-13.ESD_STATUS</t>
  </si>
  <si>
    <t>ESD-15</t>
  </si>
  <si>
    <t>ESD-PB-10</t>
  </si>
  <si>
    <t>TLF PPH</t>
  </si>
  <si>
    <t>ESD.ESD-15.ESD_STATUS</t>
  </si>
  <si>
    <t>ESD.ESD-15.MAINTENANCE_STATUS</t>
  </si>
  <si>
    <t>ESD-16</t>
  </si>
  <si>
    <t>ESD-PB-16</t>
  </si>
  <si>
    <t>NEAR TANK-3B</t>
  </si>
  <si>
    <t>ESD.ESD-16.ESD_STATUS</t>
  </si>
  <si>
    <t>ESD.ESD-16.MAINTENANCE_STATUS</t>
  </si>
  <si>
    <t>ESD-17</t>
  </si>
  <si>
    <t>ESD-PB-17</t>
  </si>
  <si>
    <t>NEAR TANK-5C</t>
  </si>
  <si>
    <t>ESD.ESD-17.ESD_STATUS</t>
  </si>
  <si>
    <t>ESD.ESD-17.MAINTENANCE_STATUS</t>
  </si>
  <si>
    <t>ESD-18</t>
  </si>
  <si>
    <t>ESD-PB-18</t>
  </si>
  <si>
    <t>TLF GANTRY BAY 0</t>
  </si>
  <si>
    <t>ESD.ESD-18.ESD_STATUS</t>
  </si>
  <si>
    <t>ESD.ESD-18.MAINTENANCE_STATUS</t>
  </si>
  <si>
    <t>ESD-19</t>
  </si>
  <si>
    <t>ESD-PB-19</t>
  </si>
  <si>
    <t>LIC ROOM</t>
  </si>
  <si>
    <t>ESD.ESD-19.ESD_STATUS</t>
  </si>
  <si>
    <t>ESD.ESD-19.MAINTENANCE_STATUS</t>
  </si>
  <si>
    <t>ESD-20</t>
  </si>
  <si>
    <t>ESD-PB-20</t>
  </si>
  <si>
    <t>SECURITY MAIN GATE</t>
  </si>
  <si>
    <t>ESD.ESD-20.ESD_STATUS</t>
  </si>
  <si>
    <t>ESD.ESD-20.MAINTENANCE_STATUS</t>
  </si>
  <si>
    <t>ESD-21</t>
  </si>
  <si>
    <t>ESD-PB-21</t>
  </si>
  <si>
    <t>UNLOADING GANTRY</t>
  </si>
  <si>
    <t>ESD.ESD-21.ESD_STATUS</t>
  </si>
  <si>
    <t>ESD.ESD-21.MAINTENANCE_STATUS</t>
  </si>
  <si>
    <t>ESD-22</t>
  </si>
  <si>
    <t>ESD-PB-22</t>
  </si>
  <si>
    <t>TLF GANTRY BAY 15</t>
  </si>
  <si>
    <t>ESD.ESD-22.ESD_STATUS</t>
  </si>
  <si>
    <t>ESD.ESD-22.MAINTENANCE_STATUS</t>
  </si>
  <si>
    <t>ESD-24</t>
  </si>
  <si>
    <t>ESD-PB-24</t>
  </si>
  <si>
    <t>ESD TO BPCL PH ACB</t>
  </si>
  <si>
    <t>ESD.ESD-24.ESD_STATUS</t>
  </si>
  <si>
    <t>ESD.ESD-24.MAINTENANCE_STATUS</t>
  </si>
  <si>
    <t>ESD-BPCL</t>
  </si>
  <si>
    <t>Common ESD BPCL</t>
  </si>
  <si>
    <t>ESD.ESD-BPCL.ESD_STATUS</t>
  </si>
  <si>
    <t>ESD-IOCL</t>
  </si>
  <si>
    <t>Common ESD IOCL</t>
  </si>
  <si>
    <t>ESD.ESD-IOCL.ESD_STATUS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</si>
  <si>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</si>
  <si>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</si>
  <si>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</si>
  <si>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</si>
  <si>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</si>
  <si>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</si>
  <si>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</si>
  <si>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</si>
  <si>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LOW FLOW STATUS OF MAIN</t>
  </si>
  <si>
    <t>HIGH FLOW STATUS OF MAIN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</si>
  <si>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</si>
  <si>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</si>
  <si>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</si>
  <si>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</si>
  <si>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</si>
  <si>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</si>
  <si>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</si>
  <si>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>BCU VS MFM TOTALIZER MISMATCH</t>
  </si>
  <si>
    <t>BCU VS MFM TOTALIZER MISMATCH Normal Value</t>
  </si>
  <si>
    <t>DAY START TOTALIZER MISMATCH</t>
  </si>
  <si>
    <t>DAY START TOTALIZER MISMATCH Normal value</t>
  </si>
  <si>
    <t xml:space="preserve">K-FACTOR CHANGE STATUS </t>
  </si>
  <si>
    <t>LP 01</t>
  </si>
  <si>
    <t>BC-01A</t>
  </si>
  <si>
    <t>SmartLoad-Single.BC-01A.EARTH_ALARM_STATUS</t>
  </si>
  <si>
    <t>SmartLoad-Single.BC-01A.NO_FLOW_ALARM_STATUS_M1</t>
  </si>
  <si>
    <t>SmartLoad-Single.BC-01A.LOW_FLOW_ALARM_STATUS_M1</t>
  </si>
  <si>
    <t>SmartLoad-Single.BC-01A.HIGH_FLOW_ALARM_STATUS_M1</t>
  </si>
  <si>
    <t>SmartLoad-Single.BC-01A.UNAUTHORIZE_FLOW_ALARM_STATUS_M1</t>
  </si>
  <si>
    <t>SmartLoad-Single.BC-01A.METER_OVERRUN_ALARM_STATUS_M1</t>
  </si>
  <si>
    <t>SmartLoad-Single.BC-01A.BLEND_UNDERDOSE_ALARM_STATUS</t>
  </si>
  <si>
    <t>SmartLoad-Single.BC-01A.ADDITIVE_OVERDOSE_ALARM_STATUS</t>
  </si>
  <si>
    <t>SmartLoad-Single.BC-01A.ADDITIVE_UNDERDOSE_ALARM_STATUS</t>
  </si>
  <si>
    <t>SmartLoad-Single.BC-01A.BATCH_STATUS</t>
  </si>
  <si>
    <t>SmartLoad-Single.BC-01A.MFM_BCU_QTY_BEYOND_TOLERANCE_LIMIT_STATUS</t>
  </si>
  <si>
    <t>SmartLoad-Single.BC-01A.BCU_C1_TOTALIZER_MISMATCH_ALARM</t>
  </si>
  <si>
    <t>SmartLoad-Single.BC-01A.NOMINAL_COMP1_KFACTOR_CHANGED</t>
  </si>
  <si>
    <t>LP 02</t>
  </si>
  <si>
    <t>BC-01B</t>
  </si>
  <si>
    <t>SmartLoad-Single.BC-01B.EARTH_ALARM_STATUS</t>
  </si>
  <si>
    <t>SmartLoad-Single.BC-01B.NO_FLOW_ALARM_STATUS_M1</t>
  </si>
  <si>
    <t>SmartLoad-Single.BC-01B.LOW_FLOW_ALARM_STATUS_M1</t>
  </si>
  <si>
    <t>SmartLoad-Single.BC-01B.HIGH_FLOW_ALARM_STATUS_M1</t>
  </si>
  <si>
    <t>SmartLoad-Single.BC-01B.UNAUTHORIZE_FLOW_ALARM_STATUS_M1</t>
  </si>
  <si>
    <t>SmartLoad-Single.BC-01B.METER_OVERRUN_ALARM_STATUS_M1</t>
  </si>
  <si>
    <t>SmartLoad-Single.BC-01B.BLEND_UNDERDOSE_ALARM_STATUS</t>
  </si>
  <si>
    <t>SmartLoad-Single.BC-01B.ADDITIVE_OVERDOSE_ALARM_STATUS</t>
  </si>
  <si>
    <t>SmartLoad-Single.BC-01B.ADDITIVE_UNDERDOSE_ALARM_STATUS</t>
  </si>
  <si>
    <t>SmartLoad-Single.BC-01B.BATCH_STATUS</t>
  </si>
  <si>
    <t>SmartLoad-Single.BC-01B.MFM_BCU_QTY_BEYOND_TOLERANCE_LIMIT_STATUS</t>
  </si>
  <si>
    <t>SmartLoad-Single.BC-01B.BCU_C1_TOTALIZER_MISMATCH_ALARM</t>
  </si>
  <si>
    <t>SmartLoad-Single.BC-01B.NOMINAL_COMP1_KFACTOR_CHANGED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</si>
  <si>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</si>
  <si>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</si>
  <si>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</si>
  <si>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</si>
  <si>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</si>
  <si>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</si>
  <si>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</si>
  <si>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</si>
  <si>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</si>
  <si>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</si>
  <si>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</si>
  <si>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</si>
  <si>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SmartLoad-Dual.BC-02A.MFM_BCU_QTY_BEYOND_TOLERANCE_LIMIT_STATUS</t>
  </si>
  <si>
    <t>SmartLoad-Dual.BC-02A.BCU_C1_TOTALIZER_MISMATCH_ALARM</t>
  </si>
  <si>
    <t>SmartLoad-Dual.BC-02A.NOMINAL_ARM1_COMP1_KFACTOR_CHANGED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</si>
  <si>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</si>
  <si>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</si>
  <si>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</si>
  <si>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</si>
  <si>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</si>
  <si>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</si>
  <si>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</si>
  <si>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</si>
  <si>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</si>
  <si>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</si>
  <si>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</si>
  <si>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</si>
  <si>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SmartLoad-Dual.BC-02B.MFM_BCU_QTY_BEYOND_TOLERANCE_LIMIT_STATUS</t>
  </si>
  <si>
    <t>SmartLoad-Dual.BC-02B.BCU_C3_TOTALIZER_MISMATCH_ALARM</t>
  </si>
  <si>
    <t>SmartLoad-Dual.BC-02B.NOMINAL_ARM2_COMP1_KFACTOR_CHANGED</t>
  </si>
  <si>
    <t>LP 05</t>
  </si>
  <si>
    <t>BC-03A</t>
  </si>
  <si>
    <t>SmartLoad-Dual.BC-03A.EARTH_ALARM_STATUS</t>
  </si>
  <si>
    <t>SmartLoad-Dual.BC-03A.NO_FLOW_ALARM_STATUS_M1</t>
  </si>
  <si>
    <t>SmartLoad-Dual.BC-03A.LOW_FLOW_ALARM_STATUS_M1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</si>
  <si>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</si>
  <si>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</si>
  <si>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</si>
  <si>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</si>
  <si>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</si>
  <si>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</si>
  <si>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</si>
  <si>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SmartLoad-Dual.BC-03A.MFM_BCU_QTY_BEYOND_TOLERANCE_LIMIT_STATUS</t>
  </si>
  <si>
    <t>SmartLoad-Dual.BC-03A.BCU_C1_TOTALIZER_MISMATCH_ALARM</t>
  </si>
  <si>
    <t>SmartLoad-Dual.BC-03A.NOMINAL_ARM1_COMP1_KFACTOR_CHANGED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</si>
  <si>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</si>
  <si>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</si>
  <si>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</si>
  <si>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</si>
  <si>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</si>
  <si>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</si>
  <si>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</si>
  <si>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</si>
  <si>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</si>
  <si>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</si>
  <si>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</si>
  <si>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</si>
  <si>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SmartLoad-Dual.BC-03B.MFM_BCU_QTY_BEYOND_TOLERANCE_LIMIT_STATUS</t>
  </si>
  <si>
    <t>SmartLoad-Dual.BC-03B.BCU_C3_TOTALIZER_MISMATCH_ALARM</t>
  </si>
  <si>
    <t>SmartLoad-Dual.BC-03B.NOMINAL_ARM2_COMP1_KFACTOR_CHANGED</t>
  </si>
  <si>
    <t>LP 07</t>
  </si>
  <si>
    <t>BC-04A</t>
  </si>
  <si>
    <t>SmartLoad-Dual.BC-04A.EARTH_ALARM_STATUS</t>
  </si>
  <si>
    <t>SmartLoad-Dual.BC-04A.NO_FLOW_ALARM_STATUS_M1</t>
  </si>
  <si>
    <t>SmartLoad-Dual.BC-04A.LOW_FLOW_ALARM_STATUS_M1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</si>
  <si>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</si>
  <si>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</si>
  <si>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</si>
  <si>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</si>
  <si>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</si>
  <si>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</si>
  <si>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</si>
  <si>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SmartLoad-Dual.BC-04A.MFM_BCU_QTY_BEYOND_TOLERANCE_LIMIT_STATUS</t>
  </si>
  <si>
    <t>SmartLoad-Dual.BC-04A.BCU_C1_TOTALIZER_MISMATCH_ALARM</t>
  </si>
  <si>
    <t>SmartLoad-Dual.BC-04A.NOMINAL_ARM1_COMP1_KFACTOR_CHANGED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</si>
  <si>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</si>
  <si>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</si>
  <si>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</si>
  <si>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</si>
  <si>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</si>
  <si>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</si>
  <si>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</si>
  <si>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</si>
  <si>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</si>
  <si>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</si>
  <si>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</si>
  <si>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</si>
  <si>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SmartLoad-Dual.BC-04B.MFM_BCU_QTY_BEYOND_TOLERANCE_LIMIT_STATUS</t>
  </si>
  <si>
    <t>SmartLoad-Dual.BC-04B.BCU_C3_TOTALIZER_MISMATCH_ALARM</t>
  </si>
  <si>
    <t>SmartLoad-Dual.BC-04B.NOMINAL_ARM2_COMP1_KFACTOR_CHANGED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</si>
  <si>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</si>
  <si>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</si>
  <si>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</si>
  <si>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</si>
  <si>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</si>
  <si>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</si>
  <si>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</si>
  <si>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</si>
  <si>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</si>
  <si>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</si>
  <si>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</si>
  <si>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</si>
  <si>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SmartLoad-Dual.BC-05A.MFM_BCU_QTY_BEYOND_TOLERANCE_LIMIT_STATUS</t>
  </si>
  <si>
    <t>SmartLoad-Dual.BC-05A.BCU_C1_TOTALIZER_MISMATCH_ALARM</t>
  </si>
  <si>
    <t>SmartLoad-Dual.BC-05A.NOMINAL_ARM1_COMP1_KFACTOR_CHANGED</t>
  </si>
  <si>
    <t>LP 10</t>
  </si>
  <si>
    <t>BC-05B</t>
  </si>
  <si>
    <t>SmartLoad-Dual.BC-05B.EARTH_ALARM_STATUS</t>
  </si>
  <si>
    <t>SmartLoad-Dual.BC-05B.NO_FLOW_ALARM_STATUS_M3</t>
  </si>
  <si>
    <t>SmartLoad-Dual.BC-05B.LOW_FLOW_ALARM_STATUS_M3</t>
  </si>
  <si>
    <t>SmartLoad-Dual.BC-05B.HIGH_FLOW_ALARM_STATUS_M3</t>
  </si>
  <si>
    <t>SmartLoad-Dual.BC-05B.UNAUTHORIZE_FLOW_ALARM_STATUS_M3</t>
  </si>
  <si>
    <t>SmartLoad-Dual.BC-05B.METER_OVERRUN_ALARM_STATUS_M3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</si>
  <si>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</si>
  <si>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</si>
  <si>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</si>
  <si>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</si>
  <si>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SmartLoad-Dual.BC-05B.MFM_BCU_QTY_BEYOND_TOLERANCE_LIMIT_STATUS</t>
  </si>
  <si>
    <t>SmartLoad-Dual.BC-05B.BCU_C3_TOTALIZER_MISMATCH_ALARM</t>
  </si>
  <si>
    <t>SmartLoad-Dual.BC-05B.NOMINAL_ARM2_COMP1_KFACTOR_CHANGED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</si>
  <si>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</si>
  <si>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</si>
  <si>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</si>
  <si>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</si>
  <si>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</si>
  <si>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</si>
  <si>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</si>
  <si>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</si>
  <si>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</si>
  <si>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</si>
  <si>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</si>
  <si>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</si>
  <si>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SmartLoad-Dual.BC-06A.MFM_BCU_QTY_BEYOND_TOLERANCE_LIMIT_STATUS</t>
  </si>
  <si>
    <t>SmartLoad-Dual.BC-06A.BCU_C1_TOTALIZER_MISMATCH_ALARM</t>
  </si>
  <si>
    <t>SmartLoad-Dual.BC-06A.NOMINAL_ARM1_COMP1_KFACTOR_CHANGED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</si>
  <si>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</si>
  <si>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</si>
  <si>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</si>
  <si>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</si>
  <si>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</si>
  <si>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</si>
  <si>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</si>
  <si>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</si>
  <si>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</si>
  <si>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</si>
  <si>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</si>
  <si>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</si>
  <si>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SmartLoad-Dual.BC-06B.MFM_BCU_QTY_BEYOND_TOLERANCE_LIMIT_STATUS</t>
  </si>
  <si>
    <t>SmartLoad-Dual.BC-06B.BCU_C3_TOTALIZER_MISMATCH_ALARM</t>
  </si>
  <si>
    <t>SmartLoad-Dual.BC-06B.NOMINAL_ARM2_COMP1_KFACTOR_CHANGED</t>
  </si>
  <si>
    <t>LP 13</t>
  </si>
  <si>
    <t>BC-07A</t>
  </si>
  <si>
    <t>SmartLoad-Dual.BC-07A.EARTH_ALARM_STATUS</t>
  </si>
  <si>
    <t>SmartLoad-Dual.BC-07A.NO_FLOW_ALARM_STATUS_M1</t>
  </si>
  <si>
    <t>SmartLoad-Dual.BC-07A.LOW_FLOW_ALARM_STATUS_M1</t>
  </si>
  <si>
    <t>SmartLoad-Dual.BC-07A.HIGH_FLOW_ALARM_STATUS_M1</t>
  </si>
  <si>
    <t>SmartLoad-Dual.BC-07A.UNAUTHORIZE_FLOW_ALARM_STATUS_M1</t>
  </si>
  <si>
    <t>SmartLoad-Dual.BC-07A.METER_OVERRUN_ALARM_STATUS_M1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</si>
  <si>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</si>
  <si>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</si>
  <si>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</si>
  <si>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</si>
  <si>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SmartLoad-Dual.BC-07A.MFM_BCU_QTY_BEYOND_TOLERANCE_LIMIT_STATUS</t>
  </si>
  <si>
    <t>SmartLoad-Dual.BC-07A.BCU_C1_TOTALIZER_MISMATCH_ALARM</t>
  </si>
  <si>
    <t>SmartLoad-Dual.BC-07A.NOMINAL_ARM1_COMP1_KFACTOR_CHANGED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</si>
  <si>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</si>
  <si>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</si>
  <si>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</si>
  <si>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</si>
  <si>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</si>
  <si>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</si>
  <si>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</si>
  <si>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</si>
  <si>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</si>
  <si>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</si>
  <si>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</si>
  <si>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</si>
  <si>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SmartLoad-Dual.BC-07B.MFM_BCU_QTY_BEYOND_TOLERANCE_LIMIT_STATUS</t>
  </si>
  <si>
    <t>SmartLoad-Dual.BC-07B.BCU_C3_TOTALIZER_MISMATCH_ALARM</t>
  </si>
  <si>
    <t>SmartLoad-Dual.BC-07B.NOMINAL_ARM2_COMP1_KFACTOR_CHANGED</t>
  </si>
  <si>
    <t>LP 15</t>
  </si>
  <si>
    <t>BC-09A-LP1</t>
  </si>
  <si>
    <t>SmartLoad-Dual.BC-09A-LP1.EARTH_ALARM_STATUS</t>
  </si>
  <si>
    <t>SmartLoad-Dual.BC-09A-LP1.NO_FLOW_ALARM_STATUS_M1</t>
  </si>
  <si>
    <t>SmartLoad-Dual.BC-09A-LP1.LOW_FLOW_ALARM_STATUS_M1</t>
  </si>
  <si>
    <t>SmartLoad-Dual.BC-09A-LP1.HIGH_FLOW_ALARM_STATUS_M1</t>
  </si>
  <si>
    <t>SmartLoad-Dual.BC-09A-LP1.UNAUTHORIZE_FLOW_ALARM_STATUS_M1</t>
  </si>
  <si>
    <t>SmartLoad-Dual.BC-09A-LP1.METER_OVERRUN_ALARM_STATUS_M1</t>
  </si>
  <si>
    <t>SmartLoad-Dual.BC-09A-LP1.BLEND_UNDERDOSE_ALARM_STATUS</t>
  </si>
  <si>
    <t>SmartLoad-Dual.BC-09A-LP1.ADDITIVE_OVERDOSE_ALARM_STATUS</t>
  </si>
  <si>
    <t>SmartLoad-Dual.BC-09A-LP1.ADDITIVE_UNDERDOSE_ALARM_STATUS</t>
  </si>
  <si>
    <t>SmartLoad-Dual.BC-09A-LP1.BATCH_STATUS</t>
  </si>
  <si>
    <t>SmartLoad-Dual.BC-09A-LP1.MFM_BCU_QTY_BEYOND_TOLERANCE_LIMIT_STATUS</t>
  </si>
  <si>
    <t>SmartLoad-Dual.BC-09A-LP1.BCU_C1_TOTALIZER_MISMATCH_ALARM</t>
  </si>
  <si>
    <t>SmartLoad-Dual.BC-09A-LP1.NOMINAL_ARM1_COMP1_KFACTOR_CHANGED</t>
  </si>
  <si>
    <t>LP 16</t>
  </si>
  <si>
    <t>BC-09A-LP2</t>
  </si>
  <si>
    <t>SmartLoad-Dual.BC-09A-LP2.EARTH_ALARM_STATUS</t>
  </si>
  <si>
    <t>SmartLoad-Dual.BC-09A-LP2.NO_FLOW_ALARM_STATUS_M3</t>
  </si>
  <si>
    <t>SmartLoad-Dual.BC-09A-LP2.LOW_FLOW_ALARM_STATUS_M3</t>
  </si>
  <si>
    <t>SmartLoad-Dual.BC-09A-LP2.HIGH_FLOW_ALARM_STATUS_M3</t>
  </si>
  <si>
    <t>SmartLoad-Dual.BC-09A-LP2.UNAUTHORIZE_FLOW_ALARM_STATUS_M3</t>
  </si>
  <si>
    <t>SmartLoad-Dual.BC-09A-LP2.METER_OVERRUN_ALARM_STATUS_M3</t>
  </si>
  <si>
    <t>SmartLoad-Dual.BC-09A-LP2.BLEND_UNDERDOSE_ALARM_STATUS</t>
  </si>
  <si>
    <t>SmartLoad-Dual.BC-09A-LP2.ADDITIVE_OVERDOSE_ALARM_STATUS</t>
  </si>
  <si>
    <t>SmartLoad-Dual.BC-09A-LP2.ADDITIVE_UNDERDOSE_ALARM_STATUS</t>
  </si>
  <si>
    <t>SmartLoad-Dual.BC-09A-LP2.BATCH_STATUS</t>
  </si>
  <si>
    <t>SmartLoad-Dual.BC-09A-LP2.MFM_BCU_QTY_BEYOND_TOLERANCE_LIMIT_STATUS</t>
  </si>
  <si>
    <t>SmartLoad-Dual.BC-09A-LP2.BCU_C3_TOTALIZER_MISMATCH_ALARM</t>
  </si>
  <si>
    <t>SmartLoad-Dual.BC-09A-LP2.NOMINAL_ARM2_COMP1_KFACTOR_CHANGED</t>
  </si>
  <si>
    <t>LP 17</t>
  </si>
  <si>
    <t>BC-09B-LP2</t>
  </si>
  <si>
    <t>SmartLoad-Dual.BC-09B-LP2.EARTH_ALARM_STATUS</t>
  </si>
  <si>
    <t>SmartLoad-Dual.BC-09B-LP2.NO_FLOW_ALARM_STATUS_M3</t>
  </si>
  <si>
    <t>SmartLoad-Dual.BC-09B-LP2.LOW_FLOW_ALARM_STATUS_M3</t>
  </si>
  <si>
    <t>SmartLoad-Dual.BC-09B-LP2.HIGH_FLOW_ALARM_STATUS_M3</t>
  </si>
  <si>
    <t>SmartLoad-Dual.BC-09B-LP2.UNAUTHORIZE_FLOW_ALARM_STATUS_M3</t>
  </si>
  <si>
    <t>SmartLoad-Dual.BC-09B-LP2.METER_OVERRUN_ALARM_STATUS_M3</t>
  </si>
  <si>
    <t>SmartLoad-Dual.BC-09B-LP2.BLEND_UNDERDOSE_ALARM_STATUS</t>
  </si>
  <si>
    <t>SmartLoad-Dual.BC-09B-LP2.ADDITIVE_OVERDOSE_ALARM_STATUS</t>
  </si>
  <si>
    <t>SmartLoad-Dual.BC-09B-LP2.ADDITIVE_UNDERDOSE_ALARM_STATUS</t>
  </si>
  <si>
    <t>SmartLoad-Dual.BC-09B-LP2.BATCH_STATUS</t>
  </si>
  <si>
    <t>SmartLoad-Dual.BC-09B-LP2.MFM_BCU_QTY_BEYOND_TOLERANCE_LIMIT_STATUS</t>
  </si>
  <si>
    <t>SmartLoad-Dual.BC-09B-LP2.BCU_C3_TOTALIZER_MISMATCH_ALARM</t>
  </si>
  <si>
    <t>SmartLoad-Dual.BC-09B-LP2.NOMINAL_ARM2_COMP1_KFACTOR_CHANGED</t>
  </si>
  <si>
    <t>LP 18</t>
  </si>
  <si>
    <t>BC-0A-LP1</t>
  </si>
  <si>
    <t>SmartLoad-Dual.BC-0A-LP1.EARTH_ALARM_STATUS</t>
  </si>
  <si>
    <t>SmartLoad-Dual.BC-0A-LP1.NO_FLOW_ALARM_STATUS_M1</t>
  </si>
  <si>
    <t>SmartLoad-Dual.BC-0A-LP1.LOW_FLOW_ALARM_STATUS_M1</t>
  </si>
  <si>
    <t>SmartLoad-Dual.BC-0A-LP1.HIGH_FLOW_ALARM_STATUS_M1</t>
  </si>
  <si>
    <t>SmartLoad-Dual.BC-0A-LP1.UNAUTHORIZE_FLOW_ALARM_STATUS_M1</t>
  </si>
  <si>
    <t>SmartLoad-Dual.BC-0A-LP1.METER_OVERRUN_ALARM_STATUS_M1</t>
  </si>
  <si>
    <t>SmartLoad-Dual.BC-0A-LP1.BLEND_UNDERDOSE_ALARM_STATUS</t>
  </si>
  <si>
    <t>SmartLoad-Dual.BC-0A-LP1.ADDITIVE_OVERDOSE_ALARM_STATUS</t>
  </si>
  <si>
    <t>SmartLoad-Dual.BC-0A-LP1.ADDITIVE_UNDERDOSE_ALARM_STATUS</t>
  </si>
  <si>
    <t>SmartLoad-Dual.BC-0A-LP1.BATCH_STATUS</t>
  </si>
  <si>
    <t>SmartLoad-Dual.BC-0A-LP1.MFM_BCU_QTY_BEYOND_TOLERANCE_LIMIT_STATUS</t>
  </si>
  <si>
    <t>SmartLoad-Dual.BC-0A-LP1.BCU_C1_TOTALIZER_MISMATCH_ALARM</t>
  </si>
  <si>
    <t>SmartLoad-Dual.BC-0A-LP1.NOMINAL_ARM1_COMP1_KFACTOR_CHANGED</t>
  </si>
  <si>
    <t>LP 19</t>
  </si>
  <si>
    <t>BC-0A-LP2</t>
  </si>
  <si>
    <t>SmartLoad-Dual.BC-0A-LP2.EARTH_ALARM_STATUS</t>
  </si>
  <si>
    <t>SmartLoad-Dual.BC-0A-LP2.NO_FLOW_ALARM_STATUS_M3</t>
  </si>
  <si>
    <t>SmartLoad-Dual.BC-0A-LP2.LOW_FLOW_ALARM_STATUS_M3</t>
  </si>
  <si>
    <t>SmartLoad-Dual.BC-0A-LP2.HIGH_FLOW_ALARM_STATUS_M3</t>
  </si>
  <si>
    <t>SmartLoad-Dual.BC-0A-LP2.UNAUTHORIZE_FLOW_ALARM_STATUS_M3</t>
  </si>
  <si>
    <t>SmartLoad-Dual.BC-0A-LP2.METER_OVERRUN_ALARM_STATUS_M3</t>
  </si>
  <si>
    <t>SmartLoad-Dual.BC-0A-LP2.BLEND_UNDERDOSE_ALARM_STATUS</t>
  </si>
  <si>
    <t>SmartLoad-Dual.BC-0A-LP2.ADDITIVE_OVERDOSE_ALARM_STATUS</t>
  </si>
  <si>
    <t>SmartLoad-Dual.BC-0A-LP2.ADDITIVE_UNDERDOSE_ALARM_STATUS</t>
  </si>
  <si>
    <t>SmartLoad-Dual.BC-0A-LP2.BATCH_STATUS</t>
  </si>
  <si>
    <t>SmartLoad-Dual.BC-0A-LP2.MFM_BCU_QTY_BEYOND_TOLERANCE_LIMIT_STATUS</t>
  </si>
  <si>
    <t>SmartLoad-Dual.BC-0A-LP2.BCU_C3_TOTALIZER_MISMATCH_ALARM</t>
  </si>
  <si>
    <t>SmartLoad-Dual.BC-0A-LP2.NOMINAL_ARM2_COMP1_KFACTOR_CHANGED</t>
  </si>
  <si>
    <t>LP 20</t>
  </si>
  <si>
    <t>BC-0B-LP1</t>
  </si>
  <si>
    <t>SmartLoad-Dual.BC-0B-LP1.EARTH_ALARM_STATUS</t>
  </si>
  <si>
    <t>SmartLoad-Dual.BC-0B-LP1.NO_FLOW_ALARM_STATUS_M1</t>
  </si>
  <si>
    <t>SmartLoad-Dual.BC-0B-LP1.LOW_FLOW_ALARM_STATUS_M1</t>
  </si>
  <si>
    <t>SmartLoad-Dual.BC-0B-LP1.HIGH_FLOW_ALARM_STATUS_M1</t>
  </si>
  <si>
    <t>SmartLoad-Dual.BC-0B-LP1.UNAUTHORIZE_FLOW_ALARM_STATUS_M1</t>
  </si>
  <si>
    <t>SmartLoad-Dual.BC-0B-LP1.METER_OVERRUN_ALARM_STATUS_M1</t>
  </si>
  <si>
    <t>SmartLoad-Dual.BC-0B-LP1.BLEND_UNDERDOSE_ALARM_STATUS</t>
  </si>
  <si>
    <t>SmartLoad-Dual.BC-0B-LP1.ADDITIVE_OVERDOSE_ALARM_STATUS</t>
  </si>
  <si>
    <t>SmartLoad-Dual.BC-0B-LP1.ADDITIVE_UNDERDOSE_ALARM_STATUS</t>
  </si>
  <si>
    <t>SmartLoad-Dual.BC-0B-LP1.BATCH_STATUS</t>
  </si>
  <si>
    <t>SmartLoad-Dual.BC-0B-LP1.MFM_BCU_QTY_BEYOND_TOLERANCE_LIMIT_STATUS</t>
  </si>
  <si>
    <t>SmartLoad-Dual.BC-0B-LP1.BCU_C1_TOTALIZER_MISMATCH_ALARM</t>
  </si>
  <si>
    <t>SmartLoad-Dual.BC-0B-LP1.NOMINAL_ARM1_COMP1_KFACTOR_CHANGED</t>
  </si>
  <si>
    <t>LP 21</t>
  </si>
  <si>
    <t>BC-0B-LP2</t>
  </si>
  <si>
    <t>SmartLoad-Dual.BC-0B-LP2.EARTH_ALARM_STATUS</t>
  </si>
  <si>
    <t>SmartLoad-Dual.BC-0B-LP2.NO_FLOW_ALARM_STATUS_M3</t>
  </si>
  <si>
    <t>SmartLoad-Dual.BC-0B-LP2.LOW_FLOW_ALARM_STATUS_M3</t>
  </si>
  <si>
    <t>SmartLoad-Dual.BC-0B-LP2.HIGH_FLOW_ALARM_STATUS_M3</t>
  </si>
  <si>
    <t>SmartLoad-Dual.BC-0B-LP2.UNAUTHORIZE_FLOW_ALARM_STATUS_M3</t>
  </si>
  <si>
    <t>SmartLoad-Dual.BC-0B-LP2.METER_OVERRUN_ALARM_STATUS_M3</t>
  </si>
  <si>
    <t>SmartLoad-Dual.BC-0B-LP2.BLEND_UNDERDOSE_ALARM_STATUS</t>
  </si>
  <si>
    <t>SmartLoad-Dual.BC-0B-LP2.ADDITIVE_OVERDOSE_ALARM_STATUS</t>
  </si>
  <si>
    <t>SmartLoad-Dual.BC-0B-LP2.ADDITIVE_UNDERDOSE_ALARM_STATUS</t>
  </si>
  <si>
    <t>SmartLoad-Dual.BC-0B-LP2.BATCH_STATUS</t>
  </si>
  <si>
    <t>SmartLoad-Dual.BC-0B-LP2.MFM_BCU_QTY_BEYOND_TOLERANCE_LIMIT_STATUS</t>
  </si>
  <si>
    <t>SmartLoad-Dual.BC-0B-LP2.BCU_C3_TOTALIZER_MISMATCH_ALARM</t>
  </si>
  <si>
    <t>SmartLoad-Dual.BC-0B-LP2.NOMINAL_ARM2_COMP1_KFACTOR_CHANGED</t>
  </si>
  <si>
    <t>LP 22</t>
  </si>
  <si>
    <t>BC-10A</t>
  </si>
  <si>
    <t>SmartLoad-Dual.BC-10A.EARTH_ALARM_STATUS</t>
  </si>
  <si>
    <t>SmartLoad-Dual.BC-10A.NO_FLOW_ALARM_STATUS_M1</t>
  </si>
  <si>
    <t>SmartLoad-Dual.BC-10A.LOW_FLOW_ALARM_STATUS_M1</t>
  </si>
  <si>
    <t>SmartLoad-Dual.BC-10A.HIGH_FLOW_ALARM_STATUS_M1</t>
  </si>
  <si>
    <t>SmartLoad-Dual.BC-10A.UNAUTHORIZE_FLOW_ALARM_STATUS_M1</t>
  </si>
  <si>
    <t>SmartLoad-Dual.BC-10A.METER_OVERRUN_ALARM_STATUS_M1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</si>
  <si>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</si>
  <si>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</si>
  <si>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</si>
  <si>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</si>
  <si>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SmartLoad-Dual.BC-10A.MFM_BCU_QTY_BEYOND_TOLERANCE_LIMIT_STATUS</t>
  </si>
  <si>
    <t>SmartLoad-Dual.BC-10A.BCU_C1_TOTALIZER_MISMATCH_ALARM</t>
  </si>
  <si>
    <t>SmartLoad-Dual.BC-10A.NOMINAL_ARM1_COMP1_KFACTOR_CHANGED</t>
  </si>
  <si>
    <t>LP 23</t>
  </si>
  <si>
    <t>BC-10B</t>
  </si>
  <si>
    <t>SmartLoad-Dual.BC-10B.EARTH_ALARM_STATUS</t>
  </si>
  <si>
    <t>SmartLoad-Dual.BC-10B.NO_FLOW_ALARM_STATUS_M3</t>
  </si>
  <si>
    <t>SmartLoad-Dual.BC-10B.LOW_FLOW_ALARM_STATUS_M3</t>
  </si>
  <si>
    <t>SmartLoad-Dual.BC-10B.HIGH_FLOW_ALARM_STATUS_M3</t>
  </si>
  <si>
    <t>SmartLoad-Dual.BC-10B.UNAUTHORIZE_FLOW_ALARM_STATUS_M3</t>
  </si>
  <si>
    <t>SmartLoad-Dual.BC-10B.METER_OVERRUN_ALARM_STATUS_M3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</si>
  <si>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</si>
  <si>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</si>
  <si>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</si>
  <si>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</si>
  <si>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SmartLoad-Dual.BC-10B.MFM_BCU_QTY_BEYOND_TOLERANCE_LIMIT_STATUS</t>
  </si>
  <si>
    <t>SmartLoad-Dual.BC-10B.BCU_C3_TOTALIZER_MISMATCH_ALARM</t>
  </si>
  <si>
    <t>SmartLoad-Dual.BC-10B.NOMINAL_ARM2_COMP1_KFACTOR_CHANGED</t>
  </si>
  <si>
    <t>LP 24</t>
  </si>
  <si>
    <t>BC-11A</t>
  </si>
  <si>
    <t>SmartLoad-Dual.BC-11A.EARTH_ALARM_STATUS</t>
  </si>
  <si>
    <t>SmartLoad-Dual.BC-11A.NO_FLOW_ALARM_STATUS_M1</t>
  </si>
  <si>
    <t>SmartLoad-Dual.BC-11A.LOW_FLOW_ALARM_STATUS_M1</t>
  </si>
  <si>
    <t>SmartLoad-Dual.BC-11A.HIGH_FLOW_ALARM_STATUS_M1</t>
  </si>
  <si>
    <t>SmartLoad-Dual.BC-11A.UNAUTHORIZE_FLOW_ALARM_STATUS_M1</t>
  </si>
  <si>
    <t>SmartLoad-Dual.BC-11A.METER_OVERRUN_ALARM_STATUS_M1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</si>
  <si>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</si>
  <si>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</si>
  <si>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</si>
  <si>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</si>
  <si>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SmartLoad-Dual.BC-11A.MFM_BCU_QTY_BEYOND_TOLERANCE_LIMIT_STATUS</t>
  </si>
  <si>
    <t>SmartLoad-Dual.BC-11A.BCU_C1_TOTALIZER_MISMATCH_ALARM</t>
  </si>
  <si>
    <t>SmartLoad-Dual.BC-11A.NOMINAL_ARM1_COMP1_KFACTOR_CHANGED</t>
  </si>
  <si>
    <t>LP 25</t>
  </si>
  <si>
    <t>BC-11B</t>
  </si>
  <si>
    <t>SmartLoad-Dual.BC-11B.EARTH_ALARM_STATUS</t>
  </si>
  <si>
    <t>SmartLoad-Dual.BC-11B.NO_FLOW_ALARM_STATUS_M3</t>
  </si>
  <si>
    <t>SmartLoad-Dual.BC-11B.LOW_FLOW_ALARM_STATUS_M3</t>
  </si>
  <si>
    <t>SmartLoad-Dual.BC-11B.HIGH_FLOW_ALARM_STATUS_M3</t>
  </si>
  <si>
    <t>SmartLoad-Dual.BC-11B.UNAUTHORIZE_FLOW_ALARM_STATUS_M3</t>
  </si>
  <si>
    <t>SmartLoad-Dual.BC-11B.METER_OVERRUN_ALARM_STATUS_M3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</si>
  <si>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</si>
  <si>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</si>
  <si>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</si>
  <si>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</si>
  <si>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SmartLoad-Dual.BC-11B.MFM_BCU_QTY_BEYOND_TOLERANCE_LIMIT_STATUS</t>
  </si>
  <si>
    <t>SmartLoad-Dual.BC-11B.BCU_C3_TOTALIZER_MISMATCH_ALARM</t>
  </si>
  <si>
    <t>SmartLoad-Dual.BC-11B.NOMINAL_ARM2_COMP1_KFACTOR_CHANGED</t>
  </si>
  <si>
    <t>LP 26</t>
  </si>
  <si>
    <t>BC-12A</t>
  </si>
  <si>
    <t>SmartLoad-Dual.BC-12A.EARTH_ALARM_STATUS</t>
  </si>
  <si>
    <t>SmartLoad-Dual.BC-12A.NO_FLOW_ALARM_STATUS_M1</t>
  </si>
  <si>
    <t>SmartLoad-Dual.BC-12A.LOW_FLOW_ALARM_STATUS_M1</t>
  </si>
  <si>
    <t>SmartLoad-Dual.BC-12A.HIGH_FLOW_ALARM_STATUS_M1</t>
  </si>
  <si>
    <t>SmartLoad-Dual.BC-12A.UNAUTHORIZE_FLOW_ALARM_STATUS_M1</t>
  </si>
  <si>
    <t>SmartLoad-Dual.BC-12A.METER_OVERRUN_ALARM_STATUS_M1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</si>
  <si>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</si>
  <si>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</si>
  <si>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</si>
  <si>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</si>
  <si>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SmartLoad-Dual.BC-12A.MFM_BCU_QTY_BEYOND_TOLERANCE_LIMIT_STATUS</t>
  </si>
  <si>
    <t>SmartLoad-Dual.BC-12A.BCU_C1_TOTALIZER_MISMATCH_ALARM</t>
  </si>
  <si>
    <t>SmartLoad-Dual.BC-12A.NOMINAL_ARM1_COMP1_KFACTOR_CHANGED</t>
  </si>
  <si>
    <t>LP 27</t>
  </si>
  <si>
    <t>BC-12B</t>
  </si>
  <si>
    <t>SmartLoad-Dual.BC-12B.EARTH_ALARM_STATUS</t>
  </si>
  <si>
    <t>SmartLoad-Dual.BC-12B.NO_FLOW_ALARM_STATUS_M3</t>
  </si>
  <si>
    <t>SmartLoad-Dual.BC-12B.LOW_FLOW_ALARM_STATUS_M3</t>
  </si>
  <si>
    <t>SmartLoad-Dual.BC-12B.HIGH_FLOW_ALARM_STATUS_M3</t>
  </si>
  <si>
    <t>SmartLoad-Dual.BC-12B.UNAUTHORIZE_FLOW_ALARM_STATUS_M3</t>
  </si>
  <si>
    <t>SmartLoad-Dual.BC-12B.METER_OVERRUN_ALARM_STATUS_M3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</si>
  <si>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</si>
  <si>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</si>
  <si>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</si>
  <si>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</si>
  <si>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SmartLoad-Dual.BC-12B.MFM_BCU_QTY_BEYOND_TOLERANCE_LIMIT_STATUS</t>
  </si>
  <si>
    <t>SmartLoad-Dual.BC-12B.BCU_C3_TOTALIZER_MISMATCH_ALARM</t>
  </si>
  <si>
    <t>SmartLoad-Dual.BC-12B.NOMINAL_ARM2_COMP1_KFACTOR_CHANGED</t>
  </si>
  <si>
    <t>LP 28</t>
  </si>
  <si>
    <t>BC-13A</t>
  </si>
  <si>
    <t>SmartLoad-Dual.BC-13A.EARTH_ALARM_STATUS</t>
  </si>
  <si>
    <t>SmartLoad-Dual.BC-13A.NO_FLOW_ALARM_STATUS_M1</t>
  </si>
  <si>
    <t>SmartLoad-Dual.BC-13A.LOW_FLOW_ALARM_STATUS_M1</t>
  </si>
  <si>
    <t>SmartLoad-Dual.BC-13A.HIGH_FLOW_ALARM_STATUS_M1</t>
  </si>
  <si>
    <t>SmartLoad-Dual.BC-13A.UNAUTHORIZE_FLOW_ALARM_STATUS_M1</t>
  </si>
  <si>
    <t>SmartLoad-Dual.BC-13A.METER_OVERRUN_ALARM_STATUS_M1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</si>
  <si>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</si>
  <si>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</si>
  <si>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</si>
  <si>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</si>
  <si>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SmartLoad-Dual.BC-13A.MFM_BCU_QTY_BEYOND_TOLERANCE_LIMIT_STATUS</t>
  </si>
  <si>
    <t>SmartLoad-Dual.BC-13A.BCU_C1_TOTALIZER_MISMATCH_ALARM</t>
  </si>
  <si>
    <t>SmartLoad-Dual.BC-13A.NOMINAL_ARM1_COMP1_KFACTOR_CHANGED</t>
  </si>
  <si>
    <t>LP 29</t>
  </si>
  <si>
    <t>BC-13B</t>
  </si>
  <si>
    <t>SmartLoad-Dual.BC-13B.EARTH_ALARM_STATUS</t>
  </si>
  <si>
    <t>SmartLoad-Dual.BC-13B.NO_FLOW_ALARM_STATUS_M3</t>
  </si>
  <si>
    <t>SmartLoad-Dual.BC-13B.LOW_FLOW_ALARM_STATUS_M3</t>
  </si>
  <si>
    <t>SmartLoad-Dual.BC-13B.HIGH_FLOW_ALARM_STATUS_M3</t>
  </si>
  <si>
    <t>SmartLoad-Dual.BC-13B.UNAUTHORIZE_FLOW_ALARM_STATUS_M3</t>
  </si>
  <si>
    <t>SmartLoad-Dual.BC-13B.METER_OVERRUN_ALARM_STATUS_M3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</si>
  <si>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</si>
  <si>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</si>
  <si>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</si>
  <si>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</si>
  <si>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SmartLoad-Dual.BC-13B.MFM_BCU_QTY_BEYOND_TOLERANCE_LIMIT_STATUS</t>
  </si>
  <si>
    <t>SmartLoad-Dual.BC-13B.BCU_C3_TOTALIZER_MISMATCH_ALARM</t>
  </si>
  <si>
    <t>SmartLoad-Dual.BC-13B.NOMINAL_ARM2_COMP1_KFACTOR_CHANGED</t>
  </si>
  <si>
    <t>LP 30</t>
  </si>
  <si>
    <t>BC-14A</t>
  </si>
  <si>
    <t>SmartLoad-Dual.BC-14A.EARTH_ALARM_STATUS</t>
  </si>
  <si>
    <t>SmartLoad-Dual.BC-14A.NO_FLOW_ALARM_STATUS_M1</t>
  </si>
  <si>
    <t>SmartLoad-Dual.BC-14A.LOW_FLOW_ALARM_STATUS_M1</t>
  </si>
  <si>
    <t>SmartLoad-Dual.BC-14A.HIGH_FLOW_ALARM_STATUS_M1</t>
  </si>
  <si>
    <t>SmartLoad-Dual.BC-14A.UNAUTHORIZE_FLOW_ALARM_STATUS_M1</t>
  </si>
  <si>
    <t>SmartLoad-Dual.BC-14A.METER_OVERRUN_ALARM_STATUS_M1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</si>
  <si>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</si>
  <si>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</si>
  <si>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</si>
  <si>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</si>
  <si>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SmartLoad-Dual.BC-14A.MFM_BCU_QTY_BEYOND_TOLERANCE_LIMIT_STATUS</t>
  </si>
  <si>
    <t>SmartLoad-Dual.BC-14A.BCU_C1_TOTALIZER_MISMATCH_ALARM</t>
  </si>
  <si>
    <t>SmartLoad-Dual.BC-14A.NOMINAL_ARM1_COMP1_KFACTOR_CHANGED</t>
  </si>
  <si>
    <t>LP 31</t>
  </si>
  <si>
    <t>BC-14B</t>
  </si>
  <si>
    <t>SmartLoad-Dual.BC-14B.EARTH_ALARM_STATUS</t>
  </si>
  <si>
    <t>SmartLoad-Dual.BC-14B.NO_FLOW_ALARM_STATUS_M3</t>
  </si>
  <si>
    <t>SmartLoad-Dual.BC-14B.LOW_FLOW_ALARM_STATUS_M3</t>
  </si>
  <si>
    <t>SmartLoad-Dual.BC-14B.HIGH_FLOW_ALARM_STATUS_M3</t>
  </si>
  <si>
    <t>SmartLoad-Dual.BC-14B.UNAUTHORIZE_FLOW_ALARM_STATUS_M3</t>
  </si>
  <si>
    <t>SmartLoad-Dual.BC-14B.METER_OVERRUN_ALARM_STATUS_M3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</si>
  <si>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</si>
  <si>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</si>
  <si>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</si>
  <si>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</si>
  <si>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SmartLoad-Dual.BC-14B.MFM_BCU_QTY_BEYOND_TOLERANCE_LIMIT_STATUS</t>
  </si>
  <si>
    <t>SmartLoad-Dual.BC-14B.BCU_C3_TOTALIZER_MISMATCH_ALARM</t>
  </si>
  <si>
    <t>SmartLoad-Dual.BC-14B.NOMINAL_ARM2_COMP1_KFACTOR_CHANGED</t>
  </si>
  <si>
    <t>LP 32</t>
  </si>
  <si>
    <t>BC-15A</t>
  </si>
  <si>
    <t>SmartLoad-Dual.BC-15A.EARTH_ALARM_STATUS</t>
  </si>
  <si>
    <t>SmartLoad-Dual.BC-15A.NO_FLOW_ALARM_STATUS_M1</t>
  </si>
  <si>
    <t>SmartLoad-Dual.BC-15A.LOW_FLOW_ALARM_STATUS_M1</t>
  </si>
  <si>
    <t>SmartLoad-Dual.BC-15A.HIGH_FLOW_ALARM_STATUS_M1</t>
  </si>
  <si>
    <t>SmartLoad-Dual.BC-15A.UNAUTHORIZE_FLOW_ALARM_STATUS_M1</t>
  </si>
  <si>
    <t>SmartLoad-Dual.BC-15A.METER_OVERRUN_ALARM_STATUS_M1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</si>
  <si>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</si>
  <si>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</si>
  <si>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</si>
  <si>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</si>
  <si>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SmartLoad-Dual.BC-15A.MFM_BCU_QTY_BEYOND_TOLERANCE_LIMIT_STATUS</t>
  </si>
  <si>
    <t>SmartLoad-Dual.BC-15A.BCU_C1_TOTALIZER_MISMATCH_ALARM</t>
  </si>
  <si>
    <t>SmartLoad-Dual.BC-15A.NOMINAL_ARM1_COMP1_KFACTOR_CHANGED</t>
  </si>
  <si>
    <t>LP 33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</si>
  <si>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</si>
  <si>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</si>
  <si>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</si>
  <si>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</si>
  <si>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</si>
  <si>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</si>
  <si>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</si>
  <si>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</si>
  <si>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</si>
  <si>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</si>
  <si>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</si>
  <si>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SmartLoad-Dual.BC-15B.MFM_BCU_QTY_BEYOND_TOLERANCE_LIMIT_STATUS</t>
  </si>
  <si>
    <t>SmartLoad-Dual.BC-15B.BCU_C3_TOTALIZER_MISMATCH_ALARM</t>
  </si>
  <si>
    <t>SmartLoad-Dual.BC-15B.NOMINAL_ARM2_COMP1_KFACTOR_CHANGED</t>
  </si>
  <si>
    <t>LP 34</t>
  </si>
  <si>
    <t>BC-8A-LP1</t>
  </si>
  <si>
    <t>SmartLoad-Dual.BC-8A-LP1.EARTH_ALARM_STATUS</t>
  </si>
  <si>
    <t>SmartLoad-Dual.BC-8A-LP1.NO_FLOW_ALARM_STATUS_M1</t>
  </si>
  <si>
    <t>SmartLoad-Dual.BC-8A-LP1.LOW_FLOW_ALARM_STATUS_M1</t>
  </si>
  <si>
    <t>SmartLoad-Dual.BC-8A-LP1.HIGH_FLOW_ALARM_STATUS_M1</t>
  </si>
  <si>
    <t>SmartLoad-Dual.BC-8A-LP1.UNAUTHORIZE_FLOW_ALARM_STATUS_M1</t>
  </si>
  <si>
    <t>SmartLoad-Dual.BC-8A-LP1.METER_OVERRUN_ALARM_STATUS_M1</t>
  </si>
  <si>
    <t>SmartLoad-Dual.BC-8A-LP1.BLEND_UNDERDOSE_ALARM_STATUS</t>
  </si>
  <si>
    <t>SmartLoad-Dual.BC-8A-LP1.ADDITIVE_OVERDOSE_ALARM_STATUS</t>
  </si>
  <si>
    <t>SmartLoad-Dual.BC-8A-LP1.ADDITIVE_UNDERDOSE_ALARM_STATUS</t>
  </si>
  <si>
    <t>SmartLoad-Dual.BC-8A-LP1.BATCH_STATUS</t>
  </si>
  <si>
    <t>SmartLoad-Dual.BC-8A-LP1.MFM_BCU_QTY_BEYOND_TOLERANCE_LIMIT_STATUS</t>
  </si>
  <si>
    <t>SmartLoad-Dual.BC-8A-LP1.BCU_C1_TOTALIZER_MISMATCH_ALARM</t>
  </si>
  <si>
    <t>SmartLoad-Dual.BC-8A-LP1.NOMINAL_ARM1_COMP1_KFACTOR_CHANGED</t>
  </si>
  <si>
    <t>LP 35</t>
  </si>
  <si>
    <t>BC-8A-LP2</t>
  </si>
  <si>
    <t>SmartLoad-Dual.BC-8A-LP2.EARTH_ALARM_STATUS</t>
  </si>
  <si>
    <t>SmartLoad-Dual.BC-8A-LP2.NO_FLOW_ALARM_STATUS_M3</t>
  </si>
  <si>
    <t>SmartLoad-Dual.BC-8A-LP2.LOW_FLOW_ALARM_STATUS_M3</t>
  </si>
  <si>
    <t>SmartLoad-Dual.BC-8A-LP2.HIGH_FLOW_ALARM_STATUS_M3</t>
  </si>
  <si>
    <t>SmartLoad-Dual.BC-8A-LP2.UNAUTHORIZE_FLOW_ALARM_STATUS_M3</t>
  </si>
  <si>
    <t>SmartLoad-Dual.BC-8A-LP2.METER_OVERRUN_ALARM_STATUS_M3</t>
  </si>
  <si>
    <t>SmartLoad-Dual.BC-8A-LP2.BLEND_UNDERDOSE_ALARM_STATUS</t>
  </si>
  <si>
    <t>SmartLoad-Dual.BC-8A-LP2.ADDITIVE_OVERDOSE_ALARM_STATUS</t>
  </si>
  <si>
    <t>SmartLoad-Dual.BC-8A-LP2.ADDITIVE_UNDERDOSE_ALARM_STATUS</t>
  </si>
  <si>
    <t>SmartLoad-Dual.BC-8A-LP2.BATCH_STATUS</t>
  </si>
  <si>
    <t>SmartLoad-Dual.BC-8A-LP2.MFM_BCU_QTY_BEYOND_TOLERANCE_LIMIT_STATUS</t>
  </si>
  <si>
    <t>SmartLoad-Dual.BC-8A-LP2.BCU_C3_TOTALIZER_MISMATCH_ALARM</t>
  </si>
  <si>
    <t>SmartLoad-Dual.BC-8A-LP2.NOMINAL_ARM2_COMP1_KFACTOR_CHANGED</t>
  </si>
  <si>
    <t>LP 36</t>
  </si>
  <si>
    <t>BC-8B-LP1</t>
  </si>
  <si>
    <t>SmartLoad-Dual.BC-8B-LP1.EARTH_ALARM_STATUS</t>
  </si>
  <si>
    <t>SmartLoad-Dual.BC-8B-LP1.NO_FLOW_ALARM_STATUS_M1</t>
  </si>
  <si>
    <t>SmartLoad-Dual.BC-8B-LP1.LOW_FLOW_ALARM_STATUS_M1</t>
  </si>
  <si>
    <t>SmartLoad-Dual.BC-8B-LP1.HIGH_FLOW_ALARM_STATUS_M1</t>
  </si>
  <si>
    <t>SmartLoad-Dual.BC-8B-LP1.UNAUTHORIZE_FLOW_ALARM_STATUS_M1</t>
  </si>
  <si>
    <t>SmartLoad-Dual.BC-8B-LP1.METER_OVERRUN_ALARM_STATUS_M1</t>
  </si>
  <si>
    <t>SmartLoad-Dual.BC-8B-LP1.BLEND_UNDERDOSE_ALARM_STATUS</t>
  </si>
  <si>
    <t>SmartLoad-Dual.BC-8B-LP1.ADDITIVE_OVERDOSE_ALARM_STATUS</t>
  </si>
  <si>
    <t>SmartLoad-Dual.BC-8B-LP1.ADDITIVE_UNDERDOSE_ALARM_STATUS</t>
  </si>
  <si>
    <t>SmartLoad-Dual.BC-8B-LP1.BATCH_STATUS</t>
  </si>
  <si>
    <t>SmartLoad-Dual.BC-8B-LP1.MFM_BCU_QTY_BEYOND_TOLERANCE_LIMIT_STATUS</t>
  </si>
  <si>
    <t>SmartLoad-Dual.BC-8B-LP1.BCU_C1_TOTALIZER_MISMATCH_ALARM</t>
  </si>
  <si>
    <t>SmartLoad-Dual.BC-8B-LP1.NOMINAL_ARM1_COMP1_KFACTOR_CHANGED</t>
  </si>
  <si>
    <t>LP 37</t>
  </si>
  <si>
    <t>BC-8B-LP2</t>
  </si>
  <si>
    <t>SmartLoad-Dual.BC-8B-LP2.EARTH_ALARM_STATUS</t>
  </si>
  <si>
    <t>SmartLoad-Dual.BC-8B-LP2.NO_FLOW_ALARM_STATUS_M3</t>
  </si>
  <si>
    <t>SmartLoad-Dual.BC-8B-LP2.LOW_FLOW_ALARM_STATUS_M3</t>
  </si>
  <si>
    <t>SmartLoad-Dual.BC-8B-LP2.HIGH_FLOW_ALARM_STATUS_M3</t>
  </si>
  <si>
    <t>SmartLoad-Dual.BC-8B-LP2.UNAUTHORIZE_FLOW_ALARM_STATUS_M3</t>
  </si>
  <si>
    <t>SmartLoad-Dual.BC-8B-LP2.METER_OVERRUN_ALARM_STATUS_M3</t>
  </si>
  <si>
    <t>SmartLoad-Dual.BC-8B-LP2.BLEND_UNDERDOSE_ALARM_STATUS</t>
  </si>
  <si>
    <t>SmartLoad-Dual.BC-8B-LP2.ADDITIVE_OVERDOSE_ALARM_STATUS</t>
  </si>
  <si>
    <t>SmartLoad-Dual.BC-8B-LP2.ADDITIVE_UNDERDOSE_ALARM_STATUS</t>
  </si>
  <si>
    <t>SmartLoad-Dual.BC-8B-LP2.BATCH_STATUS</t>
  </si>
  <si>
    <t>SmartLoad-Dual.BC-8B-LP2.MFM_BCU_QTY_BEYOND_TOLERANCE_LIMIT_STATUS</t>
  </si>
  <si>
    <t>SmartLoad-Dual.BC-8B-LP2.BCU_C3_TOTALIZER_MISMATCH_ALARM</t>
  </si>
  <si>
    <t>SmartLoad-Dual.BC-8B-LP2.NOMINAL_ARM2_COMP1_KFACTOR_CHANGED</t>
  </si>
  <si>
    <t xml:space="preserve"> Permissive override ID</t>
  </si>
  <si>
    <t xml:space="preserve">OVERRIDE STATUS </t>
  </si>
  <si>
    <t>OVERRIDE STATUS Normal value</t>
  </si>
  <si>
    <t>Gantry Permissive override condition</t>
  </si>
  <si>
    <t>PLC.SFTPLC.RESET_GANTRY_OPERATION</t>
  </si>
  <si>
    <t>Cause ID</t>
  </si>
  <si>
    <t>Cause</t>
  </si>
  <si>
    <t>Cause Normal value</t>
  </si>
  <si>
    <t>All ROSOVs closed</t>
  </si>
  <si>
    <t>All ROSOVs closed Normal value</t>
  </si>
  <si>
    <t>Barrier Gate opened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</si>
  <si>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</si>
  <si>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</si>
  <si>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</si>
  <si>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</si>
  <si>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</si>
  <si>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</si>
  <si>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</si>
  <si>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</si>
  <si>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</si>
  <si>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</si>
  <si>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</si>
  <si>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</si>
  <si>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</si>
  <si>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</si>
  <si>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</si>
  <si>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</si>
  <si>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</si>
  <si>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</si>
  <si>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 Activated in Field</t>
  </si>
  <si>
    <t>PLC.SFTPLC.CAUSE_ANY_ESD_PB_ACTI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</si>
  <si>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</si>
  <si>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</si>
  <si>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</si>
  <si>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</si>
  <si>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</si>
  <si>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</si>
  <si>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PLC.SFTPLC.EFFECT_SIREN_ACTIVATED</t>
  </si>
  <si>
    <t>PLC.SFTPLC.EFFECT_POWER_ESD_ACTI</t>
  </si>
  <si>
    <t>PLC.SFTPLC.EFFECT_ALL_DISPATCH_TANKS_IN_DORMANT</t>
  </si>
  <si>
    <t>ESD activated in Pipeline</t>
  </si>
  <si>
    <t>PLC.SFTPLC.CAUSE_ESD_ACTI_IN_PLINE</t>
  </si>
  <si>
    <t>TLF Header Line MOV Close</t>
  </si>
  <si>
    <t>TLF Header Line MOV Close Normal value</t>
  </si>
  <si>
    <t>Two Fire Engine Running status</t>
  </si>
  <si>
    <t>PLC.SFTPLC.CAUSE_ANY_FWP_IS_RUNNING</t>
  </si>
  <si>
    <t>PLC.SFTPLC.EFFECT_ALL_HEADER_MOV_CLOSED</t>
  </si>
  <si>
    <t>WATER Level below Ref. Volume</t>
  </si>
  <si>
    <t>PLC.SFTPLC.CAUSE_WATERTK_VOL_BELOW_90PCT</t>
  </si>
  <si>
    <t>Main Fire Engines not in REMOTE</t>
  </si>
  <si>
    <t>PLC.SFTPLC.CAUSE_ANY_MAIN_FWP_IN_REMOTE_MANUAL</t>
  </si>
  <si>
    <t>Air Compressor ID</t>
  </si>
  <si>
    <t>AIR COMPRESSOR FAULT STATUS</t>
  </si>
  <si>
    <t>AIR COMPRESSOR FAULT STATUS Normal value</t>
  </si>
  <si>
    <t>Location ID</t>
  </si>
  <si>
    <t>LRC SWITCHOVER 30 DAYS STATUS</t>
  </si>
  <si>
    <t>CR 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</si>
  <si>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</si>
  <si>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</si>
  <si>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</si>
  <si>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</si>
  <si>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</si>
  <si>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</si>
  <si>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</si>
  <si>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</si>
  <si>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Fire Engine7</t>
  </si>
  <si>
    <t>Fire Engine8</t>
  </si>
  <si>
    <t>Jockey Pump Run1</t>
  </si>
  <si>
    <t>Jockey Pump Run2</t>
  </si>
  <si>
    <t>Farthest Point Pt</t>
  </si>
  <si>
    <t>Nearest Point PT</t>
  </si>
  <si>
    <t>Water Volume</t>
  </si>
  <si>
    <t>Operability Index</t>
  </si>
  <si>
    <t>PressureTransmitter.PT-01.PRESSURE</t>
  </si>
  <si>
    <t>PressureTransmitter.PT-02.PRESSURE</t>
  </si>
  <si>
    <t>PLC.GEPLC.TOV_ON_SCREEN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</si>
</sst>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000000"/>
      <name val="Calibri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vertical="bottom"/>
    </xf>
    <xf borderId="1" fillId="0" fontId="2" numFmtId="0" xfId="0" applyBorder="1" applyFont="1"/>
    <xf borderId="1" fillId="0" fontId="2" numFmtId="0" xfId="0" applyAlignment="1" applyBorder="1" applyFont="1">
      <alignment horizontal="center" readingOrder="0" vertical="bottom"/>
    </xf>
    <xf borderId="0" fillId="0" fontId="2" numFmtId="0" xfId="0" applyFont="1"/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2" numFmtId="0" xfId="0" applyFont="1"/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4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2" fillId="0" fontId="2" numFmtId="0" xfId="0" applyBorder="1" applyFont="1"/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1" fillId="0" fontId="5" numFmtId="0" xfId="0" applyAlignment="1" applyBorder="1" applyFont="1">
      <alignment horizontal="center" shrinkToFit="0" vertical="top" wrapText="0"/>
    </xf>
    <xf borderId="2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63"/>
    <col customWidth="1" min="4" max="4" width="14.5"/>
    <col customWidth="1" min="5" max="5" width="19.88"/>
    <col customWidth="1" min="6" max="6" width="12.63"/>
    <col customWidth="1" min="7" max="7" width="23.25"/>
    <col customWidth="1" min="8" max="8" width="21.13"/>
    <col customWidth="1" min="9" max="9" width="28.63"/>
    <col customWidth="1" min="10" max="10" width="30.63"/>
    <col customWidth="1" min="11" max="11" width="21.13"/>
    <col customWidth="1" min="12" max="12" width="28.63"/>
    <col customWidth="1" min="13" max="13" width="26.13"/>
    <col customWidth="1" min="14" max="14" width="18.38"/>
    <col customWidth="1" min="15" max="15" width="33.5"/>
    <col customWidth="1" min="16" max="16" width="18.13"/>
    <col customWidth="1" min="17" max="17" width="34.13"/>
    <col customWidth="1" min="18" max="18" width="22.5"/>
    <col customWidth="1" min="19" max="19" width="37.5"/>
    <col customWidth="1" min="20" max="20" width="22.75"/>
    <col customWidth="1" min="21" max="21" width="33.5"/>
    <col customWidth="1" min="22" max="22" width="11.5"/>
    <col customWidth="1" min="23" max="23" width="34.13"/>
    <col customWidth="1" min="24" max="24" width="17.0"/>
    <col customWidth="1" min="25" max="25" width="37.5"/>
    <col customWidth="1" min="26" max="26" width="22.38"/>
    <col customWidth="1" min="27" max="27" width="25.88"/>
    <col customWidth="1" min="28" max="28" width="22.75"/>
    <col customWidth="1" min="29" max="29" width="32.13"/>
    <col customWidth="1" min="30" max="30" width="23.0"/>
    <col customWidth="1" min="31" max="31" width="26.13"/>
    <col customWidth="1" min="32" max="32" width="23.0"/>
    <col customWidth="1" min="33" max="33" width="34.88"/>
    <col customWidth="1" min="34" max="36" width="23.0"/>
    <col customWidth="1" min="37" max="37" width="35.13"/>
    <col customWidth="1" min="38" max="38" width="23.0"/>
    <col customWidth="1" min="39" max="39" width="25.88"/>
    <col customWidth="1" min="40" max="40" width="23.0"/>
    <col customWidth="1" min="41" max="41" width="33.25"/>
    <col customWidth="1" min="42" max="42" width="23.0"/>
    <col customWidth="1" min="43" max="43" width="25.38"/>
    <col customWidth="1" min="44" max="44" width="17.5"/>
    <col customWidth="1" min="45" max="45" width="25.5"/>
    <col customWidth="1" min="46" max="46" width="17.5"/>
    <col customWidth="1" min="47" max="47" width="26.38"/>
    <col customWidth="1" min="48" max="48" width="17.13"/>
    <col customWidth="1" min="49" max="49" width="25.5"/>
    <col customWidth="1" min="50" max="50" width="17.13"/>
    <col customWidth="1" min="51" max="51" width="29.38"/>
    <col customWidth="1" min="52" max="52" width="22.13"/>
    <col customWidth="1" min="53" max="53" width="34.13"/>
    <col customWidth="1" min="54" max="54" width="20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7</v>
      </c>
      <c r="K1" s="3" t="s">
        <v>9</v>
      </c>
      <c r="L1" s="3" t="s">
        <v>10</v>
      </c>
      <c r="M1" s="3" t="s">
        <v>11</v>
      </c>
      <c r="N1" s="4" t="s">
        <v>10</v>
      </c>
      <c r="O1" s="3" t="s">
        <v>12</v>
      </c>
      <c r="P1" s="4" t="s">
        <v>10</v>
      </c>
      <c r="Q1" s="3" t="s">
        <v>13</v>
      </c>
      <c r="R1" s="4" t="s">
        <v>10</v>
      </c>
      <c r="S1" s="3" t="s">
        <v>14</v>
      </c>
      <c r="T1" s="4" t="s">
        <v>10</v>
      </c>
      <c r="U1" s="3" t="s">
        <v>15</v>
      </c>
      <c r="V1" s="4" t="s">
        <v>10</v>
      </c>
      <c r="W1" s="3" t="s">
        <v>16</v>
      </c>
      <c r="X1" s="4" t="s">
        <v>10</v>
      </c>
      <c r="Y1" s="3" t="s">
        <v>17</v>
      </c>
      <c r="Z1" s="4" t="s">
        <v>10</v>
      </c>
      <c r="AA1" s="7" t="s">
        <v>18</v>
      </c>
      <c r="AB1" s="7" t="s">
        <v>7</v>
      </c>
      <c r="AC1" s="7" t="s">
        <v>19</v>
      </c>
      <c r="AD1" s="7" t="s">
        <v>10</v>
      </c>
      <c r="AE1" s="7" t="s">
        <v>20</v>
      </c>
      <c r="AF1" s="7" t="s">
        <v>7</v>
      </c>
      <c r="AG1" s="7" t="s">
        <v>21</v>
      </c>
      <c r="AH1" s="8" t="s">
        <v>7</v>
      </c>
      <c r="AI1" s="7" t="s">
        <v>22</v>
      </c>
      <c r="AJ1" s="8" t="s">
        <v>7</v>
      </c>
      <c r="AK1" s="7" t="s">
        <v>23</v>
      </c>
      <c r="AL1" s="8" t="s">
        <v>7</v>
      </c>
      <c r="AM1" s="7" t="s">
        <v>24</v>
      </c>
      <c r="AN1" s="7" t="s">
        <v>7</v>
      </c>
      <c r="AO1" s="7" t="s">
        <v>25</v>
      </c>
      <c r="AP1" s="7" t="s">
        <v>7</v>
      </c>
      <c r="AQ1" s="3" t="s">
        <v>26</v>
      </c>
      <c r="AR1" s="3" t="s">
        <v>10</v>
      </c>
      <c r="AS1" s="3" t="s">
        <v>27</v>
      </c>
      <c r="AT1" s="3" t="s">
        <v>10</v>
      </c>
      <c r="AU1" s="3" t="s">
        <v>28</v>
      </c>
      <c r="AV1" s="3" t="s">
        <v>10</v>
      </c>
      <c r="AW1" s="3" t="s">
        <v>29</v>
      </c>
      <c r="AX1" s="3" t="s">
        <v>10</v>
      </c>
      <c r="AY1" s="3" t="s">
        <v>30</v>
      </c>
      <c r="AZ1" s="3" t="s">
        <v>10</v>
      </c>
      <c r="BA1" s="3" t="s">
        <v>31</v>
      </c>
      <c r="BB1" s="3" t="s">
        <v>10</v>
      </c>
    </row>
    <row r="2" ht="15.75" customHeight="1">
      <c r="A2" s="9">
        <v>1919.0</v>
      </c>
      <c r="B2" s="9" t="s">
        <v>32</v>
      </c>
      <c r="C2" s="9" t="str">
        <f t="shared" ref="C2:C32" si="1">CONCATENATE(D2,"_",F2)</f>
        <v>51-TT-CR-003D_BS VI HSD</v>
      </c>
      <c r="D2" s="9" t="s">
        <v>33</v>
      </c>
      <c r="E2" s="9" t="s">
        <v>34</v>
      </c>
      <c r="F2" s="9" t="s">
        <v>35</v>
      </c>
      <c r="G2" s="10" t="s">
        <v>36</v>
      </c>
      <c r="H2" s="5"/>
      <c r="I2" s="11" t="s">
        <v>37</v>
      </c>
      <c r="J2" s="12">
        <v>0.0</v>
      </c>
      <c r="K2" s="11" t="s">
        <v>38</v>
      </c>
      <c r="L2" s="12">
        <v>0.0</v>
      </c>
      <c r="M2" s="11" t="s">
        <v>39</v>
      </c>
      <c r="N2" s="12">
        <v>0.0</v>
      </c>
      <c r="O2" s="11" t="s">
        <v>40</v>
      </c>
      <c r="P2" s="12">
        <v>0.0</v>
      </c>
      <c r="Q2" s="11" t="s">
        <v>41</v>
      </c>
      <c r="R2" s="12">
        <v>0.0</v>
      </c>
      <c r="S2" s="11" t="s">
        <v>42</v>
      </c>
      <c r="T2" s="12">
        <v>0.0</v>
      </c>
      <c r="U2" s="11" t="s">
        <v>43</v>
      </c>
      <c r="V2" s="12">
        <v>0.0</v>
      </c>
      <c r="W2" s="11" t="s">
        <v>44</v>
      </c>
      <c r="X2" s="12">
        <v>0.0</v>
      </c>
      <c r="Y2" s="11" t="s">
        <v>45</v>
      </c>
      <c r="Z2" s="12">
        <v>0.0</v>
      </c>
      <c r="AA2" s="11" t="s">
        <v>46</v>
      </c>
      <c r="AB2" s="12">
        <v>0.0</v>
      </c>
      <c r="AC2" s="11" t="s">
        <v>47</v>
      </c>
      <c r="AD2" s="12">
        <v>0.0</v>
      </c>
      <c r="AE2" s="13"/>
      <c r="AF2" s="5"/>
      <c r="AG2" s="13"/>
      <c r="AH2" s="5"/>
      <c r="AI2" s="11" t="s">
        <v>48</v>
      </c>
      <c r="AJ2" s="12">
        <v>0.0</v>
      </c>
      <c r="AK2" s="11" t="s">
        <v>49</v>
      </c>
      <c r="AL2" s="12">
        <v>0.0</v>
      </c>
      <c r="AM2" s="13"/>
      <c r="AN2" s="14"/>
      <c r="AO2" s="14"/>
      <c r="AP2" s="14"/>
      <c r="AQ2" s="11" t="s">
        <v>50</v>
      </c>
      <c r="AR2" s="12">
        <v>1.0</v>
      </c>
      <c r="AS2" s="14"/>
      <c r="AT2" s="14"/>
      <c r="AU2" s="11" t="s">
        <v>51</v>
      </c>
      <c r="AV2" s="12">
        <v>1.0</v>
      </c>
      <c r="AW2" s="14"/>
      <c r="AX2" s="14"/>
      <c r="AY2" s="14"/>
      <c r="AZ2" s="14"/>
      <c r="BA2" s="14"/>
      <c r="BB2" s="14"/>
    </row>
    <row r="3" ht="15.75" customHeight="1">
      <c r="A3" s="9">
        <v>1919.0</v>
      </c>
      <c r="B3" s="9" t="s">
        <v>32</v>
      </c>
      <c r="C3" s="9" t="str">
        <f t="shared" si="1"/>
        <v>51-TT-CR-005A_ETHANOL</v>
      </c>
      <c r="D3" s="9" t="s">
        <v>52</v>
      </c>
      <c r="E3" s="9" t="s">
        <v>34</v>
      </c>
      <c r="F3" s="9" t="s">
        <v>53</v>
      </c>
      <c r="G3" s="10" t="s">
        <v>54</v>
      </c>
      <c r="H3" s="5"/>
      <c r="I3" s="11" t="s">
        <v>55</v>
      </c>
      <c r="J3" s="12">
        <v>0.0</v>
      </c>
      <c r="K3" s="11" t="s">
        <v>56</v>
      </c>
      <c r="L3" s="12">
        <v>0.0</v>
      </c>
      <c r="M3" s="11" t="s">
        <v>57</v>
      </c>
      <c r="N3" s="12">
        <v>0.0</v>
      </c>
      <c r="O3" s="11" t="s">
        <v>58</v>
      </c>
      <c r="P3" s="12">
        <v>0.0</v>
      </c>
      <c r="Q3" s="11" t="s">
        <v>59</v>
      </c>
      <c r="R3" s="12">
        <v>0.0</v>
      </c>
      <c r="S3" s="11" t="s">
        <v>60</v>
      </c>
      <c r="T3" s="12">
        <v>0.0</v>
      </c>
      <c r="U3" s="11" t="s">
        <v>61</v>
      </c>
      <c r="V3" s="12">
        <v>0.0</v>
      </c>
      <c r="W3" s="11" t="s">
        <v>62</v>
      </c>
      <c r="X3" s="12">
        <v>0.0</v>
      </c>
      <c r="Y3" s="11" t="s">
        <v>63</v>
      </c>
      <c r="Z3" s="12">
        <v>0.0</v>
      </c>
      <c r="AA3" s="11" t="s">
        <v>64</v>
      </c>
      <c r="AB3" s="12">
        <v>0.0</v>
      </c>
      <c r="AC3" s="11" t="s">
        <v>65</v>
      </c>
      <c r="AD3" s="12">
        <v>0.0</v>
      </c>
      <c r="AE3" s="13"/>
      <c r="AF3" s="5"/>
      <c r="AG3" s="13"/>
      <c r="AH3" s="5"/>
      <c r="AI3" s="11" t="s">
        <v>66</v>
      </c>
      <c r="AJ3" s="12">
        <v>0.0</v>
      </c>
      <c r="AK3" s="11" t="s">
        <v>67</v>
      </c>
      <c r="AL3" s="12">
        <v>0.0</v>
      </c>
      <c r="AM3" s="13"/>
      <c r="AN3" s="14"/>
      <c r="AO3" s="14"/>
      <c r="AP3" s="14"/>
      <c r="AQ3" s="11" t="s">
        <v>68</v>
      </c>
      <c r="AR3" s="12">
        <v>1.0</v>
      </c>
      <c r="AS3" s="14"/>
      <c r="AT3" s="14"/>
      <c r="AU3" s="11" t="s">
        <v>69</v>
      </c>
      <c r="AV3" s="12">
        <v>1.0</v>
      </c>
      <c r="AW3" s="14"/>
      <c r="AX3" s="14"/>
      <c r="AY3" s="14"/>
      <c r="AZ3" s="14"/>
      <c r="BA3" s="14"/>
      <c r="BB3" s="14"/>
    </row>
    <row r="4" ht="15.75" customHeight="1">
      <c r="A4" s="9">
        <v>1919.0</v>
      </c>
      <c r="B4" s="9" t="s">
        <v>32</v>
      </c>
      <c r="C4" s="9" t="str">
        <f t="shared" si="1"/>
        <v>51-TT-CR-005B_INTERFACE</v>
      </c>
      <c r="D4" s="9" t="s">
        <v>70</v>
      </c>
      <c r="E4" s="9" t="s">
        <v>34</v>
      </c>
      <c r="F4" s="9" t="s">
        <v>71</v>
      </c>
      <c r="G4" s="10" t="s">
        <v>72</v>
      </c>
      <c r="H4" s="5"/>
      <c r="I4" s="11" t="s">
        <v>73</v>
      </c>
      <c r="J4" s="12">
        <v>0.0</v>
      </c>
      <c r="K4" s="11" t="s">
        <v>74</v>
      </c>
      <c r="L4" s="12">
        <v>0.0</v>
      </c>
      <c r="M4" s="11" t="s">
        <v>75</v>
      </c>
      <c r="N4" s="12">
        <v>0.0</v>
      </c>
      <c r="O4" s="11" t="s">
        <v>76</v>
      </c>
      <c r="P4" s="12">
        <v>0.0</v>
      </c>
      <c r="Q4" s="11" t="s">
        <v>77</v>
      </c>
      <c r="R4" s="12">
        <v>0.0</v>
      </c>
      <c r="S4" s="11" t="s">
        <v>78</v>
      </c>
      <c r="T4" s="12">
        <v>0.0</v>
      </c>
      <c r="U4" s="11" t="s">
        <v>79</v>
      </c>
      <c r="V4" s="12">
        <v>0.0</v>
      </c>
      <c r="W4" s="11" t="s">
        <v>80</v>
      </c>
      <c r="X4" s="12">
        <v>0.0</v>
      </c>
      <c r="Y4" s="11" t="s">
        <v>81</v>
      </c>
      <c r="Z4" s="12">
        <v>0.0</v>
      </c>
      <c r="AA4" s="14"/>
      <c r="AB4" s="14"/>
      <c r="AC4" s="14"/>
      <c r="AD4" s="14"/>
      <c r="AE4" s="13"/>
      <c r="AF4" s="5"/>
      <c r="AG4" s="13"/>
      <c r="AH4" s="5"/>
      <c r="AI4" s="11" t="s">
        <v>82</v>
      </c>
      <c r="AJ4" s="12">
        <v>0.0</v>
      </c>
      <c r="AK4" s="11" t="s">
        <v>83</v>
      </c>
      <c r="AL4" s="12">
        <v>0.0</v>
      </c>
      <c r="AM4" s="13"/>
      <c r="AN4" s="14"/>
      <c r="AO4" s="14"/>
      <c r="AP4" s="14"/>
      <c r="AQ4" s="11" t="s">
        <v>84</v>
      </c>
      <c r="AR4" s="12">
        <v>1.0</v>
      </c>
      <c r="AS4" s="14"/>
      <c r="AT4" s="14"/>
      <c r="AU4" s="14"/>
      <c r="AV4" s="12">
        <v>1.0</v>
      </c>
      <c r="AW4" s="14"/>
      <c r="AX4" s="14"/>
      <c r="AY4" s="14"/>
      <c r="AZ4" s="14"/>
      <c r="BA4" s="14"/>
      <c r="BB4" s="14"/>
    </row>
    <row r="5" ht="15.75" customHeight="1">
      <c r="A5" s="9">
        <v>1919.0</v>
      </c>
      <c r="B5" s="9" t="s">
        <v>32</v>
      </c>
      <c r="C5" s="9" t="str">
        <f t="shared" si="1"/>
        <v>51-TT-CR-006A_WATER</v>
      </c>
      <c r="D5" s="9" t="s">
        <v>85</v>
      </c>
      <c r="E5" s="9" t="s">
        <v>34</v>
      </c>
      <c r="F5" s="9" t="s">
        <v>86</v>
      </c>
      <c r="G5" s="10" t="s">
        <v>87</v>
      </c>
      <c r="H5" s="5"/>
      <c r="I5" s="11" t="s">
        <v>88</v>
      </c>
      <c r="J5" s="12">
        <v>0.0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3"/>
      <c r="AF5" s="5"/>
      <c r="AG5" s="13"/>
      <c r="AH5" s="5"/>
      <c r="AI5" s="14"/>
      <c r="AJ5" s="14"/>
      <c r="AK5" s="14"/>
      <c r="AL5" s="14"/>
      <c r="AM5" s="13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</row>
    <row r="6" ht="15.75" customHeight="1">
      <c r="A6" s="9">
        <v>1919.0</v>
      </c>
      <c r="B6" s="9" t="s">
        <v>32</v>
      </c>
      <c r="C6" s="9" t="str">
        <f t="shared" si="1"/>
        <v>51-TT-CR-006B_WATER</v>
      </c>
      <c r="D6" s="9" t="s">
        <v>89</v>
      </c>
      <c r="E6" s="9" t="s">
        <v>34</v>
      </c>
      <c r="F6" s="9" t="s">
        <v>86</v>
      </c>
      <c r="G6" s="10" t="s">
        <v>90</v>
      </c>
      <c r="H6" s="5"/>
      <c r="I6" s="11" t="s">
        <v>91</v>
      </c>
      <c r="J6" s="12">
        <v>0.0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3"/>
      <c r="AF6" s="5"/>
      <c r="AG6" s="13"/>
      <c r="AH6" s="5"/>
      <c r="AI6" s="14"/>
      <c r="AJ6" s="14"/>
      <c r="AK6" s="14"/>
      <c r="AL6" s="14"/>
      <c r="AM6" s="13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</row>
    <row r="7" ht="15.75" customHeight="1">
      <c r="A7" s="9">
        <v>1919.0</v>
      </c>
      <c r="B7" s="9" t="s">
        <v>32</v>
      </c>
      <c r="C7" s="9" t="str">
        <f t="shared" si="1"/>
        <v>51-TT-CR-006C_WATER</v>
      </c>
      <c r="D7" s="9" t="s">
        <v>92</v>
      </c>
      <c r="E7" s="9" t="s">
        <v>34</v>
      </c>
      <c r="F7" s="9" t="s">
        <v>86</v>
      </c>
      <c r="G7" s="10" t="s">
        <v>93</v>
      </c>
      <c r="H7" s="5"/>
      <c r="I7" s="11" t="s">
        <v>94</v>
      </c>
      <c r="J7" s="12">
        <v>0.0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3"/>
      <c r="AF7" s="5"/>
      <c r="AG7" s="13"/>
      <c r="AH7" s="5"/>
      <c r="AI7" s="14"/>
      <c r="AJ7" s="14"/>
      <c r="AK7" s="14"/>
      <c r="AL7" s="14"/>
      <c r="AM7" s="13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</row>
    <row r="8" ht="15.75" customHeight="1">
      <c r="A8" s="9">
        <v>1919.0</v>
      </c>
      <c r="B8" s="9" t="s">
        <v>32</v>
      </c>
      <c r="C8" s="9" t="str">
        <f t="shared" si="1"/>
        <v>51-TT-CR-006D_WATER</v>
      </c>
      <c r="D8" s="9" t="s">
        <v>95</v>
      </c>
      <c r="E8" s="9" t="s">
        <v>34</v>
      </c>
      <c r="F8" s="9" t="s">
        <v>86</v>
      </c>
      <c r="G8" s="10" t="s">
        <v>96</v>
      </c>
      <c r="H8" s="5"/>
      <c r="I8" s="11" t="s">
        <v>97</v>
      </c>
      <c r="J8" s="12">
        <v>0.0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3"/>
      <c r="AF8" s="5"/>
      <c r="AG8" s="13"/>
      <c r="AH8" s="5"/>
      <c r="AI8" s="14"/>
      <c r="AJ8" s="14"/>
      <c r="AK8" s="14"/>
      <c r="AL8" s="14"/>
      <c r="AM8" s="13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</row>
    <row r="9" ht="15.75" customHeight="1">
      <c r="A9" s="9">
        <v>1919.0</v>
      </c>
      <c r="B9" s="9" t="s">
        <v>32</v>
      </c>
      <c r="C9" s="9" t="str">
        <f t="shared" si="1"/>
        <v>51-TT-FR-001A_BS VI MS</v>
      </c>
      <c r="D9" s="9" t="s">
        <v>98</v>
      </c>
      <c r="E9" s="9" t="s">
        <v>34</v>
      </c>
      <c r="F9" s="9" t="s">
        <v>99</v>
      </c>
      <c r="G9" s="10" t="s">
        <v>100</v>
      </c>
      <c r="H9" s="5"/>
      <c r="I9" s="11" t="s">
        <v>101</v>
      </c>
      <c r="J9" s="12">
        <v>0.0</v>
      </c>
      <c r="K9" s="11" t="s">
        <v>102</v>
      </c>
      <c r="L9" s="12">
        <v>0.0</v>
      </c>
      <c r="M9" s="11" t="s">
        <v>103</v>
      </c>
      <c r="N9" s="12">
        <v>0.0</v>
      </c>
      <c r="O9" s="11" t="s">
        <v>104</v>
      </c>
      <c r="P9" s="12">
        <v>0.0</v>
      </c>
      <c r="Q9" s="11" t="s">
        <v>105</v>
      </c>
      <c r="R9" s="12">
        <v>0.0</v>
      </c>
      <c r="S9" s="11" t="s">
        <v>106</v>
      </c>
      <c r="T9" s="12">
        <v>0.0</v>
      </c>
      <c r="U9" s="11" t="s">
        <v>107</v>
      </c>
      <c r="V9" s="12">
        <v>0.0</v>
      </c>
      <c r="W9" s="11" t="s">
        <v>108</v>
      </c>
      <c r="X9" s="12">
        <v>0.0</v>
      </c>
      <c r="Y9" s="11" t="s">
        <v>109</v>
      </c>
      <c r="Z9" s="12">
        <v>0.0</v>
      </c>
      <c r="AA9" s="11" t="s">
        <v>110</v>
      </c>
      <c r="AB9" s="12">
        <v>0.0</v>
      </c>
      <c r="AC9" s="11" t="s">
        <v>111</v>
      </c>
      <c r="AD9" s="12">
        <v>0.0</v>
      </c>
      <c r="AE9" s="13"/>
      <c r="AF9" s="5"/>
      <c r="AG9" s="13"/>
      <c r="AH9" s="5"/>
      <c r="AI9" s="11" t="s">
        <v>112</v>
      </c>
      <c r="AJ9" s="12">
        <v>0.0</v>
      </c>
      <c r="AK9" s="11" t="s">
        <v>113</v>
      </c>
      <c r="AL9" s="12">
        <v>0.0</v>
      </c>
      <c r="AM9" s="13"/>
      <c r="AN9" s="14"/>
      <c r="AO9" s="14"/>
      <c r="AP9" s="14"/>
      <c r="AQ9" s="11" t="s">
        <v>114</v>
      </c>
      <c r="AR9" s="12">
        <v>1.0</v>
      </c>
      <c r="AS9" s="14"/>
      <c r="AT9" s="14"/>
      <c r="AU9" s="11" t="s">
        <v>115</v>
      </c>
      <c r="AV9" s="12">
        <v>1.0</v>
      </c>
      <c r="AW9" s="14"/>
      <c r="AX9" s="14"/>
      <c r="AY9" s="11" t="s">
        <v>116</v>
      </c>
      <c r="AZ9" s="12">
        <v>0.0</v>
      </c>
      <c r="BA9" s="11" t="s">
        <v>117</v>
      </c>
      <c r="BB9" s="12">
        <v>0.0</v>
      </c>
    </row>
    <row r="10" ht="15.75" customHeight="1">
      <c r="A10" s="9">
        <v>1919.0</v>
      </c>
      <c r="B10" s="9" t="s">
        <v>32</v>
      </c>
      <c r="C10" s="9" t="str">
        <f t="shared" si="1"/>
        <v>51-TT-FR-001B_BS VI MS</v>
      </c>
      <c r="D10" s="9" t="s">
        <v>118</v>
      </c>
      <c r="E10" s="9" t="s">
        <v>34</v>
      </c>
      <c r="F10" s="9" t="s">
        <v>99</v>
      </c>
      <c r="G10" s="10" t="s">
        <v>119</v>
      </c>
      <c r="H10" s="5"/>
      <c r="I10" s="11" t="s">
        <v>120</v>
      </c>
      <c r="J10" s="12">
        <v>0.0</v>
      </c>
      <c r="K10" s="11" t="s">
        <v>121</v>
      </c>
      <c r="L10" s="12">
        <v>0.0</v>
      </c>
      <c r="M10" s="11" t="s">
        <v>122</v>
      </c>
      <c r="N10" s="12">
        <v>0.0</v>
      </c>
      <c r="O10" s="11" t="s">
        <v>123</v>
      </c>
      <c r="P10" s="12">
        <v>0.0</v>
      </c>
      <c r="Q10" s="11" t="s">
        <v>124</v>
      </c>
      <c r="R10" s="12">
        <v>0.0</v>
      </c>
      <c r="S10" s="11" t="s">
        <v>125</v>
      </c>
      <c r="T10" s="12">
        <v>0.0</v>
      </c>
      <c r="U10" s="11" t="s">
        <v>126</v>
      </c>
      <c r="V10" s="12">
        <v>0.0</v>
      </c>
      <c r="W10" s="11" t="s">
        <v>127</v>
      </c>
      <c r="X10" s="12">
        <v>0.0</v>
      </c>
      <c r="Y10" s="11" t="s">
        <v>128</v>
      </c>
      <c r="Z10" s="12">
        <v>0.0</v>
      </c>
      <c r="AA10" s="11" t="s">
        <v>129</v>
      </c>
      <c r="AB10" s="12">
        <v>0.0</v>
      </c>
      <c r="AC10" s="11" t="s">
        <v>130</v>
      </c>
      <c r="AD10" s="12">
        <v>0.0</v>
      </c>
      <c r="AE10" s="13"/>
      <c r="AF10" s="5"/>
      <c r="AG10" s="13"/>
      <c r="AH10" s="5"/>
      <c r="AI10" s="11" t="s">
        <v>131</v>
      </c>
      <c r="AJ10" s="12">
        <v>0.0</v>
      </c>
      <c r="AK10" s="11" t="s">
        <v>132</v>
      </c>
      <c r="AL10" s="12">
        <v>0.0</v>
      </c>
      <c r="AM10" s="13"/>
      <c r="AN10" s="14"/>
      <c r="AO10" s="14"/>
      <c r="AP10" s="14"/>
      <c r="AQ10" s="11" t="s">
        <v>133</v>
      </c>
      <c r="AR10" s="12">
        <v>1.0</v>
      </c>
      <c r="AS10" s="14"/>
      <c r="AT10" s="14"/>
      <c r="AU10" s="11" t="s">
        <v>134</v>
      </c>
      <c r="AV10" s="12">
        <v>1.0</v>
      </c>
      <c r="AW10" s="14"/>
      <c r="AX10" s="14"/>
      <c r="AY10" s="11" t="s">
        <v>135</v>
      </c>
      <c r="AZ10" s="12">
        <v>0.0</v>
      </c>
      <c r="BA10" s="11" t="s">
        <v>136</v>
      </c>
      <c r="BB10" s="12">
        <v>0.0</v>
      </c>
    </row>
    <row r="11" ht="15.75" customHeight="1">
      <c r="A11" s="9">
        <v>1919.0</v>
      </c>
      <c r="B11" s="9" t="s">
        <v>32</v>
      </c>
      <c r="C11" s="9" t="str">
        <f t="shared" si="1"/>
        <v>51-TT-FR-001C_GASOHOL</v>
      </c>
      <c r="D11" s="9" t="s">
        <v>137</v>
      </c>
      <c r="E11" s="9" t="s">
        <v>34</v>
      </c>
      <c r="F11" s="9" t="s">
        <v>138</v>
      </c>
      <c r="G11" s="10" t="s">
        <v>139</v>
      </c>
      <c r="H11" s="5"/>
      <c r="I11" s="11" t="s">
        <v>140</v>
      </c>
      <c r="J11" s="12">
        <v>0.0</v>
      </c>
      <c r="K11" s="11" t="s">
        <v>141</v>
      </c>
      <c r="L11" s="12">
        <v>0.0</v>
      </c>
      <c r="M11" s="11" t="s">
        <v>142</v>
      </c>
      <c r="N11" s="12">
        <v>0.0</v>
      </c>
      <c r="O11" s="11" t="s">
        <v>143</v>
      </c>
      <c r="P11" s="12">
        <v>0.0</v>
      </c>
      <c r="Q11" s="11" t="s">
        <v>144</v>
      </c>
      <c r="R11" s="12">
        <v>0.0</v>
      </c>
      <c r="S11" s="11" t="s">
        <v>145</v>
      </c>
      <c r="T11" s="12">
        <v>0.0</v>
      </c>
      <c r="U11" s="11" t="s">
        <v>146</v>
      </c>
      <c r="V11" s="12">
        <v>0.0</v>
      </c>
      <c r="W11" s="11" t="s">
        <v>147</v>
      </c>
      <c r="X11" s="12">
        <v>0.0</v>
      </c>
      <c r="Y11" s="11" t="s">
        <v>148</v>
      </c>
      <c r="Z11" s="12">
        <v>0.0</v>
      </c>
      <c r="AA11" s="11" t="s">
        <v>149</v>
      </c>
      <c r="AB11" s="12">
        <v>0.0</v>
      </c>
      <c r="AC11" s="11" t="s">
        <v>150</v>
      </c>
      <c r="AD11" s="12">
        <v>0.0</v>
      </c>
      <c r="AE11" s="13"/>
      <c r="AF11" s="5"/>
      <c r="AG11" s="13"/>
      <c r="AH11" s="5"/>
      <c r="AI11" s="11" t="s">
        <v>151</v>
      </c>
      <c r="AJ11" s="12">
        <v>0.0</v>
      </c>
      <c r="AK11" s="11" t="s">
        <v>152</v>
      </c>
      <c r="AL11" s="12">
        <v>0.0</v>
      </c>
      <c r="AM11" s="13"/>
      <c r="AN11" s="14"/>
      <c r="AO11" s="14"/>
      <c r="AP11" s="14"/>
      <c r="AQ11" s="11" t="s">
        <v>153</v>
      </c>
      <c r="AR11" s="12">
        <v>1.0</v>
      </c>
      <c r="AS11" s="14"/>
      <c r="AT11" s="14"/>
      <c r="AU11" s="11" t="s">
        <v>154</v>
      </c>
      <c r="AV11" s="12">
        <v>1.0</v>
      </c>
      <c r="AW11" s="14"/>
      <c r="AX11" s="14"/>
      <c r="AY11" s="11" t="s">
        <v>155</v>
      </c>
      <c r="AZ11" s="12">
        <v>0.0</v>
      </c>
      <c r="BA11" s="11" t="s">
        <v>156</v>
      </c>
      <c r="BB11" s="12">
        <v>0.0</v>
      </c>
    </row>
    <row r="12" ht="15.75" customHeight="1">
      <c r="A12" s="9">
        <v>1919.0</v>
      </c>
      <c r="B12" s="9" t="s">
        <v>32</v>
      </c>
      <c r="C12" s="9" t="str">
        <f t="shared" si="1"/>
        <v>51-TT-FR-001D_INTERFACE</v>
      </c>
      <c r="D12" s="9" t="s">
        <v>157</v>
      </c>
      <c r="E12" s="9" t="s">
        <v>34</v>
      </c>
      <c r="F12" s="9" t="s">
        <v>71</v>
      </c>
      <c r="G12" s="10" t="s">
        <v>158</v>
      </c>
      <c r="H12" s="5"/>
      <c r="I12" s="11" t="s">
        <v>159</v>
      </c>
      <c r="J12" s="12">
        <v>0.0</v>
      </c>
      <c r="K12" s="11" t="s">
        <v>160</v>
      </c>
      <c r="L12" s="12">
        <v>0.0</v>
      </c>
      <c r="M12" s="11" t="s">
        <v>161</v>
      </c>
      <c r="N12" s="12">
        <v>0.0</v>
      </c>
      <c r="O12" s="11" t="s">
        <v>162</v>
      </c>
      <c r="P12" s="12">
        <v>0.0</v>
      </c>
      <c r="Q12" s="11" t="s">
        <v>163</v>
      </c>
      <c r="R12" s="12">
        <v>0.0</v>
      </c>
      <c r="S12" s="11" t="s">
        <v>164</v>
      </c>
      <c r="T12" s="12">
        <v>0.0</v>
      </c>
      <c r="U12" s="11" t="s">
        <v>165</v>
      </c>
      <c r="V12" s="12">
        <v>0.0</v>
      </c>
      <c r="W12" s="11" t="s">
        <v>166</v>
      </c>
      <c r="X12" s="12">
        <v>0.0</v>
      </c>
      <c r="Y12" s="11" t="s">
        <v>167</v>
      </c>
      <c r="Z12" s="12">
        <v>0.0</v>
      </c>
      <c r="AA12" s="14"/>
      <c r="AB12" s="14"/>
      <c r="AC12" s="14"/>
      <c r="AD12" s="14"/>
      <c r="AE12" s="13"/>
      <c r="AF12" s="5"/>
      <c r="AG12" s="13"/>
      <c r="AH12" s="5"/>
      <c r="AI12" s="11" t="s">
        <v>168</v>
      </c>
      <c r="AJ12" s="12">
        <v>0.0</v>
      </c>
      <c r="AK12" s="11" t="s">
        <v>169</v>
      </c>
      <c r="AL12" s="12">
        <v>0.0</v>
      </c>
      <c r="AM12" s="13"/>
      <c r="AN12" s="14"/>
      <c r="AO12" s="14"/>
      <c r="AP12" s="14"/>
      <c r="AQ12" s="11" t="s">
        <v>170</v>
      </c>
      <c r="AR12" s="12">
        <v>1.0</v>
      </c>
      <c r="AS12" s="14"/>
      <c r="AT12" s="14"/>
      <c r="AU12" s="11" t="s">
        <v>171</v>
      </c>
      <c r="AV12" s="12">
        <v>1.0</v>
      </c>
      <c r="AW12" s="14"/>
      <c r="AX12" s="14"/>
      <c r="AY12" s="14"/>
      <c r="AZ12" s="14"/>
      <c r="BA12" s="14"/>
      <c r="BB12" s="14"/>
    </row>
    <row r="13" ht="15.75" customHeight="1">
      <c r="A13" s="9">
        <v>1919.0</v>
      </c>
      <c r="B13" s="9" t="s">
        <v>32</v>
      </c>
      <c r="C13" s="9" t="str">
        <f t="shared" si="1"/>
        <v>51-TT-FR-002A_SKO</v>
      </c>
      <c r="D13" s="9" t="s">
        <v>172</v>
      </c>
      <c r="E13" s="9" t="s">
        <v>34</v>
      </c>
      <c r="F13" s="9" t="s">
        <v>173</v>
      </c>
      <c r="G13" s="10" t="s">
        <v>174</v>
      </c>
      <c r="H13" s="5"/>
      <c r="I13" s="11" t="s">
        <v>175</v>
      </c>
      <c r="J13" s="12">
        <v>0.0</v>
      </c>
      <c r="K13" s="11" t="s">
        <v>176</v>
      </c>
      <c r="L13" s="12">
        <v>0.0</v>
      </c>
      <c r="M13" s="11" t="s">
        <v>177</v>
      </c>
      <c r="N13" s="12">
        <v>0.0</v>
      </c>
      <c r="O13" s="11" t="s">
        <v>178</v>
      </c>
      <c r="P13" s="12">
        <v>0.0</v>
      </c>
      <c r="Q13" s="11" t="s">
        <v>179</v>
      </c>
      <c r="R13" s="12">
        <v>0.0</v>
      </c>
      <c r="S13" s="11" t="s">
        <v>180</v>
      </c>
      <c r="T13" s="12">
        <v>0.0</v>
      </c>
      <c r="U13" s="11" t="s">
        <v>181</v>
      </c>
      <c r="V13" s="12">
        <v>0.0</v>
      </c>
      <c r="W13" s="11" t="s">
        <v>182</v>
      </c>
      <c r="X13" s="12">
        <v>0.0</v>
      </c>
      <c r="Y13" s="11" t="s">
        <v>183</v>
      </c>
      <c r="Z13" s="12">
        <v>0.0</v>
      </c>
      <c r="AA13" s="11" t="s">
        <v>184</v>
      </c>
      <c r="AB13" s="12">
        <v>0.0</v>
      </c>
      <c r="AC13" s="11" t="s">
        <v>185</v>
      </c>
      <c r="AD13" s="12">
        <v>0.0</v>
      </c>
      <c r="AE13" s="13"/>
      <c r="AF13" s="5"/>
      <c r="AG13" s="13"/>
      <c r="AH13" s="5"/>
      <c r="AI13" s="11" t="s">
        <v>186</v>
      </c>
      <c r="AJ13" s="12">
        <v>0.0</v>
      </c>
      <c r="AK13" s="11" t="s">
        <v>187</v>
      </c>
      <c r="AL13" s="12">
        <v>0.0</v>
      </c>
      <c r="AM13" s="13"/>
      <c r="AN13" s="14"/>
      <c r="AO13" s="14"/>
      <c r="AP13" s="14"/>
      <c r="AQ13" s="11" t="s">
        <v>188</v>
      </c>
      <c r="AR13" s="12">
        <v>1.0</v>
      </c>
      <c r="AS13" s="14"/>
      <c r="AT13" s="14"/>
      <c r="AU13" s="11" t="s">
        <v>189</v>
      </c>
      <c r="AV13" s="12">
        <v>1.0</v>
      </c>
      <c r="AW13" s="14"/>
      <c r="AX13" s="14"/>
      <c r="AY13" s="14"/>
      <c r="AZ13" s="14"/>
      <c r="BA13" s="14"/>
      <c r="BB13" s="14"/>
    </row>
    <row r="14" ht="15.75" customHeight="1">
      <c r="A14" s="9">
        <v>1919.0</v>
      </c>
      <c r="B14" s="9" t="s">
        <v>32</v>
      </c>
      <c r="C14" s="9" t="str">
        <f t="shared" si="1"/>
        <v>51-TT-FR-002B_BS VI HSD</v>
      </c>
      <c r="D14" s="9" t="s">
        <v>190</v>
      </c>
      <c r="E14" s="9" t="s">
        <v>34</v>
      </c>
      <c r="F14" s="9" t="s">
        <v>35</v>
      </c>
      <c r="G14" s="10" t="s">
        <v>191</v>
      </c>
      <c r="H14" s="5"/>
      <c r="I14" s="11" t="s">
        <v>192</v>
      </c>
      <c r="J14" s="12">
        <v>0.0</v>
      </c>
      <c r="K14" s="11" t="s">
        <v>193</v>
      </c>
      <c r="L14" s="12">
        <v>0.0</v>
      </c>
      <c r="M14" s="11" t="s">
        <v>194</v>
      </c>
      <c r="N14" s="12">
        <v>0.0</v>
      </c>
      <c r="O14" s="11" t="s">
        <v>195</v>
      </c>
      <c r="P14" s="12">
        <v>0.0</v>
      </c>
      <c r="Q14" s="11" t="s">
        <v>196</v>
      </c>
      <c r="R14" s="12">
        <v>0.0</v>
      </c>
      <c r="S14" s="11" t="s">
        <v>197</v>
      </c>
      <c r="T14" s="12">
        <v>0.0</v>
      </c>
      <c r="U14" s="11" t="s">
        <v>198</v>
      </c>
      <c r="V14" s="12">
        <v>0.0</v>
      </c>
      <c r="W14" s="11" t="s">
        <v>199</v>
      </c>
      <c r="X14" s="12">
        <v>0.0</v>
      </c>
      <c r="Y14" s="11" t="s">
        <v>200</v>
      </c>
      <c r="Z14" s="12">
        <v>0.0</v>
      </c>
      <c r="AA14" s="11" t="s">
        <v>201</v>
      </c>
      <c r="AB14" s="12">
        <v>0.0</v>
      </c>
      <c r="AC14" s="11" t="s">
        <v>202</v>
      </c>
      <c r="AD14" s="12">
        <v>0.0</v>
      </c>
      <c r="AE14" s="13"/>
      <c r="AF14" s="5"/>
      <c r="AG14" s="13"/>
      <c r="AH14" s="5"/>
      <c r="AI14" s="11" t="s">
        <v>203</v>
      </c>
      <c r="AJ14" s="12">
        <v>0.0</v>
      </c>
      <c r="AK14" s="11" t="s">
        <v>204</v>
      </c>
      <c r="AL14" s="12">
        <v>0.0</v>
      </c>
      <c r="AM14" s="13"/>
      <c r="AN14" s="14"/>
      <c r="AO14" s="14"/>
      <c r="AP14" s="14"/>
      <c r="AQ14" s="11" t="s">
        <v>205</v>
      </c>
      <c r="AR14" s="12">
        <v>1.0</v>
      </c>
      <c r="AS14" s="14"/>
      <c r="AT14" s="14"/>
      <c r="AU14" s="11" t="s">
        <v>206</v>
      </c>
      <c r="AV14" s="12">
        <v>1.0</v>
      </c>
      <c r="AW14" s="14"/>
      <c r="AX14" s="14"/>
      <c r="AY14" s="14"/>
      <c r="AZ14" s="14"/>
      <c r="BA14" s="14"/>
      <c r="BB14" s="14"/>
    </row>
    <row r="15" ht="15.75" customHeight="1">
      <c r="A15" s="9">
        <v>1919.0</v>
      </c>
      <c r="B15" s="9" t="s">
        <v>32</v>
      </c>
      <c r="C15" s="9" t="str">
        <f t="shared" si="1"/>
        <v>51-TT-FR-003A_BS VI HSD</v>
      </c>
      <c r="D15" s="9" t="s">
        <v>207</v>
      </c>
      <c r="E15" s="9" t="s">
        <v>34</v>
      </c>
      <c r="F15" s="9" t="s">
        <v>35</v>
      </c>
      <c r="G15" s="10" t="s">
        <v>208</v>
      </c>
      <c r="H15" s="5"/>
      <c r="I15" s="11" t="s">
        <v>209</v>
      </c>
      <c r="J15" s="12">
        <v>0.0</v>
      </c>
      <c r="K15" s="11" t="s">
        <v>210</v>
      </c>
      <c r="L15" s="12">
        <v>0.0</v>
      </c>
      <c r="M15" s="11" t="s">
        <v>211</v>
      </c>
      <c r="N15" s="12">
        <v>0.0</v>
      </c>
      <c r="O15" s="11" t="s">
        <v>212</v>
      </c>
      <c r="P15" s="12">
        <v>0.0</v>
      </c>
      <c r="Q15" s="11" t="s">
        <v>213</v>
      </c>
      <c r="R15" s="12">
        <v>0.0</v>
      </c>
      <c r="S15" s="11" t="s">
        <v>214</v>
      </c>
      <c r="T15" s="12">
        <v>0.0</v>
      </c>
      <c r="U15" s="11" t="s">
        <v>215</v>
      </c>
      <c r="V15" s="12">
        <v>0.0</v>
      </c>
      <c r="W15" s="11" t="s">
        <v>216</v>
      </c>
      <c r="X15" s="12">
        <v>0.0</v>
      </c>
      <c r="Y15" s="11" t="s">
        <v>217</v>
      </c>
      <c r="Z15" s="12">
        <v>0.0</v>
      </c>
      <c r="AA15" s="11" t="s">
        <v>218</v>
      </c>
      <c r="AB15" s="12">
        <v>0.0</v>
      </c>
      <c r="AC15" s="11" t="s">
        <v>219</v>
      </c>
      <c r="AD15" s="12">
        <v>0.0</v>
      </c>
      <c r="AE15" s="13"/>
      <c r="AF15" s="5"/>
      <c r="AG15" s="13"/>
      <c r="AH15" s="5"/>
      <c r="AI15" s="11" t="s">
        <v>220</v>
      </c>
      <c r="AJ15" s="12">
        <v>0.0</v>
      </c>
      <c r="AK15" s="11" t="s">
        <v>221</v>
      </c>
      <c r="AL15" s="12">
        <v>0.0</v>
      </c>
      <c r="AM15" s="13"/>
      <c r="AN15" s="14"/>
      <c r="AO15" s="14"/>
      <c r="AP15" s="14"/>
      <c r="AQ15" s="11" t="s">
        <v>222</v>
      </c>
      <c r="AR15" s="12">
        <v>1.0</v>
      </c>
      <c r="AS15" s="14"/>
      <c r="AT15" s="14"/>
      <c r="AU15" s="11" t="s">
        <v>223</v>
      </c>
      <c r="AV15" s="12">
        <v>1.0</v>
      </c>
      <c r="AW15" s="14"/>
      <c r="AX15" s="14"/>
      <c r="AY15" s="14"/>
      <c r="AZ15" s="14"/>
      <c r="BA15" s="14"/>
      <c r="BB15" s="14"/>
    </row>
    <row r="16" ht="15.75" customHeight="1">
      <c r="A16" s="9">
        <v>1919.0</v>
      </c>
      <c r="B16" s="9" t="s">
        <v>32</v>
      </c>
      <c r="C16" s="9" t="str">
        <f t="shared" si="1"/>
        <v>51-TT-FR-003B_BS VI HSD</v>
      </c>
      <c r="D16" s="9" t="s">
        <v>224</v>
      </c>
      <c r="E16" s="9" t="s">
        <v>34</v>
      </c>
      <c r="F16" s="9" t="s">
        <v>35</v>
      </c>
      <c r="G16" s="10" t="s">
        <v>225</v>
      </c>
      <c r="H16" s="5"/>
      <c r="I16" s="11" t="s">
        <v>226</v>
      </c>
      <c r="J16" s="12">
        <v>0.0</v>
      </c>
      <c r="K16" s="11" t="s">
        <v>227</v>
      </c>
      <c r="L16" s="12">
        <v>0.0</v>
      </c>
      <c r="M16" s="11" t="s">
        <v>228</v>
      </c>
      <c r="N16" s="12">
        <v>0.0</v>
      </c>
      <c r="O16" s="11" t="s">
        <v>229</v>
      </c>
      <c r="P16" s="12">
        <v>0.0</v>
      </c>
      <c r="Q16" s="11" t="s">
        <v>230</v>
      </c>
      <c r="R16" s="12">
        <v>0.0</v>
      </c>
      <c r="S16" s="11" t="s">
        <v>231</v>
      </c>
      <c r="T16" s="12">
        <v>0.0</v>
      </c>
      <c r="U16" s="11" t="s">
        <v>232</v>
      </c>
      <c r="V16" s="12">
        <v>0.0</v>
      </c>
      <c r="W16" s="11" t="s">
        <v>233</v>
      </c>
      <c r="X16" s="12">
        <v>0.0</v>
      </c>
      <c r="Y16" s="11" t="s">
        <v>234</v>
      </c>
      <c r="Z16" s="12">
        <v>0.0</v>
      </c>
      <c r="AA16" s="11" t="s">
        <v>235</v>
      </c>
      <c r="AB16" s="12">
        <v>0.0</v>
      </c>
      <c r="AC16" s="11" t="s">
        <v>236</v>
      </c>
      <c r="AD16" s="12">
        <v>0.0</v>
      </c>
      <c r="AE16" s="13"/>
      <c r="AF16" s="5"/>
      <c r="AG16" s="13"/>
      <c r="AH16" s="5"/>
      <c r="AI16" s="11" t="s">
        <v>237</v>
      </c>
      <c r="AJ16" s="12">
        <v>0.0</v>
      </c>
      <c r="AK16" s="11" t="s">
        <v>238</v>
      </c>
      <c r="AL16" s="12">
        <v>0.0</v>
      </c>
      <c r="AM16" s="13"/>
      <c r="AN16" s="14"/>
      <c r="AO16" s="14"/>
      <c r="AP16" s="14"/>
      <c r="AQ16" s="11" t="s">
        <v>239</v>
      </c>
      <c r="AR16" s="12">
        <v>1.0</v>
      </c>
      <c r="AS16" s="14"/>
      <c r="AT16" s="14"/>
      <c r="AU16" s="11" t="s">
        <v>240</v>
      </c>
      <c r="AV16" s="12">
        <v>1.0</v>
      </c>
      <c r="AW16" s="14"/>
      <c r="AX16" s="14"/>
      <c r="AY16" s="14"/>
      <c r="AZ16" s="14"/>
      <c r="BA16" s="14"/>
      <c r="BB16" s="14"/>
    </row>
    <row r="17" ht="15.75" customHeight="1">
      <c r="A17" s="9">
        <v>1919.0</v>
      </c>
      <c r="B17" s="9" t="s">
        <v>32</v>
      </c>
      <c r="C17" s="9" t="str">
        <f t="shared" si="1"/>
        <v>51-TT-FR-003C_ETHANOL</v>
      </c>
      <c r="D17" s="9" t="s">
        <v>241</v>
      </c>
      <c r="E17" s="9" t="s">
        <v>34</v>
      </c>
      <c r="F17" s="9" t="s">
        <v>53</v>
      </c>
      <c r="G17" s="10" t="s">
        <v>242</v>
      </c>
      <c r="H17" s="5"/>
      <c r="I17" s="11" t="s">
        <v>243</v>
      </c>
      <c r="J17" s="12">
        <v>0.0</v>
      </c>
      <c r="K17" s="11" t="s">
        <v>244</v>
      </c>
      <c r="L17" s="12">
        <v>0.0</v>
      </c>
      <c r="M17" s="11" t="s">
        <v>245</v>
      </c>
      <c r="N17" s="12">
        <v>0.0</v>
      </c>
      <c r="O17" s="11" t="s">
        <v>246</v>
      </c>
      <c r="P17" s="12">
        <v>0.0</v>
      </c>
      <c r="Q17" s="11" t="s">
        <v>247</v>
      </c>
      <c r="R17" s="12">
        <v>0.0</v>
      </c>
      <c r="S17" s="11" t="s">
        <v>248</v>
      </c>
      <c r="T17" s="12">
        <v>0.0</v>
      </c>
      <c r="U17" s="11" t="s">
        <v>249</v>
      </c>
      <c r="V17" s="12">
        <v>0.0</v>
      </c>
      <c r="W17" s="11" t="s">
        <v>250</v>
      </c>
      <c r="X17" s="12">
        <v>0.0</v>
      </c>
      <c r="Y17" s="11" t="s">
        <v>251</v>
      </c>
      <c r="Z17" s="12">
        <v>0.0</v>
      </c>
      <c r="AA17" s="11" t="s">
        <v>252</v>
      </c>
      <c r="AB17" s="12">
        <v>0.0</v>
      </c>
      <c r="AC17" s="11" t="s">
        <v>253</v>
      </c>
      <c r="AD17" s="12">
        <v>0.0</v>
      </c>
      <c r="AE17" s="13"/>
      <c r="AF17" s="5"/>
      <c r="AG17" s="13"/>
      <c r="AH17" s="5"/>
      <c r="AI17" s="11" t="s">
        <v>254</v>
      </c>
      <c r="AJ17" s="12">
        <v>0.0</v>
      </c>
      <c r="AK17" s="11" t="s">
        <v>255</v>
      </c>
      <c r="AL17" s="12">
        <v>0.0</v>
      </c>
      <c r="AM17" s="13"/>
      <c r="AN17" s="14"/>
      <c r="AO17" s="14"/>
      <c r="AP17" s="14"/>
      <c r="AQ17" s="11" t="s">
        <v>256</v>
      </c>
      <c r="AR17" s="12">
        <v>1.0</v>
      </c>
      <c r="AS17" s="14"/>
      <c r="AT17" s="14"/>
      <c r="AU17" s="11" t="s">
        <v>257</v>
      </c>
      <c r="AV17" s="12">
        <v>1.0</v>
      </c>
      <c r="AW17" s="14"/>
      <c r="AX17" s="14"/>
      <c r="AY17" s="11" t="s">
        <v>258</v>
      </c>
      <c r="AZ17" s="12">
        <v>0.0</v>
      </c>
      <c r="BA17" s="11" t="s">
        <v>259</v>
      </c>
      <c r="BB17" s="12">
        <v>0.0</v>
      </c>
    </row>
    <row r="18" ht="15.75" customHeight="1">
      <c r="A18" s="9">
        <v>1919.0</v>
      </c>
      <c r="B18" s="9" t="s">
        <v>32</v>
      </c>
      <c r="C18" s="9" t="str">
        <f t="shared" si="1"/>
        <v>51-TT-FR-003E_BS VI HSD</v>
      </c>
      <c r="D18" s="9" t="s">
        <v>260</v>
      </c>
      <c r="E18" s="9" t="s">
        <v>34</v>
      </c>
      <c r="F18" s="9" t="s">
        <v>35</v>
      </c>
      <c r="G18" s="10" t="s">
        <v>261</v>
      </c>
      <c r="H18" s="5"/>
      <c r="I18" s="11" t="s">
        <v>262</v>
      </c>
      <c r="J18" s="12">
        <v>0.0</v>
      </c>
      <c r="K18" s="11" t="s">
        <v>263</v>
      </c>
      <c r="L18" s="12">
        <v>0.0</v>
      </c>
      <c r="M18" s="11" t="s">
        <v>264</v>
      </c>
      <c r="N18" s="12">
        <v>0.0</v>
      </c>
      <c r="O18" s="11" t="s">
        <v>265</v>
      </c>
      <c r="P18" s="12">
        <v>0.0</v>
      </c>
      <c r="Q18" s="11" t="s">
        <v>266</v>
      </c>
      <c r="R18" s="12">
        <v>0.0</v>
      </c>
      <c r="S18" s="11" t="s">
        <v>267</v>
      </c>
      <c r="T18" s="12">
        <v>0.0</v>
      </c>
      <c r="U18" s="11" t="s">
        <v>268</v>
      </c>
      <c r="V18" s="12">
        <v>0.0</v>
      </c>
      <c r="W18" s="11" t="s">
        <v>269</v>
      </c>
      <c r="X18" s="12">
        <v>0.0</v>
      </c>
      <c r="Y18" s="11" t="s">
        <v>270</v>
      </c>
      <c r="Z18" s="12">
        <v>0.0</v>
      </c>
      <c r="AA18" s="11" t="s">
        <v>271</v>
      </c>
      <c r="AB18" s="12">
        <v>0.0</v>
      </c>
      <c r="AC18" s="11" t="s">
        <v>272</v>
      </c>
      <c r="AD18" s="12">
        <v>0.0</v>
      </c>
      <c r="AE18" s="13"/>
      <c r="AF18" s="5"/>
      <c r="AG18" s="13"/>
      <c r="AH18" s="5"/>
      <c r="AI18" s="11" t="s">
        <v>273</v>
      </c>
      <c r="AJ18" s="12">
        <v>0.0</v>
      </c>
      <c r="AK18" s="11" t="s">
        <v>274</v>
      </c>
      <c r="AL18" s="12">
        <v>0.0</v>
      </c>
      <c r="AM18" s="13"/>
      <c r="AN18" s="14"/>
      <c r="AO18" s="14"/>
      <c r="AP18" s="14"/>
      <c r="AQ18" s="11" t="s">
        <v>275</v>
      </c>
      <c r="AR18" s="12">
        <v>1.0</v>
      </c>
      <c r="AS18" s="14"/>
      <c r="AT18" s="14"/>
      <c r="AU18" s="11" t="s">
        <v>276</v>
      </c>
      <c r="AV18" s="12">
        <v>1.0</v>
      </c>
      <c r="AW18" s="14"/>
      <c r="AX18" s="14"/>
      <c r="AY18" s="14"/>
      <c r="AZ18" s="14"/>
      <c r="BA18" s="14"/>
      <c r="BB18" s="14"/>
    </row>
    <row r="19" ht="15.75" customHeight="1">
      <c r="A19" s="9">
        <v>1919.0</v>
      </c>
      <c r="B19" s="9" t="s">
        <v>32</v>
      </c>
      <c r="C19" s="9" t="str">
        <f t="shared" si="1"/>
        <v>51-TT-FR-004A_ATF</v>
      </c>
      <c r="D19" s="9" t="s">
        <v>277</v>
      </c>
      <c r="E19" s="9" t="s">
        <v>34</v>
      </c>
      <c r="F19" s="9" t="s">
        <v>278</v>
      </c>
      <c r="G19" s="10" t="s">
        <v>279</v>
      </c>
      <c r="H19" s="5"/>
      <c r="I19" s="11" t="s">
        <v>280</v>
      </c>
      <c r="J19" s="12">
        <v>0.0</v>
      </c>
      <c r="K19" s="11" t="s">
        <v>281</v>
      </c>
      <c r="L19" s="12">
        <v>0.0</v>
      </c>
      <c r="M19" s="11" t="s">
        <v>282</v>
      </c>
      <c r="N19" s="12">
        <v>0.0</v>
      </c>
      <c r="O19" s="11" t="s">
        <v>283</v>
      </c>
      <c r="P19" s="12">
        <v>0.0</v>
      </c>
      <c r="Q19" s="11" t="s">
        <v>284</v>
      </c>
      <c r="R19" s="12">
        <v>0.0</v>
      </c>
      <c r="S19" s="11" t="s">
        <v>285</v>
      </c>
      <c r="T19" s="12">
        <v>0.0</v>
      </c>
      <c r="U19" s="11" t="s">
        <v>286</v>
      </c>
      <c r="V19" s="12">
        <v>0.0</v>
      </c>
      <c r="W19" s="11" t="s">
        <v>287</v>
      </c>
      <c r="X19" s="12">
        <v>0.0</v>
      </c>
      <c r="Y19" s="11" t="s">
        <v>288</v>
      </c>
      <c r="Z19" s="12">
        <v>0.0</v>
      </c>
      <c r="AA19" s="11" t="s">
        <v>289</v>
      </c>
      <c r="AB19" s="12">
        <v>0.0</v>
      </c>
      <c r="AC19" s="11" t="s">
        <v>290</v>
      </c>
      <c r="AD19" s="12">
        <v>0.0</v>
      </c>
      <c r="AE19" s="13"/>
      <c r="AF19" s="5"/>
      <c r="AG19" s="13"/>
      <c r="AH19" s="5"/>
      <c r="AI19" s="11" t="s">
        <v>291</v>
      </c>
      <c r="AJ19" s="12">
        <v>0.0</v>
      </c>
      <c r="AK19" s="11" t="s">
        <v>292</v>
      </c>
      <c r="AL19" s="12">
        <v>0.0</v>
      </c>
      <c r="AM19" s="13"/>
      <c r="AN19" s="14"/>
      <c r="AO19" s="14"/>
      <c r="AP19" s="14"/>
      <c r="AQ19" s="11" t="s">
        <v>293</v>
      </c>
      <c r="AR19" s="12">
        <v>1.0</v>
      </c>
      <c r="AS19" s="14"/>
      <c r="AT19" s="14"/>
      <c r="AU19" s="11" t="s">
        <v>294</v>
      </c>
      <c r="AV19" s="12">
        <v>1.0</v>
      </c>
      <c r="AW19" s="14"/>
      <c r="AX19" s="14"/>
      <c r="AY19" s="14"/>
      <c r="AZ19" s="14"/>
      <c r="BA19" s="14"/>
      <c r="BB19" s="14"/>
    </row>
    <row r="20" ht="15.75" customHeight="1">
      <c r="A20" s="9">
        <v>1919.0</v>
      </c>
      <c r="B20" s="9" t="s">
        <v>32</v>
      </c>
      <c r="C20" s="9" t="str">
        <f t="shared" si="1"/>
        <v>51-TT-FR-004B_ATF</v>
      </c>
      <c r="D20" s="9" t="s">
        <v>295</v>
      </c>
      <c r="E20" s="9" t="s">
        <v>34</v>
      </c>
      <c r="F20" s="9" t="s">
        <v>278</v>
      </c>
      <c r="G20" s="10" t="s">
        <v>296</v>
      </c>
      <c r="H20" s="5"/>
      <c r="I20" s="11" t="s">
        <v>297</v>
      </c>
      <c r="J20" s="12">
        <v>0.0</v>
      </c>
      <c r="K20" s="11" t="s">
        <v>298</v>
      </c>
      <c r="L20" s="12">
        <v>0.0</v>
      </c>
      <c r="M20" s="11" t="s">
        <v>299</v>
      </c>
      <c r="N20" s="12">
        <v>0.0</v>
      </c>
      <c r="O20" s="11" t="s">
        <v>300</v>
      </c>
      <c r="P20" s="12">
        <v>0.0</v>
      </c>
      <c r="Q20" s="11" t="s">
        <v>301</v>
      </c>
      <c r="R20" s="12">
        <v>0.0</v>
      </c>
      <c r="S20" s="11" t="s">
        <v>302</v>
      </c>
      <c r="T20" s="12">
        <v>0.0</v>
      </c>
      <c r="U20" s="11" t="s">
        <v>303</v>
      </c>
      <c r="V20" s="12">
        <v>0.0</v>
      </c>
      <c r="W20" s="11" t="s">
        <v>304</v>
      </c>
      <c r="X20" s="12">
        <v>0.0</v>
      </c>
      <c r="Y20" s="11" t="s">
        <v>305</v>
      </c>
      <c r="Z20" s="12">
        <v>0.0</v>
      </c>
      <c r="AA20" s="11" t="s">
        <v>306</v>
      </c>
      <c r="AB20" s="12">
        <v>0.0</v>
      </c>
      <c r="AC20" s="11" t="s">
        <v>307</v>
      </c>
      <c r="AD20" s="12">
        <v>0.0</v>
      </c>
      <c r="AE20" s="13"/>
      <c r="AF20" s="5"/>
      <c r="AG20" s="13"/>
      <c r="AH20" s="5"/>
      <c r="AI20" s="11" t="s">
        <v>308</v>
      </c>
      <c r="AJ20" s="12">
        <v>0.0</v>
      </c>
      <c r="AK20" s="11" t="s">
        <v>309</v>
      </c>
      <c r="AL20" s="12">
        <v>0.0</v>
      </c>
      <c r="AM20" s="13"/>
      <c r="AN20" s="14"/>
      <c r="AO20" s="14"/>
      <c r="AP20" s="14"/>
      <c r="AQ20" s="11" t="s">
        <v>310</v>
      </c>
      <c r="AR20" s="12">
        <v>1.0</v>
      </c>
      <c r="AS20" s="14"/>
      <c r="AT20" s="14"/>
      <c r="AU20" s="11" t="s">
        <v>311</v>
      </c>
      <c r="AV20" s="12">
        <v>1.0</v>
      </c>
      <c r="AW20" s="14"/>
      <c r="AX20" s="14"/>
      <c r="AY20" s="14"/>
      <c r="AZ20" s="14"/>
      <c r="BA20" s="14"/>
      <c r="BB20" s="14"/>
    </row>
    <row r="21" ht="15.75" customHeight="1">
      <c r="A21" s="9">
        <v>1919.0</v>
      </c>
      <c r="B21" s="9" t="s">
        <v>32</v>
      </c>
      <c r="C21" s="9" t="str">
        <f t="shared" si="1"/>
        <v>51-TT-FR-004C_BS VI MS</v>
      </c>
      <c r="D21" s="9" t="s">
        <v>312</v>
      </c>
      <c r="E21" s="9" t="s">
        <v>34</v>
      </c>
      <c r="F21" s="9" t="s">
        <v>99</v>
      </c>
      <c r="G21" s="10" t="s">
        <v>313</v>
      </c>
      <c r="H21" s="5"/>
      <c r="I21" s="11" t="s">
        <v>314</v>
      </c>
      <c r="J21" s="12">
        <v>0.0</v>
      </c>
      <c r="K21" s="11" t="s">
        <v>315</v>
      </c>
      <c r="L21" s="12">
        <v>0.0</v>
      </c>
      <c r="M21" s="11" t="s">
        <v>316</v>
      </c>
      <c r="N21" s="12">
        <v>0.0</v>
      </c>
      <c r="O21" s="11" t="s">
        <v>317</v>
      </c>
      <c r="P21" s="12">
        <v>0.0</v>
      </c>
      <c r="Q21" s="11" t="s">
        <v>318</v>
      </c>
      <c r="R21" s="12">
        <v>0.0</v>
      </c>
      <c r="S21" s="11" t="s">
        <v>319</v>
      </c>
      <c r="T21" s="12">
        <v>0.0</v>
      </c>
      <c r="U21" s="11" t="s">
        <v>320</v>
      </c>
      <c r="V21" s="12">
        <v>0.0</v>
      </c>
      <c r="W21" s="11" t="s">
        <v>321</v>
      </c>
      <c r="X21" s="12">
        <v>0.0</v>
      </c>
      <c r="Y21" s="11" t="s">
        <v>322</v>
      </c>
      <c r="Z21" s="12">
        <v>0.0</v>
      </c>
      <c r="AA21" s="11" t="s">
        <v>323</v>
      </c>
      <c r="AB21" s="12">
        <v>0.0</v>
      </c>
      <c r="AC21" s="11" t="s">
        <v>324</v>
      </c>
      <c r="AD21" s="12">
        <v>0.0</v>
      </c>
      <c r="AE21" s="13"/>
      <c r="AF21" s="5"/>
      <c r="AG21" s="13"/>
      <c r="AH21" s="5"/>
      <c r="AI21" s="11" t="s">
        <v>325</v>
      </c>
      <c r="AJ21" s="12">
        <v>0.0</v>
      </c>
      <c r="AK21" s="11" t="s">
        <v>326</v>
      </c>
      <c r="AL21" s="12">
        <v>0.0</v>
      </c>
      <c r="AM21" s="13"/>
      <c r="AN21" s="14"/>
      <c r="AO21" s="14"/>
      <c r="AP21" s="14"/>
      <c r="AQ21" s="11" t="s">
        <v>327</v>
      </c>
      <c r="AR21" s="12">
        <v>1.0</v>
      </c>
      <c r="AS21" s="14"/>
      <c r="AT21" s="14"/>
      <c r="AU21" s="11" t="s">
        <v>328</v>
      </c>
      <c r="AV21" s="12">
        <v>1.0</v>
      </c>
      <c r="AW21" s="14"/>
      <c r="AX21" s="14"/>
      <c r="AY21" s="11" t="s">
        <v>329</v>
      </c>
      <c r="AZ21" s="12">
        <v>0.0</v>
      </c>
      <c r="BA21" s="11" t="s">
        <v>330</v>
      </c>
      <c r="BB21" s="12">
        <v>0.0</v>
      </c>
    </row>
    <row r="22" ht="15.75" customHeight="1">
      <c r="A22" s="9">
        <v>1919.0</v>
      </c>
      <c r="B22" s="9" t="s">
        <v>32</v>
      </c>
      <c r="C22" s="9" t="str">
        <f t="shared" si="1"/>
        <v>51-TT-FR-005C_ETHANOL</v>
      </c>
      <c r="D22" s="9" t="s">
        <v>331</v>
      </c>
      <c r="E22" s="9" t="s">
        <v>34</v>
      </c>
      <c r="F22" s="9" t="s">
        <v>53</v>
      </c>
      <c r="G22" s="10" t="s">
        <v>332</v>
      </c>
      <c r="H22" s="5"/>
      <c r="I22" s="11" t="s">
        <v>333</v>
      </c>
      <c r="J22" s="12">
        <v>0.0</v>
      </c>
      <c r="K22" s="11" t="s">
        <v>334</v>
      </c>
      <c r="L22" s="12">
        <v>0.0</v>
      </c>
      <c r="M22" s="11" t="s">
        <v>335</v>
      </c>
      <c r="N22" s="12">
        <v>0.0</v>
      </c>
      <c r="O22" s="11" t="s">
        <v>336</v>
      </c>
      <c r="P22" s="12">
        <v>0.0</v>
      </c>
      <c r="Q22" s="11" t="s">
        <v>337</v>
      </c>
      <c r="R22" s="12">
        <v>0.0</v>
      </c>
      <c r="S22" s="11" t="s">
        <v>338</v>
      </c>
      <c r="T22" s="12">
        <v>0.0</v>
      </c>
      <c r="U22" s="11" t="s">
        <v>339</v>
      </c>
      <c r="V22" s="12">
        <v>0.0</v>
      </c>
      <c r="W22" s="11" t="s">
        <v>340</v>
      </c>
      <c r="X22" s="12">
        <v>0.0</v>
      </c>
      <c r="Y22" s="11" t="s">
        <v>341</v>
      </c>
      <c r="Z22" s="12">
        <v>0.0</v>
      </c>
      <c r="AA22" s="11" t="s">
        <v>342</v>
      </c>
      <c r="AB22" s="12">
        <v>0.0</v>
      </c>
      <c r="AC22" s="11" t="s">
        <v>343</v>
      </c>
      <c r="AD22" s="12">
        <v>0.0</v>
      </c>
      <c r="AE22" s="13"/>
      <c r="AF22" s="5"/>
      <c r="AG22" s="13"/>
      <c r="AH22" s="5"/>
      <c r="AI22" s="11" t="s">
        <v>344</v>
      </c>
      <c r="AJ22" s="12">
        <v>0.0</v>
      </c>
      <c r="AK22" s="11" t="s">
        <v>345</v>
      </c>
      <c r="AL22" s="12">
        <v>0.0</v>
      </c>
      <c r="AM22" s="13"/>
      <c r="AN22" s="14"/>
      <c r="AO22" s="14"/>
      <c r="AP22" s="14"/>
      <c r="AQ22" s="11" t="s">
        <v>346</v>
      </c>
      <c r="AR22" s="12">
        <v>1.0</v>
      </c>
      <c r="AS22" s="14"/>
      <c r="AT22" s="14"/>
      <c r="AU22" s="11" t="s">
        <v>347</v>
      </c>
      <c r="AV22" s="12">
        <v>1.0</v>
      </c>
      <c r="AW22" s="14"/>
      <c r="AX22" s="14"/>
      <c r="AY22" s="14"/>
      <c r="AZ22" s="14"/>
      <c r="BA22" s="14"/>
      <c r="BB22" s="14"/>
    </row>
    <row r="23" ht="15.75" customHeight="1">
      <c r="A23" s="9">
        <v>1919.0</v>
      </c>
      <c r="B23" s="9" t="s">
        <v>32</v>
      </c>
      <c r="C23" s="9" t="str">
        <f t="shared" si="1"/>
        <v>51-TT-UG-0001_BS VI MS</v>
      </c>
      <c r="D23" s="9" t="s">
        <v>348</v>
      </c>
      <c r="E23" s="9" t="s">
        <v>349</v>
      </c>
      <c r="F23" s="9" t="s">
        <v>99</v>
      </c>
      <c r="G23" s="10" t="s">
        <v>350</v>
      </c>
      <c r="H23" s="5"/>
      <c r="I23" s="11" t="s">
        <v>351</v>
      </c>
      <c r="J23" s="12">
        <v>0.0</v>
      </c>
      <c r="K23" s="11" t="s">
        <v>352</v>
      </c>
      <c r="L23" s="12">
        <v>0.0</v>
      </c>
      <c r="M23" s="11" t="s">
        <v>353</v>
      </c>
      <c r="N23" s="12">
        <v>0.0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3"/>
      <c r="AD23" s="5"/>
      <c r="AE23" s="13"/>
      <c r="AF23" s="5"/>
      <c r="AG23" s="13"/>
      <c r="AH23" s="5"/>
      <c r="AI23" s="13"/>
      <c r="AJ23" s="5"/>
      <c r="AK23" s="13"/>
      <c r="AL23" s="5"/>
      <c r="AM23" s="13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ht="15.75" customHeight="1">
      <c r="A24" s="9">
        <v>1919.0</v>
      </c>
      <c r="B24" s="9" t="s">
        <v>32</v>
      </c>
      <c r="C24" s="9" t="str">
        <f t="shared" si="1"/>
        <v>51-TT-UG-0002_SKO</v>
      </c>
      <c r="D24" s="9" t="s">
        <v>354</v>
      </c>
      <c r="E24" s="9" t="s">
        <v>349</v>
      </c>
      <c r="F24" s="9" t="s">
        <v>173</v>
      </c>
      <c r="G24" s="10" t="s">
        <v>355</v>
      </c>
      <c r="H24" s="5"/>
      <c r="I24" s="11" t="s">
        <v>356</v>
      </c>
      <c r="J24" s="12">
        <v>0.0</v>
      </c>
      <c r="K24" s="11" t="s">
        <v>357</v>
      </c>
      <c r="L24" s="12">
        <v>0.0</v>
      </c>
      <c r="M24" s="11" t="s">
        <v>358</v>
      </c>
      <c r="N24" s="12">
        <v>0.0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3"/>
      <c r="AD24" s="5"/>
      <c r="AE24" s="13"/>
      <c r="AF24" s="5"/>
      <c r="AG24" s="13"/>
      <c r="AH24" s="5"/>
      <c r="AI24" s="13"/>
      <c r="AJ24" s="5"/>
      <c r="AK24" s="5"/>
      <c r="AL24" s="5"/>
      <c r="AM24" s="13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ht="15.75" customHeight="1">
      <c r="A25" s="9">
        <v>1919.0</v>
      </c>
      <c r="B25" s="9" t="s">
        <v>32</v>
      </c>
      <c r="C25" s="9" t="str">
        <f t="shared" si="1"/>
        <v>51-TT-UG-0003_BS VI HSD</v>
      </c>
      <c r="D25" s="9" t="s">
        <v>359</v>
      </c>
      <c r="E25" s="9" t="s">
        <v>349</v>
      </c>
      <c r="F25" s="9" t="s">
        <v>35</v>
      </c>
      <c r="G25" s="10" t="s">
        <v>360</v>
      </c>
      <c r="H25" s="5"/>
      <c r="I25" s="11" t="s">
        <v>361</v>
      </c>
      <c r="J25" s="12">
        <v>0.0</v>
      </c>
      <c r="K25" s="11" t="s">
        <v>362</v>
      </c>
      <c r="L25" s="12">
        <v>0.0</v>
      </c>
      <c r="M25" s="11" t="s">
        <v>363</v>
      </c>
      <c r="N25" s="12">
        <v>0.0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13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</row>
    <row r="26" ht="15.75" customHeight="1">
      <c r="A26" s="9">
        <v>1919.0</v>
      </c>
      <c r="B26" s="9" t="s">
        <v>32</v>
      </c>
      <c r="C26" s="9" t="str">
        <f t="shared" si="1"/>
        <v>51-TT-UG-0010_ETHANOL</v>
      </c>
      <c r="D26" s="9" t="s">
        <v>364</v>
      </c>
      <c r="E26" s="9" t="s">
        <v>349</v>
      </c>
      <c r="F26" s="9" t="s">
        <v>53</v>
      </c>
      <c r="G26" s="10" t="s">
        <v>365</v>
      </c>
      <c r="H26" s="5"/>
      <c r="I26" s="11" t="s">
        <v>366</v>
      </c>
      <c r="J26" s="12">
        <v>0.0</v>
      </c>
      <c r="K26" s="11" t="s">
        <v>367</v>
      </c>
      <c r="L26" s="12">
        <v>0.0</v>
      </c>
      <c r="M26" s="11" t="s">
        <v>368</v>
      </c>
      <c r="N26" s="12">
        <v>0.0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13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</row>
    <row r="27" ht="15.75" customHeight="1">
      <c r="A27" s="9">
        <v>1919.0</v>
      </c>
      <c r="B27" s="9" t="s">
        <v>32</v>
      </c>
      <c r="C27" s="9" t="str">
        <f t="shared" si="1"/>
        <v>51-TT-UG-0013_ETHANOL</v>
      </c>
      <c r="D27" s="9" t="s">
        <v>369</v>
      </c>
      <c r="E27" s="9" t="s">
        <v>349</v>
      </c>
      <c r="F27" s="9" t="s">
        <v>53</v>
      </c>
      <c r="G27" s="10" t="s">
        <v>370</v>
      </c>
      <c r="H27" s="5"/>
      <c r="I27" s="11" t="s">
        <v>371</v>
      </c>
      <c r="J27" s="12">
        <v>0.0</v>
      </c>
      <c r="K27" s="11" t="s">
        <v>372</v>
      </c>
      <c r="L27" s="12">
        <v>0.0</v>
      </c>
      <c r="M27" s="11" t="s">
        <v>373</v>
      </c>
      <c r="N27" s="12">
        <v>0.0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13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</row>
    <row r="28" ht="15.75" customHeight="1">
      <c r="A28" s="9">
        <v>1919.0</v>
      </c>
      <c r="B28" s="9" t="s">
        <v>32</v>
      </c>
      <c r="C28" s="9" t="str">
        <f t="shared" si="1"/>
        <v>51-TT-UG-0014_BIO HSD</v>
      </c>
      <c r="D28" s="9" t="s">
        <v>374</v>
      </c>
      <c r="E28" s="9" t="s">
        <v>349</v>
      </c>
      <c r="F28" s="9" t="s">
        <v>375</v>
      </c>
      <c r="G28" s="10" t="s">
        <v>376</v>
      </c>
      <c r="H28" s="5"/>
      <c r="I28" s="11" t="s">
        <v>377</v>
      </c>
      <c r="J28" s="12">
        <v>0.0</v>
      </c>
      <c r="K28" s="11" t="s">
        <v>378</v>
      </c>
      <c r="L28" s="12">
        <v>0.0</v>
      </c>
      <c r="M28" s="11" t="s">
        <v>379</v>
      </c>
      <c r="N28" s="12">
        <v>0.0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</row>
    <row r="29" ht="15.75" customHeight="1">
      <c r="A29" s="9">
        <v>1919.0</v>
      </c>
      <c r="B29" s="9" t="s">
        <v>32</v>
      </c>
      <c r="C29" s="9" t="str">
        <f t="shared" si="1"/>
        <v>51-TT-UG-0015_BIO HSD</v>
      </c>
      <c r="D29" s="9" t="s">
        <v>380</v>
      </c>
      <c r="E29" s="9" t="s">
        <v>349</v>
      </c>
      <c r="F29" s="9" t="s">
        <v>375</v>
      </c>
      <c r="G29" s="10" t="s">
        <v>381</v>
      </c>
      <c r="H29" s="5"/>
      <c r="I29" s="11" t="s">
        <v>382</v>
      </c>
      <c r="J29" s="12">
        <v>0.0</v>
      </c>
      <c r="K29" s="11" t="s">
        <v>383</v>
      </c>
      <c r="L29" s="12">
        <v>0.0</v>
      </c>
      <c r="M29" s="11" t="s">
        <v>384</v>
      </c>
      <c r="N29" s="12">
        <v>0.0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</row>
    <row r="30" ht="15.75" customHeight="1">
      <c r="A30" s="9">
        <v>1919.0</v>
      </c>
      <c r="B30" s="9" t="s">
        <v>32</v>
      </c>
      <c r="C30" s="9" t="str">
        <f t="shared" si="1"/>
        <v>51-TT-UG-SLOP_SLOP</v>
      </c>
      <c r="D30" s="9" t="s">
        <v>385</v>
      </c>
      <c r="E30" s="9" t="s">
        <v>349</v>
      </c>
      <c r="F30" s="9" t="s">
        <v>386</v>
      </c>
      <c r="G30" s="5"/>
      <c r="H30" s="5"/>
      <c r="I30" s="5"/>
      <c r="J30" s="14"/>
      <c r="K30" s="5"/>
      <c r="L30" s="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</row>
    <row r="31" ht="15.75" customHeight="1">
      <c r="A31" s="9">
        <v>1919.0</v>
      </c>
      <c r="B31" s="9" t="s">
        <v>32</v>
      </c>
      <c r="C31" s="9" t="str">
        <f t="shared" si="1"/>
        <v>DBBV_BS VI MS</v>
      </c>
      <c r="D31" s="9" t="s">
        <v>387</v>
      </c>
      <c r="E31" s="9" t="s">
        <v>388</v>
      </c>
      <c r="F31" s="9" t="s">
        <v>99</v>
      </c>
      <c r="G31" s="5"/>
      <c r="H31" s="5"/>
      <c r="I31" s="5"/>
      <c r="J31" s="14"/>
      <c r="K31" s="5"/>
      <c r="L31" s="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14"/>
      <c r="AO31" s="14"/>
      <c r="AP31" s="14"/>
      <c r="AQ31" s="11" t="s">
        <v>389</v>
      </c>
      <c r="AR31" s="12">
        <v>1.0</v>
      </c>
      <c r="AS31" s="14"/>
      <c r="AT31" s="14"/>
      <c r="AU31" s="14"/>
      <c r="AV31" s="14"/>
      <c r="AW31" s="14"/>
      <c r="AX31" s="14"/>
      <c r="AY31" s="14"/>
      <c r="AZ31" s="14"/>
      <c r="BA31" s="14"/>
      <c r="BB31" s="14"/>
    </row>
    <row r="32" ht="15.75" customHeight="1">
      <c r="A32" s="9">
        <v>1919.0</v>
      </c>
      <c r="B32" s="9" t="s">
        <v>32</v>
      </c>
      <c r="C32" s="9" t="str">
        <f t="shared" si="1"/>
        <v>DBBV_SKO</v>
      </c>
      <c r="D32" s="9" t="s">
        <v>387</v>
      </c>
      <c r="E32" s="9" t="s">
        <v>388</v>
      </c>
      <c r="F32" s="9" t="s">
        <v>173</v>
      </c>
      <c r="G32" s="5"/>
      <c r="H32" s="5"/>
      <c r="I32" s="5"/>
      <c r="J32" s="14"/>
      <c r="K32" s="5"/>
      <c r="L32" s="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14"/>
      <c r="AO32" s="14"/>
      <c r="AP32" s="14"/>
      <c r="AQ32" s="11" t="s">
        <v>390</v>
      </c>
      <c r="AR32" s="12">
        <v>1.0</v>
      </c>
      <c r="AS32" s="14"/>
      <c r="AT32" s="14"/>
      <c r="AU32" s="14"/>
      <c r="AV32" s="14"/>
      <c r="AW32" s="14"/>
      <c r="AX32" s="14"/>
      <c r="AY32" s="14"/>
      <c r="AZ32" s="14"/>
      <c r="BA32" s="14"/>
      <c r="BB32" s="14"/>
    </row>
    <row r="33" ht="15.75" customHeight="1">
      <c r="A33" s="9">
        <v>1919.0</v>
      </c>
      <c r="B33" s="9" t="s">
        <v>32</v>
      </c>
      <c r="C33" s="15" t="s">
        <v>391</v>
      </c>
      <c r="D33" s="9" t="s">
        <v>387</v>
      </c>
      <c r="E33" s="9" t="s">
        <v>388</v>
      </c>
      <c r="F33" s="9" t="s">
        <v>35</v>
      </c>
      <c r="G33" s="5"/>
      <c r="H33" s="5"/>
      <c r="I33" s="5"/>
      <c r="J33" s="14"/>
      <c r="K33" s="5"/>
      <c r="L33" s="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14"/>
      <c r="AO33" s="14"/>
      <c r="AP33" s="14"/>
      <c r="AQ33" s="11" t="s">
        <v>392</v>
      </c>
      <c r="AR33" s="12">
        <v>1.0</v>
      </c>
      <c r="AS33" s="14"/>
      <c r="AT33" s="14"/>
      <c r="AU33" s="14"/>
      <c r="AV33" s="14"/>
      <c r="AW33" s="14"/>
      <c r="AX33" s="14"/>
      <c r="AY33" s="14"/>
      <c r="AZ33" s="14"/>
      <c r="BA33" s="14"/>
      <c r="BB33" s="14"/>
    </row>
    <row r="34" ht="15.75" customHeight="1">
      <c r="A34" s="9">
        <v>1919.0</v>
      </c>
      <c r="B34" s="9" t="s">
        <v>32</v>
      </c>
      <c r="C34" s="15" t="s">
        <v>393</v>
      </c>
      <c r="D34" s="9" t="s">
        <v>387</v>
      </c>
      <c r="E34" s="9" t="s">
        <v>388</v>
      </c>
      <c r="F34" s="9" t="s">
        <v>35</v>
      </c>
      <c r="G34" s="5"/>
      <c r="H34" s="5"/>
      <c r="I34" s="5"/>
      <c r="J34" s="14"/>
      <c r="K34" s="5"/>
      <c r="L34" s="5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14"/>
      <c r="AO34" s="14"/>
      <c r="AP34" s="14"/>
      <c r="AQ34" s="11" t="s">
        <v>394</v>
      </c>
      <c r="AR34" s="12">
        <v>1.0</v>
      </c>
      <c r="AS34" s="14"/>
      <c r="AT34" s="14"/>
      <c r="AU34" s="14"/>
      <c r="AV34" s="14"/>
      <c r="AW34" s="14"/>
      <c r="AX34" s="14"/>
      <c r="AY34" s="14"/>
      <c r="AZ34" s="14"/>
      <c r="BA34" s="14"/>
      <c r="BB34" s="14"/>
    </row>
    <row r="35" ht="15.75" customHeight="1">
      <c r="A35" s="9">
        <v>1919.0</v>
      </c>
      <c r="B35" s="9" t="s">
        <v>32</v>
      </c>
      <c r="C35" s="9" t="str">
        <f t="shared" ref="C35:C39" si="2">CONCATENATE(D35,"_",F35)</f>
        <v>MOV_BS VI MS</v>
      </c>
      <c r="D35" s="9" t="s">
        <v>395</v>
      </c>
      <c r="E35" s="9" t="s">
        <v>396</v>
      </c>
      <c r="F35" s="9" t="s">
        <v>99</v>
      </c>
      <c r="G35" s="5"/>
      <c r="H35" s="5"/>
      <c r="I35" s="5"/>
      <c r="J35" s="14"/>
      <c r="K35" s="5"/>
      <c r="L35" s="5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14"/>
      <c r="AO35" s="14"/>
      <c r="AP35" s="14"/>
      <c r="AQ35" s="11" t="s">
        <v>397</v>
      </c>
      <c r="AR35" s="12">
        <v>1.0</v>
      </c>
      <c r="AS35" s="14"/>
      <c r="AT35" s="14"/>
      <c r="AU35" s="14"/>
      <c r="AV35" s="14"/>
      <c r="AW35" s="14"/>
      <c r="AX35" s="14"/>
      <c r="AY35" s="14"/>
      <c r="AZ35" s="14"/>
      <c r="BA35" s="14"/>
      <c r="BB35" s="14"/>
    </row>
    <row r="36" ht="15.75" customHeight="1">
      <c r="A36" s="9">
        <v>1919.0</v>
      </c>
      <c r="B36" s="9" t="s">
        <v>32</v>
      </c>
      <c r="C36" s="9" t="str">
        <f t="shared" si="2"/>
        <v>MOV_SKO</v>
      </c>
      <c r="D36" s="9" t="s">
        <v>395</v>
      </c>
      <c r="E36" s="9" t="s">
        <v>396</v>
      </c>
      <c r="F36" s="9" t="s">
        <v>173</v>
      </c>
      <c r="G36" s="5"/>
      <c r="H36" s="5"/>
      <c r="I36" s="5"/>
      <c r="J36" s="14"/>
      <c r="K36" s="5"/>
      <c r="L36" s="5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14"/>
      <c r="AO36" s="14"/>
      <c r="AP36" s="14"/>
      <c r="AQ36" s="11" t="s">
        <v>398</v>
      </c>
      <c r="AR36" s="12">
        <v>1.0</v>
      </c>
      <c r="AS36" s="14"/>
      <c r="AT36" s="14"/>
      <c r="AU36" s="14"/>
      <c r="AV36" s="14"/>
      <c r="AW36" s="14"/>
      <c r="AX36" s="14"/>
      <c r="AY36" s="14"/>
      <c r="AZ36" s="14"/>
      <c r="BA36" s="14"/>
      <c r="BB36" s="14"/>
    </row>
    <row r="37" ht="15.75" customHeight="1">
      <c r="A37" s="9">
        <v>1919.0</v>
      </c>
      <c r="B37" s="9" t="s">
        <v>32</v>
      </c>
      <c r="C37" s="9" t="str">
        <f t="shared" si="2"/>
        <v>MOV_BS VI HSD</v>
      </c>
      <c r="D37" s="9" t="s">
        <v>395</v>
      </c>
      <c r="E37" s="9" t="s">
        <v>396</v>
      </c>
      <c r="F37" s="9" t="s">
        <v>35</v>
      </c>
      <c r="G37" s="5"/>
      <c r="H37" s="5"/>
      <c r="I37" s="5"/>
      <c r="J37" s="14"/>
      <c r="K37" s="5"/>
      <c r="L37" s="5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14"/>
      <c r="AO37" s="14"/>
      <c r="AP37" s="14"/>
      <c r="AQ37" s="11" t="s">
        <v>399</v>
      </c>
      <c r="AR37" s="12">
        <v>1.0</v>
      </c>
      <c r="AS37" s="14"/>
      <c r="AT37" s="14"/>
      <c r="AU37" s="14"/>
      <c r="AV37" s="14"/>
      <c r="AW37" s="14"/>
      <c r="AX37" s="14"/>
      <c r="AY37" s="14"/>
      <c r="AZ37" s="14"/>
      <c r="BA37" s="14"/>
      <c r="BB37" s="14"/>
    </row>
    <row r="38" ht="15.75" customHeight="1">
      <c r="A38" s="9">
        <v>1919.0</v>
      </c>
      <c r="B38" s="9" t="s">
        <v>32</v>
      </c>
      <c r="C38" s="9" t="str">
        <f t="shared" si="2"/>
        <v>MOV_BIO HSD</v>
      </c>
      <c r="D38" s="9" t="s">
        <v>395</v>
      </c>
      <c r="E38" s="9" t="s">
        <v>396</v>
      </c>
      <c r="F38" s="9" t="s">
        <v>375</v>
      </c>
      <c r="G38" s="5"/>
      <c r="H38" s="5"/>
      <c r="I38" s="5"/>
      <c r="J38" s="14"/>
      <c r="K38" s="5"/>
      <c r="L38" s="5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14"/>
      <c r="AO38" s="14"/>
      <c r="AP38" s="14"/>
      <c r="AQ38" s="11" t="s">
        <v>400</v>
      </c>
      <c r="AR38" s="12">
        <v>1.0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</row>
    <row r="39" ht="15.75" customHeight="1">
      <c r="A39" s="9">
        <v>1919.0</v>
      </c>
      <c r="B39" s="9" t="s">
        <v>32</v>
      </c>
      <c r="C39" s="9" t="str">
        <f t="shared" si="2"/>
        <v>MOV_ATF</v>
      </c>
      <c r="D39" s="9" t="s">
        <v>395</v>
      </c>
      <c r="E39" s="9" t="s">
        <v>396</v>
      </c>
      <c r="F39" s="9" t="s">
        <v>278</v>
      </c>
      <c r="G39" s="5"/>
      <c r="H39" s="5"/>
      <c r="I39" s="5"/>
      <c r="J39" s="14"/>
      <c r="K39" s="5"/>
      <c r="L39" s="5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14"/>
      <c r="AO39" s="14"/>
      <c r="AP39" s="14"/>
      <c r="AQ39" s="11" t="s">
        <v>401</v>
      </c>
      <c r="AR39" s="12">
        <v>1.0</v>
      </c>
      <c r="AS39" s="14"/>
      <c r="AT39" s="14"/>
      <c r="AU39" s="14"/>
      <c r="AV39" s="14"/>
      <c r="AW39" s="14"/>
      <c r="AX39" s="14"/>
      <c r="AY39" s="14"/>
      <c r="AZ39" s="14"/>
      <c r="BA39" s="14"/>
      <c r="BB39" s="14"/>
    </row>
    <row r="40" ht="15.75" customHeight="1">
      <c r="C40" s="9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</row>
    <row r="41" ht="15.75" customHeight="1"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</row>
    <row r="42" ht="15.75" customHeight="1"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</row>
    <row r="43" ht="15.75" customHeight="1"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</row>
    <row r="44" ht="15.75" customHeight="1"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</row>
    <row r="45" ht="15.75" customHeight="1"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</row>
    <row r="46" ht="15.75" customHeight="1"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</row>
    <row r="47" ht="15.75" customHeight="1"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</row>
    <row r="48" ht="15.75" customHeight="1"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</row>
    <row r="49" ht="15.75" customHeight="1"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</row>
    <row r="50" ht="15.75" customHeight="1"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</row>
    <row r="51" ht="15.75" customHeight="1"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</row>
    <row r="52" ht="15.75" customHeight="1"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</row>
    <row r="53" ht="15.75" customHeight="1"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</row>
    <row r="54" ht="15.75" customHeight="1"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</row>
    <row r="55" ht="15.75" customHeight="1"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</row>
    <row r="56" ht="15.75" customHeight="1"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</row>
    <row r="57" ht="15.75" customHeight="1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</row>
    <row r="58" ht="15.75" customHeight="1"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</row>
    <row r="59" ht="15.75" customHeight="1"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</row>
    <row r="60" ht="15.75" customHeight="1"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</row>
    <row r="61" ht="15.75" customHeight="1"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</row>
    <row r="62" ht="15.75" customHeight="1"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</row>
    <row r="63" ht="15.75" customHeight="1"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</row>
    <row r="64" ht="15.75" customHeight="1"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</row>
    <row r="65" ht="15.75" customHeight="1"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</row>
    <row r="66" ht="15.75" customHeight="1"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</row>
    <row r="67" ht="15.75" customHeight="1"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</row>
    <row r="68" ht="15.75" customHeight="1"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</row>
    <row r="69" ht="15.75" customHeight="1"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</row>
    <row r="70" ht="15.75" customHeight="1"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</row>
    <row r="71" ht="15.75" customHeight="1"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</row>
    <row r="72" ht="15.75" customHeight="1"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</row>
    <row r="73" ht="15.75" customHeight="1"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</row>
    <row r="74" ht="15.75" customHeight="1"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</row>
    <row r="75" ht="15.75" customHeight="1"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</row>
    <row r="76" ht="15.75" customHeight="1"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</row>
    <row r="77" ht="15.75" customHeight="1"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</row>
    <row r="78" ht="15.75" customHeight="1"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</row>
    <row r="79" ht="15.75" customHeight="1"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</row>
    <row r="80" ht="15.75" customHeight="1"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</row>
    <row r="81" ht="15.75" customHeight="1"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</row>
    <row r="82" ht="15.75" customHeight="1"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</row>
    <row r="83" ht="15.75" customHeight="1"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</row>
    <row r="84" ht="15.75" customHeight="1"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</row>
    <row r="85" ht="15.75" customHeight="1"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</row>
    <row r="86" ht="15.75" customHeight="1"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</row>
    <row r="87" ht="15.75" customHeight="1"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</row>
    <row r="88" ht="15.75" customHeight="1"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</row>
    <row r="89" ht="15.75" customHeight="1"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</row>
    <row r="90" ht="15.75" customHeight="1"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</row>
    <row r="91" ht="15.75" customHeight="1"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</row>
    <row r="92" ht="15.75" customHeight="1"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</row>
    <row r="93" ht="15.75" customHeight="1"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</row>
    <row r="94" ht="15.75" customHeight="1"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</row>
    <row r="95" ht="15.75" customHeight="1"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</row>
    <row r="96" ht="15.75" customHeight="1"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</row>
    <row r="97" ht="15.75" customHeight="1"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</row>
    <row r="98" ht="15.75" customHeight="1"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</row>
    <row r="99" ht="15.75" customHeight="1"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</row>
    <row r="100" ht="15.75" customHeight="1"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</row>
    <row r="101" ht="15.75" customHeight="1"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</row>
    <row r="102" ht="15.75" customHeight="1"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</row>
    <row r="103" ht="15.75" customHeight="1"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</row>
    <row r="104" ht="15.75" customHeight="1"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</row>
    <row r="105" ht="15.75" customHeight="1"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</row>
    <row r="106" ht="15.75" customHeight="1"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</row>
    <row r="107" ht="15.75" customHeight="1"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</row>
    <row r="108" ht="15.75" customHeight="1"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</row>
    <row r="109" ht="15.75" customHeight="1"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</row>
    <row r="110" ht="15.75" customHeight="1"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</row>
    <row r="111" ht="15.75" customHeight="1"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</row>
    <row r="112" ht="15.75" customHeight="1"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</row>
    <row r="113" ht="15.75" customHeight="1"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</row>
    <row r="114" ht="15.75" customHeight="1"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</row>
    <row r="115" ht="15.75" customHeight="1"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</row>
    <row r="116" ht="15.75" customHeight="1"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</row>
    <row r="117" ht="15.75" customHeight="1"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</row>
    <row r="118" ht="15.75" customHeight="1"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</row>
    <row r="119" ht="15.75" customHeight="1"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</row>
    <row r="120" ht="15.75" customHeight="1"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</row>
    <row r="121" ht="15.75" customHeight="1"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</row>
    <row r="122" ht="15.75" customHeight="1"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</row>
    <row r="123" ht="15.75" customHeight="1"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</row>
    <row r="124" ht="15.75" customHeight="1"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</row>
    <row r="125" ht="15.75" customHeight="1"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</row>
    <row r="126" ht="15.75" customHeight="1"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</row>
    <row r="127" ht="15.75" customHeight="1"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</row>
    <row r="128" ht="15.75" customHeight="1"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</row>
    <row r="129" ht="15.75" customHeight="1"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</row>
    <row r="130" ht="15.75" customHeight="1"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</row>
    <row r="131" ht="15.75" customHeight="1"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</row>
    <row r="132" ht="15.75" customHeight="1"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</row>
    <row r="133" ht="15.75" customHeight="1"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</row>
    <row r="134" ht="15.75" customHeight="1"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</row>
    <row r="135" ht="15.75" customHeight="1"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</row>
    <row r="136" ht="15.75" customHeight="1"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</row>
    <row r="137" ht="15.75" customHeight="1"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</row>
    <row r="138" ht="15.75" customHeight="1"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</row>
    <row r="139" ht="15.75" customHeight="1"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</row>
    <row r="140" ht="15.75" customHeight="1"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</row>
    <row r="141" ht="15.75" customHeight="1"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</row>
    <row r="142" ht="15.75" customHeight="1"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</row>
    <row r="143" ht="15.75" customHeight="1"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</row>
    <row r="144" ht="15.75" customHeight="1"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</row>
    <row r="145" ht="15.75" customHeight="1"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</row>
    <row r="146" ht="15.75" customHeight="1"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</row>
    <row r="147" ht="15.75" customHeight="1"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</row>
    <row r="148" ht="15.75" customHeight="1"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</row>
    <row r="149" ht="15.75" customHeight="1"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</row>
    <row r="150" ht="15.75" customHeight="1"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</row>
    <row r="151" ht="15.75" customHeight="1"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</row>
    <row r="152" ht="15.75" customHeight="1"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</row>
    <row r="153" ht="15.75" customHeight="1"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</row>
    <row r="154" ht="15.75" customHeight="1"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</row>
    <row r="155" ht="15.75" customHeight="1"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</row>
    <row r="156" ht="15.75" customHeight="1"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</row>
    <row r="157" ht="15.75" customHeight="1"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</row>
    <row r="158" ht="15.75" customHeight="1"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</row>
    <row r="159" ht="15.75" customHeight="1"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</row>
    <row r="160" ht="15.75" customHeight="1"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</row>
    <row r="161" ht="15.75" customHeight="1"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</row>
    <row r="162" ht="15.75" customHeight="1"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</row>
    <row r="163" ht="15.75" customHeight="1"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</row>
    <row r="164" ht="15.75" customHeight="1"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</row>
    <row r="165" ht="15.75" customHeight="1"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</row>
    <row r="166" ht="15.75" customHeight="1"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</row>
    <row r="167" ht="15.75" customHeight="1"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</row>
    <row r="168" ht="15.75" customHeight="1"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</row>
    <row r="169" ht="15.75" customHeight="1"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</row>
    <row r="170" ht="15.75" customHeight="1"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</row>
    <row r="171" ht="15.75" customHeight="1"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</row>
    <row r="172" ht="15.75" customHeight="1"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</row>
    <row r="173" ht="15.75" customHeight="1">
      <c r="G173" s="16"/>
      <c r="H173" s="16"/>
      <c r="I173" s="16"/>
      <c r="K173" s="16"/>
      <c r="L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</row>
    <row r="174" ht="15.75" customHeight="1">
      <c r="G174" s="16"/>
      <c r="H174" s="16"/>
      <c r="I174" s="16"/>
      <c r="K174" s="16"/>
      <c r="L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</row>
    <row r="175" ht="15.75" customHeight="1">
      <c r="G175" s="16"/>
      <c r="H175" s="16"/>
      <c r="I175" s="16"/>
      <c r="K175" s="16"/>
      <c r="L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</row>
    <row r="176" ht="15.75" customHeight="1">
      <c r="G176" s="16"/>
      <c r="H176" s="16"/>
      <c r="I176" s="16"/>
      <c r="K176" s="16"/>
      <c r="L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</row>
    <row r="177" ht="15.75" customHeight="1">
      <c r="G177" s="16"/>
      <c r="H177" s="16"/>
      <c r="I177" s="16"/>
      <c r="K177" s="16"/>
      <c r="L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</row>
    <row r="178" ht="15.75" customHeight="1">
      <c r="G178" s="16"/>
      <c r="H178" s="16"/>
      <c r="I178" s="16"/>
      <c r="K178" s="16"/>
      <c r="L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</row>
    <row r="179" ht="15.75" customHeight="1">
      <c r="G179" s="16"/>
      <c r="H179" s="16"/>
      <c r="I179" s="16"/>
      <c r="K179" s="16"/>
      <c r="L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</row>
    <row r="180" ht="15.75" customHeight="1">
      <c r="G180" s="16"/>
      <c r="H180" s="16"/>
      <c r="I180" s="16"/>
      <c r="K180" s="16"/>
      <c r="L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</row>
    <row r="181" ht="15.75" customHeight="1">
      <c r="G181" s="16"/>
      <c r="H181" s="16"/>
      <c r="I181" s="16"/>
      <c r="K181" s="16"/>
      <c r="L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</row>
    <row r="182" ht="15.75" customHeight="1">
      <c r="G182" s="16"/>
      <c r="H182" s="16"/>
      <c r="I182" s="16"/>
      <c r="K182" s="16"/>
      <c r="L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</row>
    <row r="183" ht="15.75" customHeight="1">
      <c r="G183" s="16"/>
      <c r="H183" s="16"/>
      <c r="I183" s="16"/>
      <c r="K183" s="16"/>
      <c r="L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</row>
    <row r="184" ht="15.75" customHeight="1">
      <c r="G184" s="16"/>
      <c r="H184" s="16"/>
      <c r="I184" s="16"/>
      <c r="K184" s="16"/>
      <c r="L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</row>
    <row r="185" ht="15.75" customHeight="1">
      <c r="G185" s="16"/>
      <c r="H185" s="16"/>
      <c r="I185" s="16"/>
      <c r="K185" s="16"/>
      <c r="L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</row>
    <row r="186" ht="15.75" customHeight="1">
      <c r="G186" s="16"/>
      <c r="H186" s="16"/>
      <c r="I186" s="16"/>
      <c r="K186" s="16"/>
      <c r="L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</row>
    <row r="187" ht="15.75" customHeight="1">
      <c r="G187" s="16"/>
      <c r="H187" s="16"/>
      <c r="I187" s="16"/>
      <c r="K187" s="16"/>
      <c r="L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</row>
    <row r="188" ht="15.75" customHeight="1">
      <c r="G188" s="16"/>
      <c r="H188" s="16"/>
      <c r="I188" s="16"/>
      <c r="K188" s="16"/>
      <c r="L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</row>
    <row r="189" ht="15.75" customHeight="1">
      <c r="G189" s="16"/>
      <c r="H189" s="16"/>
      <c r="I189" s="16"/>
      <c r="K189" s="16"/>
      <c r="L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</row>
    <row r="190" ht="15.75" customHeight="1">
      <c r="G190" s="16"/>
      <c r="H190" s="16"/>
      <c r="I190" s="16"/>
      <c r="K190" s="16"/>
      <c r="L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</row>
    <row r="191" ht="15.75" customHeight="1">
      <c r="G191" s="16"/>
      <c r="H191" s="16"/>
      <c r="I191" s="16"/>
      <c r="K191" s="16"/>
      <c r="L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</row>
    <row r="192" ht="15.75" customHeight="1">
      <c r="G192" s="16"/>
      <c r="H192" s="16"/>
      <c r="I192" s="16"/>
      <c r="K192" s="16"/>
      <c r="L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</row>
    <row r="193" ht="15.75" customHeight="1">
      <c r="G193" s="16"/>
      <c r="H193" s="16"/>
      <c r="I193" s="16"/>
      <c r="K193" s="16"/>
      <c r="L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</row>
    <row r="194" ht="15.75" customHeight="1">
      <c r="G194" s="16"/>
      <c r="H194" s="16"/>
      <c r="I194" s="16"/>
      <c r="K194" s="16"/>
      <c r="L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</row>
    <row r="195" ht="15.75" customHeight="1">
      <c r="G195" s="16"/>
      <c r="H195" s="16"/>
      <c r="I195" s="16"/>
      <c r="K195" s="16"/>
      <c r="L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</row>
    <row r="196" ht="15.75" customHeight="1">
      <c r="G196" s="16"/>
      <c r="H196" s="16"/>
      <c r="I196" s="16"/>
      <c r="K196" s="16"/>
      <c r="L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</row>
    <row r="197" ht="15.75" customHeight="1">
      <c r="G197" s="16"/>
      <c r="H197" s="16"/>
      <c r="I197" s="16"/>
      <c r="K197" s="16"/>
      <c r="L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</row>
    <row r="198" ht="15.75" customHeight="1">
      <c r="G198" s="16"/>
      <c r="H198" s="16"/>
      <c r="I198" s="16"/>
      <c r="K198" s="16"/>
      <c r="L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</row>
    <row r="199" ht="15.75" customHeight="1">
      <c r="G199" s="16"/>
      <c r="H199" s="16"/>
      <c r="I199" s="16"/>
      <c r="K199" s="16"/>
      <c r="L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</row>
    <row r="200" ht="15.75" customHeight="1">
      <c r="G200" s="16"/>
      <c r="H200" s="16"/>
      <c r="I200" s="16"/>
      <c r="K200" s="16"/>
      <c r="L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25"/>
    <col customWidth="1" min="4" max="4" width="18.63"/>
    <col customWidth="1" min="5" max="6" width="12.63"/>
    <col customWidth="1" min="7" max="7" width="37.5"/>
    <col customWidth="1" min="8" max="8" width="11.5"/>
    <col customWidth="1" min="9" max="9" width="39.0"/>
    <col customWidth="1" min="10" max="10" width="11.5"/>
    <col customWidth="1" min="11" max="11" width="39.13"/>
    <col customWidth="1" min="13" max="13" width="33.25"/>
    <col customWidth="1" min="14" max="14" width="11.5"/>
    <col customWidth="1" min="15" max="15" width="33.25"/>
    <col customWidth="1" min="16" max="16" width="11.5"/>
    <col customWidth="1" min="17" max="17" width="33.25"/>
    <col customWidth="1" min="18" max="18" width="11.5"/>
    <col customWidth="1" min="19" max="19" width="33.25"/>
    <col customWidth="1" min="20" max="20" width="11.5"/>
    <col customWidth="1" min="21" max="21" width="31.75"/>
    <col customWidth="1" min="22" max="22" width="11.5"/>
    <col customWidth="1" min="23" max="23" width="31.75"/>
    <col customWidth="1" min="24" max="24" width="11.5"/>
    <col customWidth="1" min="25" max="25" width="31.75"/>
    <col customWidth="1" min="26" max="26" width="11.5"/>
    <col customWidth="1" min="27" max="27" width="32.88"/>
    <col customWidth="1" min="28" max="28" width="11.5"/>
    <col customWidth="1" min="29" max="29" width="33.13"/>
    <col customWidth="1" min="30" max="30" width="23.2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402</v>
      </c>
      <c r="H1" s="3" t="s">
        <v>7</v>
      </c>
      <c r="I1" s="3" t="s">
        <v>403</v>
      </c>
      <c r="J1" s="3" t="s">
        <v>10</v>
      </c>
      <c r="K1" s="3" t="s">
        <v>404</v>
      </c>
      <c r="L1" s="3" t="s">
        <v>7</v>
      </c>
      <c r="M1" s="3" t="s">
        <v>405</v>
      </c>
      <c r="N1" s="3" t="s">
        <v>10</v>
      </c>
      <c r="O1" s="3" t="s">
        <v>406</v>
      </c>
      <c r="P1" s="3" t="s">
        <v>10</v>
      </c>
      <c r="Q1" s="3" t="s">
        <v>407</v>
      </c>
      <c r="R1" s="3" t="s">
        <v>10</v>
      </c>
      <c r="S1" s="3" t="s">
        <v>408</v>
      </c>
      <c r="T1" s="3" t="s">
        <v>10</v>
      </c>
      <c r="U1" s="3" t="s">
        <v>409</v>
      </c>
      <c r="V1" s="3" t="s">
        <v>10</v>
      </c>
      <c r="W1" s="3" t="s">
        <v>410</v>
      </c>
      <c r="X1" s="3" t="s">
        <v>10</v>
      </c>
      <c r="Y1" s="3" t="s">
        <v>411</v>
      </c>
      <c r="Z1" s="3" t="s">
        <v>10</v>
      </c>
      <c r="AA1" s="3" t="s">
        <v>412</v>
      </c>
      <c r="AB1" s="3" t="s">
        <v>10</v>
      </c>
      <c r="AC1" s="17" t="s">
        <v>413</v>
      </c>
      <c r="AD1" s="17" t="s">
        <v>7</v>
      </c>
      <c r="AE1" s="18"/>
      <c r="AF1" s="18"/>
      <c r="AG1" s="18"/>
      <c r="AH1" s="18"/>
      <c r="AI1" s="18"/>
      <c r="AJ1" s="18"/>
      <c r="AK1" s="18"/>
    </row>
    <row r="2" ht="15.75" customHeight="1">
      <c r="A2" s="9">
        <v>1919.0</v>
      </c>
      <c r="B2" s="9" t="s">
        <v>32</v>
      </c>
      <c r="C2" s="9" t="str">
        <f t="shared" ref="C2:C22" si="1">CONCATENATE(D2,"_",F2)</f>
        <v>Maintenance-CR-003D_BS VI HSD</v>
      </c>
      <c r="D2" s="15" t="s">
        <v>414</v>
      </c>
      <c r="E2" s="9" t="s">
        <v>34</v>
      </c>
      <c r="F2" s="9" t="s">
        <v>35</v>
      </c>
      <c r="G2" s="19" t="s">
        <v>415</v>
      </c>
      <c r="H2" s="19">
        <v>0.0</v>
      </c>
      <c r="I2" s="20" t="s">
        <v>416</v>
      </c>
      <c r="J2" s="19">
        <v>0.0</v>
      </c>
      <c r="K2" s="20" t="s">
        <v>417</v>
      </c>
      <c r="L2" s="19">
        <v>0.0</v>
      </c>
      <c r="M2" s="20" t="s">
        <v>418</v>
      </c>
      <c r="N2" s="19">
        <v>0.0</v>
      </c>
      <c r="O2" s="21"/>
      <c r="P2" s="21"/>
      <c r="Q2" s="20" t="s">
        <v>419</v>
      </c>
      <c r="R2" s="19">
        <v>0.0</v>
      </c>
      <c r="S2" s="21"/>
      <c r="T2" s="21"/>
      <c r="U2" s="20" t="s">
        <v>420</v>
      </c>
      <c r="V2" s="19">
        <v>0.0</v>
      </c>
      <c r="W2" s="21"/>
      <c r="X2" s="21"/>
      <c r="Y2" s="21"/>
      <c r="Z2" s="21"/>
      <c r="AA2" s="20" t="s">
        <v>421</v>
      </c>
      <c r="AB2" s="19">
        <v>0.0</v>
      </c>
    </row>
    <row r="3" ht="15.75" customHeight="1">
      <c r="A3" s="9">
        <v>1919.0</v>
      </c>
      <c r="B3" s="9" t="s">
        <v>32</v>
      </c>
      <c r="C3" s="9" t="str">
        <f t="shared" si="1"/>
        <v>Maintenance-CR-005A_ETHANOL</v>
      </c>
      <c r="D3" s="15" t="s">
        <v>422</v>
      </c>
      <c r="E3" s="9" t="s">
        <v>34</v>
      </c>
      <c r="F3" s="9" t="s">
        <v>53</v>
      </c>
      <c r="G3" s="19" t="s">
        <v>423</v>
      </c>
      <c r="H3" s="19">
        <v>0.0</v>
      </c>
      <c r="I3" s="20" t="s">
        <v>424</v>
      </c>
      <c r="J3" s="19">
        <v>0.0</v>
      </c>
      <c r="K3" s="20" t="s">
        <v>425</v>
      </c>
      <c r="L3" s="19">
        <v>0.0</v>
      </c>
      <c r="M3" s="20" t="s">
        <v>426</v>
      </c>
      <c r="N3" s="19">
        <v>0.0</v>
      </c>
      <c r="O3" s="21"/>
      <c r="P3" s="21"/>
      <c r="Q3" s="20" t="s">
        <v>427</v>
      </c>
      <c r="R3" s="19">
        <v>0.0</v>
      </c>
      <c r="S3" s="21"/>
      <c r="T3" s="21"/>
      <c r="U3" s="20" t="s">
        <v>428</v>
      </c>
      <c r="V3" s="19">
        <v>0.0</v>
      </c>
      <c r="W3" s="21"/>
      <c r="X3" s="21"/>
      <c r="Y3" s="21"/>
      <c r="Z3" s="21"/>
      <c r="AA3" s="20" t="s">
        <v>429</v>
      </c>
      <c r="AB3" s="19">
        <v>0.0</v>
      </c>
    </row>
    <row r="4" ht="15.75" customHeight="1">
      <c r="A4" s="9">
        <v>1919.0</v>
      </c>
      <c r="B4" s="9" t="s">
        <v>32</v>
      </c>
      <c r="C4" s="9" t="str">
        <f t="shared" si="1"/>
        <v>Maintenance-CR-005B_INTERFACE</v>
      </c>
      <c r="D4" s="15" t="s">
        <v>430</v>
      </c>
      <c r="E4" s="9" t="s">
        <v>34</v>
      </c>
      <c r="F4" s="9" t="s">
        <v>71</v>
      </c>
      <c r="G4" s="19" t="s">
        <v>431</v>
      </c>
      <c r="H4" s="19">
        <v>0.0</v>
      </c>
      <c r="I4" s="20" t="s">
        <v>432</v>
      </c>
      <c r="J4" s="19">
        <v>0.0</v>
      </c>
      <c r="K4" s="20" t="s">
        <v>433</v>
      </c>
      <c r="L4" s="19">
        <v>0.0</v>
      </c>
      <c r="M4" s="16"/>
      <c r="N4" s="16"/>
      <c r="O4" s="21"/>
      <c r="P4" s="21"/>
      <c r="Q4" s="16"/>
      <c r="R4" s="16"/>
      <c r="S4" s="21"/>
      <c r="T4" s="21"/>
      <c r="U4" s="20" t="s">
        <v>434</v>
      </c>
      <c r="V4" s="19">
        <v>0.0</v>
      </c>
      <c r="W4" s="21"/>
      <c r="X4" s="21"/>
      <c r="Y4" s="21"/>
      <c r="Z4" s="21"/>
      <c r="AA4" s="16"/>
      <c r="AB4" s="16"/>
    </row>
    <row r="5" ht="15.75" customHeight="1">
      <c r="A5" s="9">
        <v>1919.0</v>
      </c>
      <c r="B5" s="9" t="s">
        <v>32</v>
      </c>
      <c r="C5" s="9" t="str">
        <f t="shared" si="1"/>
        <v>Maintenance-CR-006A_WATER</v>
      </c>
      <c r="D5" s="15" t="s">
        <v>435</v>
      </c>
      <c r="E5" s="9" t="s">
        <v>34</v>
      </c>
      <c r="F5" s="9" t="s">
        <v>86</v>
      </c>
      <c r="G5" s="16"/>
      <c r="H5" s="16"/>
      <c r="I5" s="16"/>
      <c r="J5" s="16"/>
      <c r="K5" s="16"/>
      <c r="L5" s="16"/>
      <c r="M5" s="16"/>
      <c r="N5" s="16"/>
      <c r="O5" s="21"/>
      <c r="P5" s="21"/>
      <c r="Q5" s="16"/>
      <c r="R5" s="16"/>
      <c r="S5" s="21"/>
      <c r="T5" s="21"/>
      <c r="U5" s="16"/>
      <c r="V5" s="16"/>
      <c r="W5" s="21"/>
      <c r="X5" s="21"/>
      <c r="Y5" s="21"/>
      <c r="Z5" s="21"/>
      <c r="AA5" s="16"/>
      <c r="AB5" s="16"/>
    </row>
    <row r="6" ht="15.75" customHeight="1">
      <c r="A6" s="9">
        <v>1919.0</v>
      </c>
      <c r="B6" s="9" t="s">
        <v>32</v>
      </c>
      <c r="C6" s="9" t="str">
        <f t="shared" si="1"/>
        <v>Maintenance-CR-006B_WATER</v>
      </c>
      <c r="D6" s="15" t="s">
        <v>436</v>
      </c>
      <c r="E6" s="9" t="s">
        <v>34</v>
      </c>
      <c r="F6" s="9" t="s">
        <v>86</v>
      </c>
      <c r="G6" s="16"/>
      <c r="H6" s="16"/>
      <c r="I6" s="16"/>
      <c r="J6" s="16"/>
      <c r="K6" s="16"/>
      <c r="L6" s="16"/>
      <c r="M6" s="16"/>
      <c r="N6" s="16"/>
      <c r="O6" s="21"/>
      <c r="P6" s="21"/>
      <c r="Q6" s="16"/>
      <c r="R6" s="16"/>
      <c r="S6" s="21"/>
      <c r="T6" s="21"/>
      <c r="U6" s="16"/>
      <c r="V6" s="16"/>
      <c r="W6" s="21"/>
      <c r="X6" s="21"/>
      <c r="Y6" s="21"/>
      <c r="Z6" s="21"/>
      <c r="AA6" s="16"/>
      <c r="AB6" s="16"/>
    </row>
    <row r="7" ht="15.75" customHeight="1">
      <c r="A7" s="9">
        <v>1919.0</v>
      </c>
      <c r="B7" s="9" t="s">
        <v>32</v>
      </c>
      <c r="C7" s="9" t="str">
        <f t="shared" si="1"/>
        <v>Maintenance-CR-006C_WATER</v>
      </c>
      <c r="D7" s="15" t="s">
        <v>437</v>
      </c>
      <c r="E7" s="9" t="s">
        <v>34</v>
      </c>
      <c r="F7" s="9" t="s">
        <v>86</v>
      </c>
      <c r="G7" s="16"/>
      <c r="H7" s="16"/>
      <c r="I7" s="16"/>
      <c r="J7" s="16"/>
      <c r="K7" s="16"/>
      <c r="L7" s="16"/>
      <c r="M7" s="16"/>
      <c r="N7" s="16"/>
      <c r="O7" s="21"/>
      <c r="P7" s="21"/>
      <c r="Q7" s="16"/>
      <c r="R7" s="16"/>
      <c r="S7" s="21"/>
      <c r="T7" s="21"/>
      <c r="U7" s="16"/>
      <c r="V7" s="16"/>
      <c r="W7" s="21"/>
      <c r="X7" s="21"/>
      <c r="Y7" s="21"/>
      <c r="Z7" s="21"/>
      <c r="AA7" s="16"/>
      <c r="AB7" s="16"/>
    </row>
    <row r="8" ht="15.75" customHeight="1">
      <c r="A8" s="9">
        <v>1919.0</v>
      </c>
      <c r="B8" s="9" t="s">
        <v>32</v>
      </c>
      <c r="C8" s="9" t="str">
        <f t="shared" si="1"/>
        <v>Maintenance-CR-006D_WATER</v>
      </c>
      <c r="D8" s="15" t="s">
        <v>438</v>
      </c>
      <c r="E8" s="9" t="s">
        <v>34</v>
      </c>
      <c r="F8" s="9" t="s">
        <v>86</v>
      </c>
      <c r="G8" s="16"/>
      <c r="H8" s="16"/>
      <c r="I8" s="16"/>
      <c r="J8" s="16"/>
      <c r="K8" s="16"/>
      <c r="L8" s="16"/>
      <c r="M8" s="16"/>
      <c r="N8" s="16"/>
      <c r="O8" s="21"/>
      <c r="P8" s="21"/>
      <c r="Q8" s="16"/>
      <c r="R8" s="16"/>
      <c r="S8" s="21"/>
      <c r="T8" s="21"/>
      <c r="U8" s="16"/>
      <c r="V8" s="16"/>
      <c r="W8" s="21"/>
      <c r="X8" s="21"/>
      <c r="Y8" s="21"/>
      <c r="Z8" s="21"/>
      <c r="AA8" s="16"/>
      <c r="AB8" s="16"/>
    </row>
    <row r="9" ht="15.75" customHeight="1">
      <c r="A9" s="9">
        <v>1919.0</v>
      </c>
      <c r="B9" s="9" t="s">
        <v>32</v>
      </c>
      <c r="C9" s="9" t="str">
        <f t="shared" si="1"/>
        <v>Maintenance-FR-001A_BS VI MS</v>
      </c>
      <c r="D9" s="15" t="s">
        <v>439</v>
      </c>
      <c r="E9" s="9" t="s">
        <v>34</v>
      </c>
      <c r="F9" s="9" t="s">
        <v>99</v>
      </c>
      <c r="G9" s="19" t="s">
        <v>440</v>
      </c>
      <c r="H9" s="19">
        <v>0.0</v>
      </c>
      <c r="I9" s="20" t="s">
        <v>441</v>
      </c>
      <c r="J9" s="19">
        <v>0.0</v>
      </c>
      <c r="K9" s="20" t="s">
        <v>442</v>
      </c>
      <c r="L9" s="19">
        <v>0.0</v>
      </c>
      <c r="M9" s="20" t="s">
        <v>443</v>
      </c>
      <c r="N9" s="19">
        <v>0.0</v>
      </c>
      <c r="O9" s="21"/>
      <c r="P9" s="21"/>
      <c r="Q9" s="20" t="s">
        <v>444</v>
      </c>
      <c r="R9" s="19">
        <v>0.0</v>
      </c>
      <c r="S9" s="21"/>
      <c r="T9" s="21"/>
      <c r="U9" s="20" t="s">
        <v>445</v>
      </c>
      <c r="V9" s="19">
        <v>0.0</v>
      </c>
      <c r="W9" s="21"/>
      <c r="X9" s="21"/>
      <c r="Y9" s="21"/>
      <c r="Z9" s="21"/>
      <c r="AA9" s="20" t="s">
        <v>446</v>
      </c>
      <c r="AB9" s="19">
        <v>0.0</v>
      </c>
    </row>
    <row r="10" ht="15.75" customHeight="1">
      <c r="A10" s="9">
        <v>1919.0</v>
      </c>
      <c r="B10" s="9" t="s">
        <v>32</v>
      </c>
      <c r="C10" s="9" t="str">
        <f t="shared" si="1"/>
        <v>Maintenance-FR-001B_BS VI MS</v>
      </c>
      <c r="D10" s="15" t="s">
        <v>447</v>
      </c>
      <c r="E10" s="9" t="s">
        <v>34</v>
      </c>
      <c r="F10" s="9" t="s">
        <v>99</v>
      </c>
      <c r="G10" s="19" t="s">
        <v>448</v>
      </c>
      <c r="H10" s="19">
        <v>0.0</v>
      </c>
      <c r="I10" s="20" t="s">
        <v>449</v>
      </c>
      <c r="J10" s="19">
        <v>0.0</v>
      </c>
      <c r="K10" s="20" t="s">
        <v>450</v>
      </c>
      <c r="L10" s="19">
        <v>0.0</v>
      </c>
      <c r="M10" s="20" t="s">
        <v>451</v>
      </c>
      <c r="N10" s="19">
        <v>0.0</v>
      </c>
      <c r="O10" s="21"/>
      <c r="P10" s="21"/>
      <c r="Q10" s="20" t="s">
        <v>452</v>
      </c>
      <c r="R10" s="19">
        <v>0.0</v>
      </c>
      <c r="S10" s="21"/>
      <c r="T10" s="21"/>
      <c r="U10" s="20" t="s">
        <v>453</v>
      </c>
      <c r="V10" s="19">
        <v>0.0</v>
      </c>
      <c r="W10" s="21"/>
      <c r="X10" s="21"/>
      <c r="Y10" s="21"/>
      <c r="Z10" s="21"/>
      <c r="AA10" s="20" t="s">
        <v>454</v>
      </c>
      <c r="AB10" s="19">
        <v>0.0</v>
      </c>
    </row>
    <row r="11" ht="15.75" customHeight="1">
      <c r="A11" s="9">
        <v>1919.0</v>
      </c>
      <c r="B11" s="9" t="s">
        <v>32</v>
      </c>
      <c r="C11" s="9" t="str">
        <f t="shared" si="1"/>
        <v>Maintenance-FR-001C_GASOHOL</v>
      </c>
      <c r="D11" s="15" t="s">
        <v>455</v>
      </c>
      <c r="E11" s="9" t="s">
        <v>34</v>
      </c>
      <c r="F11" s="9" t="s">
        <v>138</v>
      </c>
      <c r="G11" s="19" t="s">
        <v>456</v>
      </c>
      <c r="H11" s="19">
        <v>0.0</v>
      </c>
      <c r="I11" s="20" t="s">
        <v>457</v>
      </c>
      <c r="J11" s="19">
        <v>0.0</v>
      </c>
      <c r="K11" s="20" t="s">
        <v>458</v>
      </c>
      <c r="L11" s="19">
        <v>0.0</v>
      </c>
      <c r="M11" s="20" t="s">
        <v>459</v>
      </c>
      <c r="N11" s="19">
        <v>0.0</v>
      </c>
      <c r="O11" s="21"/>
      <c r="P11" s="21"/>
      <c r="Q11" s="20" t="s">
        <v>460</v>
      </c>
      <c r="R11" s="19">
        <v>0.0</v>
      </c>
      <c r="S11" s="21"/>
      <c r="T11" s="21"/>
      <c r="U11" s="20" t="s">
        <v>461</v>
      </c>
      <c r="V11" s="19">
        <v>0.0</v>
      </c>
      <c r="W11" s="21"/>
      <c r="X11" s="21"/>
      <c r="Y11" s="21"/>
      <c r="Z11" s="21"/>
      <c r="AA11" s="20" t="s">
        <v>462</v>
      </c>
      <c r="AB11" s="19">
        <v>0.0</v>
      </c>
    </row>
    <row r="12" ht="15.75" customHeight="1">
      <c r="A12" s="9">
        <v>1919.0</v>
      </c>
      <c r="B12" s="9" t="s">
        <v>32</v>
      </c>
      <c r="C12" s="9" t="str">
        <f t="shared" si="1"/>
        <v>Maintenance-FR-001D_INTERFACE</v>
      </c>
      <c r="D12" s="15" t="s">
        <v>463</v>
      </c>
      <c r="E12" s="9" t="s">
        <v>34</v>
      </c>
      <c r="F12" s="9" t="s">
        <v>71</v>
      </c>
      <c r="G12" s="19" t="s">
        <v>464</v>
      </c>
      <c r="H12" s="19">
        <v>0.0</v>
      </c>
      <c r="I12" s="20" t="s">
        <v>465</v>
      </c>
      <c r="J12" s="19">
        <v>0.0</v>
      </c>
      <c r="K12" s="20" t="s">
        <v>466</v>
      </c>
      <c r="L12" s="19">
        <v>0.0</v>
      </c>
      <c r="M12" s="16"/>
      <c r="N12" s="16"/>
      <c r="O12" s="21"/>
      <c r="P12" s="21"/>
      <c r="Q12" s="20" t="s">
        <v>467</v>
      </c>
      <c r="R12" s="19">
        <v>0.0</v>
      </c>
      <c r="S12" s="21"/>
      <c r="T12" s="21"/>
      <c r="U12" s="20" t="s">
        <v>468</v>
      </c>
      <c r="V12" s="19">
        <v>0.0</v>
      </c>
      <c r="W12" s="21"/>
      <c r="X12" s="21"/>
      <c r="Y12" s="21"/>
      <c r="Z12" s="21"/>
      <c r="AA12" s="20" t="s">
        <v>469</v>
      </c>
      <c r="AB12" s="19">
        <v>0.0</v>
      </c>
    </row>
    <row r="13" ht="15.75" customHeight="1">
      <c r="A13" s="9">
        <v>1919.0</v>
      </c>
      <c r="B13" s="9" t="s">
        <v>32</v>
      </c>
      <c r="C13" s="9" t="str">
        <f t="shared" si="1"/>
        <v>Maintenance-FR-002A_SKO</v>
      </c>
      <c r="D13" s="15" t="s">
        <v>470</v>
      </c>
      <c r="E13" s="9" t="s">
        <v>34</v>
      </c>
      <c r="F13" s="9" t="s">
        <v>173</v>
      </c>
      <c r="G13" s="19" t="s">
        <v>471</v>
      </c>
      <c r="H13" s="19">
        <v>0.0</v>
      </c>
      <c r="I13" s="20" t="s">
        <v>472</v>
      </c>
      <c r="J13" s="19">
        <v>0.0</v>
      </c>
      <c r="K13" s="20" t="s">
        <v>473</v>
      </c>
      <c r="L13" s="19">
        <v>0.0</v>
      </c>
      <c r="M13" s="20" t="s">
        <v>474</v>
      </c>
      <c r="N13" s="19">
        <v>0.0</v>
      </c>
      <c r="O13" s="21"/>
      <c r="P13" s="21"/>
      <c r="Q13" s="20" t="s">
        <v>475</v>
      </c>
      <c r="R13" s="19">
        <v>0.0</v>
      </c>
      <c r="S13" s="21"/>
      <c r="T13" s="21"/>
      <c r="U13" s="20" t="s">
        <v>476</v>
      </c>
      <c r="V13" s="19">
        <v>0.0</v>
      </c>
      <c r="W13" s="21"/>
      <c r="X13" s="21"/>
      <c r="Y13" s="21"/>
      <c r="Z13" s="21"/>
      <c r="AA13" s="20" t="s">
        <v>477</v>
      </c>
      <c r="AB13" s="19">
        <v>0.0</v>
      </c>
    </row>
    <row r="14" ht="15.75" customHeight="1">
      <c r="A14" s="9">
        <v>1919.0</v>
      </c>
      <c r="B14" s="9" t="s">
        <v>32</v>
      </c>
      <c r="C14" s="9" t="str">
        <f t="shared" si="1"/>
        <v>Maintenance-FR-002B_BS VI HSD</v>
      </c>
      <c r="D14" s="15" t="s">
        <v>478</v>
      </c>
      <c r="E14" s="9" t="s">
        <v>34</v>
      </c>
      <c r="F14" s="9" t="s">
        <v>35</v>
      </c>
      <c r="G14" s="19" t="s">
        <v>479</v>
      </c>
      <c r="H14" s="19">
        <v>0.0</v>
      </c>
      <c r="I14" s="20" t="s">
        <v>480</v>
      </c>
      <c r="J14" s="19">
        <v>0.0</v>
      </c>
      <c r="K14" s="20" t="s">
        <v>481</v>
      </c>
      <c r="L14" s="19">
        <v>0.0</v>
      </c>
      <c r="M14" s="20" t="s">
        <v>482</v>
      </c>
      <c r="N14" s="19">
        <v>0.0</v>
      </c>
      <c r="O14" s="21"/>
      <c r="P14" s="21"/>
      <c r="Q14" s="20" t="s">
        <v>483</v>
      </c>
      <c r="R14" s="19">
        <v>0.0</v>
      </c>
      <c r="S14" s="21"/>
      <c r="T14" s="21"/>
      <c r="U14" s="20" t="s">
        <v>484</v>
      </c>
      <c r="V14" s="19">
        <v>0.0</v>
      </c>
      <c r="W14" s="21"/>
      <c r="X14" s="21"/>
      <c r="Y14" s="21"/>
      <c r="Z14" s="21"/>
      <c r="AA14" s="20" t="s">
        <v>485</v>
      </c>
      <c r="AB14" s="19">
        <v>0.0</v>
      </c>
    </row>
    <row r="15" ht="15.75" customHeight="1">
      <c r="A15" s="9">
        <v>1919.0</v>
      </c>
      <c r="B15" s="9" t="s">
        <v>32</v>
      </c>
      <c r="C15" s="9" t="str">
        <f t="shared" si="1"/>
        <v>Maintenance-FR-003A_BS VI HSD</v>
      </c>
      <c r="D15" s="15" t="s">
        <v>486</v>
      </c>
      <c r="E15" s="9" t="s">
        <v>34</v>
      </c>
      <c r="F15" s="9" t="s">
        <v>35</v>
      </c>
      <c r="G15" s="19" t="s">
        <v>487</v>
      </c>
      <c r="H15" s="19">
        <v>0.0</v>
      </c>
      <c r="I15" s="20" t="s">
        <v>488</v>
      </c>
      <c r="J15" s="19">
        <v>0.0</v>
      </c>
      <c r="K15" s="20" t="s">
        <v>489</v>
      </c>
      <c r="L15" s="19">
        <v>0.0</v>
      </c>
      <c r="M15" s="20" t="s">
        <v>490</v>
      </c>
      <c r="N15" s="19">
        <v>0.0</v>
      </c>
      <c r="O15" s="21"/>
      <c r="P15" s="21"/>
      <c r="Q15" s="20" t="s">
        <v>491</v>
      </c>
      <c r="R15" s="19">
        <v>0.0</v>
      </c>
      <c r="S15" s="21"/>
      <c r="T15" s="21"/>
      <c r="U15" s="20" t="s">
        <v>492</v>
      </c>
      <c r="V15" s="19">
        <v>0.0</v>
      </c>
      <c r="W15" s="21"/>
      <c r="X15" s="21"/>
      <c r="Y15" s="21"/>
      <c r="Z15" s="21"/>
      <c r="AA15" s="20" t="s">
        <v>493</v>
      </c>
      <c r="AB15" s="19">
        <v>0.0</v>
      </c>
    </row>
    <row r="16" ht="15.75" customHeight="1">
      <c r="A16" s="9">
        <v>1919.0</v>
      </c>
      <c r="B16" s="9" t="s">
        <v>32</v>
      </c>
      <c r="C16" s="9" t="str">
        <f t="shared" si="1"/>
        <v>Maintenance-FR-003B_BS VI HSD</v>
      </c>
      <c r="D16" s="15" t="s">
        <v>494</v>
      </c>
      <c r="E16" s="9" t="s">
        <v>34</v>
      </c>
      <c r="F16" s="9" t="s">
        <v>35</v>
      </c>
      <c r="G16" s="19" t="s">
        <v>495</v>
      </c>
      <c r="H16" s="19">
        <v>0.0</v>
      </c>
      <c r="I16" s="20" t="s">
        <v>496</v>
      </c>
      <c r="J16" s="19">
        <v>0.0</v>
      </c>
      <c r="K16" s="20" t="s">
        <v>497</v>
      </c>
      <c r="L16" s="19">
        <v>0.0</v>
      </c>
      <c r="M16" s="20" t="s">
        <v>498</v>
      </c>
      <c r="N16" s="19">
        <v>0.0</v>
      </c>
      <c r="O16" s="21"/>
      <c r="P16" s="21"/>
      <c r="Q16" s="20" t="s">
        <v>499</v>
      </c>
      <c r="R16" s="19">
        <v>0.0</v>
      </c>
      <c r="S16" s="21"/>
      <c r="T16" s="21"/>
      <c r="U16" s="20" t="s">
        <v>500</v>
      </c>
      <c r="V16" s="19">
        <v>0.0</v>
      </c>
      <c r="W16" s="21"/>
      <c r="X16" s="21"/>
      <c r="Y16" s="21"/>
      <c r="Z16" s="21"/>
      <c r="AA16" s="20" t="s">
        <v>501</v>
      </c>
      <c r="AB16" s="19">
        <v>0.0</v>
      </c>
    </row>
    <row r="17" ht="15.75" customHeight="1">
      <c r="A17" s="9">
        <v>1919.0</v>
      </c>
      <c r="B17" s="9" t="s">
        <v>32</v>
      </c>
      <c r="C17" s="9" t="str">
        <f t="shared" si="1"/>
        <v>Maintenance-FR-003C_ETHANOL</v>
      </c>
      <c r="D17" s="15" t="s">
        <v>502</v>
      </c>
      <c r="E17" s="9" t="s">
        <v>34</v>
      </c>
      <c r="F17" s="9" t="s">
        <v>53</v>
      </c>
      <c r="G17" s="19" t="s">
        <v>503</v>
      </c>
      <c r="H17" s="19">
        <v>0.0</v>
      </c>
      <c r="I17" s="20" t="s">
        <v>504</v>
      </c>
      <c r="J17" s="19">
        <v>0.0</v>
      </c>
      <c r="K17" s="20" t="s">
        <v>505</v>
      </c>
      <c r="L17" s="19">
        <v>0.0</v>
      </c>
      <c r="M17" s="20" t="s">
        <v>506</v>
      </c>
      <c r="N17" s="19">
        <v>0.0</v>
      </c>
      <c r="O17" s="21"/>
      <c r="P17" s="21"/>
      <c r="Q17" s="20" t="s">
        <v>507</v>
      </c>
      <c r="R17" s="19">
        <v>0.0</v>
      </c>
      <c r="S17" s="21"/>
      <c r="T17" s="21"/>
      <c r="U17" s="20" t="s">
        <v>508</v>
      </c>
      <c r="V17" s="19">
        <v>0.0</v>
      </c>
      <c r="W17" s="21"/>
      <c r="X17" s="21"/>
      <c r="Y17" s="21"/>
      <c r="Z17" s="21"/>
      <c r="AA17" s="20" t="s">
        <v>509</v>
      </c>
      <c r="AB17" s="19">
        <v>0.0</v>
      </c>
    </row>
    <row r="18" ht="15.75" customHeight="1">
      <c r="A18" s="9">
        <v>1919.0</v>
      </c>
      <c r="B18" s="9" t="s">
        <v>32</v>
      </c>
      <c r="C18" s="9" t="str">
        <f t="shared" si="1"/>
        <v>Maintenance-FR-003E_BS VI HSD</v>
      </c>
      <c r="D18" s="15" t="s">
        <v>510</v>
      </c>
      <c r="E18" s="9" t="s">
        <v>34</v>
      </c>
      <c r="F18" s="9" t="s">
        <v>35</v>
      </c>
      <c r="G18" s="19" t="s">
        <v>511</v>
      </c>
      <c r="H18" s="19">
        <v>0.0</v>
      </c>
      <c r="I18" s="20" t="s">
        <v>512</v>
      </c>
      <c r="J18" s="19">
        <v>0.0</v>
      </c>
      <c r="K18" s="20" t="s">
        <v>513</v>
      </c>
      <c r="L18" s="19">
        <v>0.0</v>
      </c>
      <c r="M18" s="20" t="s">
        <v>514</v>
      </c>
      <c r="N18" s="19">
        <v>0.0</v>
      </c>
      <c r="O18" s="21"/>
      <c r="P18" s="21"/>
      <c r="Q18" s="20" t="s">
        <v>515</v>
      </c>
      <c r="R18" s="19">
        <v>0.0</v>
      </c>
      <c r="S18" s="21"/>
      <c r="T18" s="21"/>
      <c r="U18" s="20" t="s">
        <v>516</v>
      </c>
      <c r="V18" s="19">
        <v>0.0</v>
      </c>
      <c r="W18" s="21"/>
      <c r="X18" s="21"/>
      <c r="Y18" s="21"/>
      <c r="Z18" s="21"/>
      <c r="AA18" s="20" t="s">
        <v>517</v>
      </c>
      <c r="AB18" s="19">
        <v>0.0</v>
      </c>
    </row>
    <row r="19" ht="15.75" customHeight="1">
      <c r="A19" s="9">
        <v>1919.0</v>
      </c>
      <c r="B19" s="9" t="s">
        <v>32</v>
      </c>
      <c r="C19" s="9" t="str">
        <f t="shared" si="1"/>
        <v>Maintenance-FR-004A_ATF</v>
      </c>
      <c r="D19" s="15" t="s">
        <v>518</v>
      </c>
      <c r="E19" s="9" t="s">
        <v>34</v>
      </c>
      <c r="F19" s="9" t="s">
        <v>278</v>
      </c>
      <c r="G19" s="19" t="s">
        <v>519</v>
      </c>
      <c r="H19" s="19">
        <v>0.0</v>
      </c>
      <c r="I19" s="20" t="s">
        <v>520</v>
      </c>
      <c r="J19" s="19">
        <v>0.0</v>
      </c>
      <c r="K19" s="20" t="s">
        <v>521</v>
      </c>
      <c r="L19" s="19">
        <v>0.0</v>
      </c>
      <c r="M19" s="20" t="s">
        <v>522</v>
      </c>
      <c r="N19" s="19">
        <v>0.0</v>
      </c>
      <c r="O19" s="21"/>
      <c r="P19" s="21"/>
      <c r="Q19" s="20" t="s">
        <v>523</v>
      </c>
      <c r="R19" s="19">
        <v>0.0</v>
      </c>
      <c r="S19" s="21"/>
      <c r="T19" s="21"/>
      <c r="U19" s="20" t="s">
        <v>524</v>
      </c>
      <c r="V19" s="19">
        <v>0.0</v>
      </c>
      <c r="W19" s="21"/>
      <c r="X19" s="21"/>
      <c r="Y19" s="21"/>
      <c r="Z19" s="21"/>
      <c r="AA19" s="20" t="s">
        <v>525</v>
      </c>
      <c r="AB19" s="19">
        <v>0.0</v>
      </c>
    </row>
    <row r="20" ht="15.75" customHeight="1">
      <c r="A20" s="9">
        <v>1919.0</v>
      </c>
      <c r="B20" s="9" t="s">
        <v>32</v>
      </c>
      <c r="C20" s="9" t="str">
        <f t="shared" si="1"/>
        <v>Maintenance-FR-004B_ATF</v>
      </c>
      <c r="D20" s="15" t="s">
        <v>526</v>
      </c>
      <c r="E20" s="9" t="s">
        <v>34</v>
      </c>
      <c r="F20" s="9" t="s">
        <v>278</v>
      </c>
      <c r="G20" s="19" t="s">
        <v>527</v>
      </c>
      <c r="H20" s="19">
        <v>0.0</v>
      </c>
      <c r="I20" s="20" t="s">
        <v>528</v>
      </c>
      <c r="J20" s="19">
        <v>0.0</v>
      </c>
      <c r="K20" s="20" t="s">
        <v>529</v>
      </c>
      <c r="L20" s="19">
        <v>0.0</v>
      </c>
      <c r="M20" s="20" t="s">
        <v>530</v>
      </c>
      <c r="N20" s="19">
        <v>0.0</v>
      </c>
      <c r="O20" s="21"/>
      <c r="P20" s="21"/>
      <c r="Q20" s="20" t="s">
        <v>531</v>
      </c>
      <c r="R20" s="19">
        <v>0.0</v>
      </c>
      <c r="S20" s="21"/>
      <c r="T20" s="21"/>
      <c r="U20" s="20" t="s">
        <v>532</v>
      </c>
      <c r="V20" s="19">
        <v>0.0</v>
      </c>
      <c r="W20" s="21"/>
      <c r="X20" s="21"/>
      <c r="Y20" s="21"/>
      <c r="Z20" s="21"/>
      <c r="AA20" s="20" t="s">
        <v>533</v>
      </c>
      <c r="AB20" s="19">
        <v>0.0</v>
      </c>
    </row>
    <row r="21" ht="15.75" customHeight="1">
      <c r="A21" s="9">
        <v>1919.0</v>
      </c>
      <c r="B21" s="9" t="s">
        <v>32</v>
      </c>
      <c r="C21" s="9" t="str">
        <f t="shared" si="1"/>
        <v>Maintenance-FR-004C_BS VI MS</v>
      </c>
      <c r="D21" s="15" t="s">
        <v>534</v>
      </c>
      <c r="E21" s="9" t="s">
        <v>34</v>
      </c>
      <c r="F21" s="9" t="s">
        <v>99</v>
      </c>
      <c r="G21" s="19" t="s">
        <v>535</v>
      </c>
      <c r="H21" s="19">
        <v>0.0</v>
      </c>
      <c r="I21" s="20" t="s">
        <v>536</v>
      </c>
      <c r="J21" s="19">
        <v>0.0</v>
      </c>
      <c r="K21" s="20" t="s">
        <v>537</v>
      </c>
      <c r="L21" s="19">
        <v>0.0</v>
      </c>
      <c r="M21" s="20" t="s">
        <v>538</v>
      </c>
      <c r="N21" s="19">
        <v>0.0</v>
      </c>
      <c r="O21" s="21"/>
      <c r="P21" s="21"/>
      <c r="Q21" s="20" t="s">
        <v>539</v>
      </c>
      <c r="R21" s="19">
        <v>0.0</v>
      </c>
      <c r="S21" s="21"/>
      <c r="T21" s="21"/>
      <c r="U21" s="20" t="s">
        <v>540</v>
      </c>
      <c r="V21" s="19">
        <v>0.0</v>
      </c>
      <c r="W21" s="21"/>
      <c r="X21" s="21"/>
      <c r="Y21" s="21"/>
      <c r="Z21" s="21"/>
      <c r="AA21" s="20" t="s">
        <v>541</v>
      </c>
      <c r="AB21" s="19">
        <v>0.0</v>
      </c>
    </row>
    <row r="22" ht="15.75" customHeight="1">
      <c r="A22" s="9">
        <v>1919.0</v>
      </c>
      <c r="B22" s="9" t="s">
        <v>32</v>
      </c>
      <c r="C22" s="9" t="str">
        <f t="shared" si="1"/>
        <v>Maintenance-FR-005C_ETHANOL</v>
      </c>
      <c r="D22" s="15" t="s">
        <v>542</v>
      </c>
      <c r="E22" s="9" t="s">
        <v>34</v>
      </c>
      <c r="F22" s="9" t="s">
        <v>53</v>
      </c>
      <c r="G22" s="19" t="s">
        <v>543</v>
      </c>
      <c r="H22" s="19">
        <v>0.0</v>
      </c>
      <c r="I22" s="20" t="s">
        <v>544</v>
      </c>
      <c r="J22" s="19">
        <v>0.0</v>
      </c>
      <c r="K22" s="20" t="s">
        <v>545</v>
      </c>
      <c r="L22" s="19">
        <v>0.0</v>
      </c>
      <c r="M22" s="20" t="s">
        <v>546</v>
      </c>
      <c r="N22" s="19">
        <v>0.0</v>
      </c>
      <c r="O22" s="21"/>
      <c r="P22" s="21"/>
      <c r="Q22" s="20" t="s">
        <v>547</v>
      </c>
      <c r="R22" s="19">
        <v>0.0</v>
      </c>
      <c r="S22" s="21"/>
      <c r="T22" s="21"/>
      <c r="U22" s="20" t="s">
        <v>548</v>
      </c>
      <c r="V22" s="19">
        <v>0.0</v>
      </c>
      <c r="W22" s="21"/>
      <c r="X22" s="21"/>
      <c r="Y22" s="21"/>
      <c r="Z22" s="21"/>
      <c r="AA22" s="20" t="s">
        <v>549</v>
      </c>
      <c r="AB22" s="19">
        <v>0.0</v>
      </c>
    </row>
    <row r="23" ht="15.75" customHeight="1">
      <c r="G23" s="21"/>
      <c r="H23" s="21"/>
      <c r="I23" s="16"/>
      <c r="J23" s="16"/>
      <c r="K23" s="16"/>
      <c r="L23" s="16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5.75" customHeight="1">
      <c r="G24" s="21"/>
      <c r="H24" s="21"/>
      <c r="I24" s="16"/>
      <c r="J24" s="16"/>
      <c r="K24" s="16"/>
      <c r="L24" s="16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5.75" customHeight="1">
      <c r="G25" s="21"/>
      <c r="H25" s="21"/>
      <c r="I25" s="16"/>
      <c r="J25" s="16"/>
      <c r="K25" s="16"/>
      <c r="L25" s="16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5.75" customHeight="1">
      <c r="G26" s="21"/>
      <c r="H26" s="21"/>
      <c r="I26" s="16"/>
      <c r="J26" s="16"/>
      <c r="K26" s="16"/>
      <c r="L26" s="16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5.75" customHeight="1">
      <c r="G27" s="21"/>
      <c r="H27" s="21"/>
      <c r="I27" s="16"/>
      <c r="J27" s="16"/>
      <c r="K27" s="16"/>
      <c r="L27" s="16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5.75" customHeight="1">
      <c r="G28" s="21"/>
      <c r="H28" s="21"/>
      <c r="I28" s="16"/>
      <c r="J28" s="16"/>
      <c r="K28" s="16"/>
      <c r="L28" s="16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5.75" customHeight="1">
      <c r="G29" s="21"/>
      <c r="H29" s="21"/>
      <c r="I29" s="16"/>
      <c r="J29" s="16"/>
      <c r="K29" s="16"/>
      <c r="L29" s="16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5.75" customHeight="1">
      <c r="G30" s="21"/>
      <c r="H30" s="21"/>
      <c r="I30" s="16"/>
      <c r="J30" s="16"/>
      <c r="K30" s="16"/>
      <c r="L30" s="16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5.75" customHeight="1">
      <c r="G31" s="21"/>
      <c r="H31" s="21"/>
      <c r="I31" s="16"/>
      <c r="J31" s="16"/>
      <c r="K31" s="16"/>
      <c r="L31" s="16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5.75" customHeight="1">
      <c r="G32" s="21"/>
      <c r="H32" s="21"/>
      <c r="I32" s="16"/>
      <c r="J32" s="16"/>
      <c r="K32" s="16"/>
      <c r="L32" s="16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5.75" customHeight="1">
      <c r="G33" s="21"/>
      <c r="H33" s="21"/>
      <c r="I33" s="16"/>
      <c r="J33" s="16"/>
      <c r="K33" s="16"/>
      <c r="L33" s="16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5.75" customHeight="1">
      <c r="G34" s="21"/>
      <c r="H34" s="21"/>
      <c r="I34" s="16"/>
      <c r="J34" s="16"/>
      <c r="K34" s="16"/>
      <c r="L34" s="16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5.75" customHeight="1">
      <c r="G35" s="21"/>
      <c r="H35" s="21"/>
      <c r="I35" s="16"/>
      <c r="J35" s="16"/>
      <c r="K35" s="16"/>
      <c r="L35" s="16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5.75" customHeight="1">
      <c r="G36" s="21"/>
      <c r="H36" s="21"/>
      <c r="I36" s="16"/>
      <c r="J36" s="16"/>
      <c r="K36" s="16"/>
      <c r="L36" s="16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5.75" customHeight="1">
      <c r="G37" s="21"/>
      <c r="H37" s="21"/>
      <c r="I37" s="16"/>
      <c r="J37" s="16"/>
      <c r="K37" s="16"/>
      <c r="L37" s="16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5.75" customHeight="1">
      <c r="G38" s="21"/>
      <c r="H38" s="21"/>
      <c r="I38" s="16"/>
      <c r="J38" s="16"/>
      <c r="K38" s="16"/>
      <c r="L38" s="1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5.75" customHeight="1">
      <c r="G39" s="21"/>
      <c r="H39" s="21"/>
      <c r="I39" s="16"/>
      <c r="J39" s="16"/>
      <c r="K39" s="16"/>
      <c r="L39" s="16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5.75" customHeight="1">
      <c r="G40" s="21"/>
      <c r="H40" s="21"/>
      <c r="I40" s="16"/>
      <c r="J40" s="16"/>
      <c r="K40" s="16"/>
      <c r="L40" s="16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5.75" customHeight="1">
      <c r="G41" s="21"/>
      <c r="H41" s="21"/>
      <c r="I41" s="16"/>
      <c r="J41" s="16"/>
      <c r="K41" s="16"/>
      <c r="L41" s="16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5.75" customHeight="1">
      <c r="G42" s="21"/>
      <c r="H42" s="21"/>
      <c r="I42" s="16"/>
      <c r="J42" s="16"/>
      <c r="K42" s="16"/>
      <c r="L42" s="16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5.75" customHeight="1">
      <c r="G43" s="21"/>
      <c r="H43" s="21"/>
      <c r="I43" s="16"/>
      <c r="J43" s="16"/>
      <c r="K43" s="16"/>
      <c r="L43" s="16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5.75" customHeight="1">
      <c r="G44" s="21"/>
      <c r="H44" s="21"/>
      <c r="I44" s="16"/>
      <c r="J44" s="16"/>
      <c r="K44" s="16"/>
      <c r="L44" s="16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5.75" customHeight="1">
      <c r="G45" s="21"/>
      <c r="H45" s="21"/>
      <c r="I45" s="16"/>
      <c r="J45" s="16"/>
      <c r="K45" s="16"/>
      <c r="L45" s="16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5.75" customHeight="1">
      <c r="G46" s="21"/>
      <c r="H46" s="21"/>
      <c r="I46" s="16"/>
      <c r="J46" s="16"/>
      <c r="K46" s="16"/>
      <c r="L46" s="16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5.75" customHeight="1">
      <c r="G47" s="21"/>
      <c r="H47" s="21"/>
      <c r="I47" s="16"/>
      <c r="J47" s="16"/>
      <c r="K47" s="16"/>
      <c r="L47" s="16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5.75" customHeight="1">
      <c r="G48" s="21"/>
      <c r="H48" s="21"/>
      <c r="I48" s="16"/>
      <c r="J48" s="16"/>
      <c r="K48" s="16"/>
      <c r="L48" s="16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5.75" customHeight="1">
      <c r="G49" s="21"/>
      <c r="H49" s="21"/>
      <c r="I49" s="16"/>
      <c r="J49" s="16"/>
      <c r="K49" s="16"/>
      <c r="L49" s="16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5.75" customHeight="1">
      <c r="G50" s="21"/>
      <c r="H50" s="21"/>
      <c r="I50" s="16"/>
      <c r="J50" s="16"/>
      <c r="K50" s="16"/>
      <c r="L50" s="16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5.75" customHeight="1">
      <c r="G51" s="21"/>
      <c r="H51" s="21"/>
      <c r="I51" s="16"/>
      <c r="J51" s="16"/>
      <c r="K51" s="16"/>
      <c r="L51" s="16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5.75" customHeight="1">
      <c r="G52" s="21"/>
      <c r="H52" s="21"/>
      <c r="I52" s="16"/>
      <c r="J52" s="16"/>
      <c r="K52" s="16"/>
      <c r="L52" s="16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5.75" customHeight="1">
      <c r="G53" s="21"/>
      <c r="H53" s="21"/>
      <c r="I53" s="16"/>
      <c r="J53" s="16"/>
      <c r="K53" s="16"/>
      <c r="L53" s="16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5.75" customHeight="1">
      <c r="G54" s="21"/>
      <c r="H54" s="21"/>
      <c r="I54" s="16"/>
      <c r="J54" s="16"/>
      <c r="K54" s="16"/>
      <c r="L54" s="16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5.75" customHeight="1">
      <c r="G55" s="21"/>
      <c r="H55" s="21"/>
      <c r="I55" s="16"/>
      <c r="J55" s="16"/>
      <c r="K55" s="16"/>
      <c r="L55" s="16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5.75" customHeight="1">
      <c r="G56" s="21"/>
      <c r="H56" s="21"/>
      <c r="I56" s="16"/>
      <c r="J56" s="16"/>
      <c r="K56" s="16"/>
      <c r="L56" s="16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5.75" customHeight="1">
      <c r="G57" s="21"/>
      <c r="H57" s="21"/>
      <c r="I57" s="16"/>
      <c r="J57" s="16"/>
      <c r="K57" s="16"/>
      <c r="L57" s="16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5.75" customHeight="1">
      <c r="G58" s="21"/>
      <c r="H58" s="21"/>
      <c r="I58" s="16"/>
      <c r="J58" s="16"/>
      <c r="K58" s="16"/>
      <c r="L58" s="16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5.75" customHeight="1">
      <c r="G59" s="21"/>
      <c r="H59" s="21"/>
      <c r="I59" s="16"/>
      <c r="J59" s="16"/>
      <c r="K59" s="16"/>
      <c r="L59" s="16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5.75" customHeight="1">
      <c r="G60" s="21"/>
      <c r="H60" s="21"/>
      <c r="I60" s="16"/>
      <c r="J60" s="16"/>
      <c r="K60" s="16"/>
      <c r="L60" s="16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5.75" customHeight="1">
      <c r="G61" s="21"/>
      <c r="H61" s="21"/>
      <c r="I61" s="16"/>
      <c r="J61" s="16"/>
      <c r="K61" s="16"/>
      <c r="L61" s="16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5.75" customHeight="1">
      <c r="G62" s="21"/>
      <c r="H62" s="21"/>
      <c r="I62" s="16"/>
      <c r="J62" s="16"/>
      <c r="K62" s="16"/>
      <c r="L62" s="16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5.75" customHeight="1">
      <c r="G63" s="21"/>
      <c r="H63" s="21"/>
      <c r="I63" s="16"/>
      <c r="J63" s="16"/>
      <c r="K63" s="16"/>
      <c r="L63" s="16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5.75" customHeight="1">
      <c r="G64" s="21"/>
      <c r="H64" s="21"/>
      <c r="I64" s="16"/>
      <c r="J64" s="16"/>
      <c r="K64" s="16"/>
      <c r="L64" s="16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5.75" customHeight="1">
      <c r="G65" s="21"/>
      <c r="H65" s="21"/>
      <c r="I65" s="16"/>
      <c r="J65" s="16"/>
      <c r="K65" s="16"/>
      <c r="L65" s="16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5.75" customHeight="1">
      <c r="G66" s="21"/>
      <c r="H66" s="21"/>
      <c r="I66" s="16"/>
      <c r="J66" s="16"/>
      <c r="K66" s="16"/>
      <c r="L66" s="16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5.75" customHeight="1">
      <c r="G67" s="21"/>
      <c r="H67" s="21"/>
      <c r="I67" s="16"/>
      <c r="J67" s="16"/>
      <c r="K67" s="16"/>
      <c r="L67" s="16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5.75" customHeight="1">
      <c r="G68" s="21"/>
      <c r="H68" s="21"/>
      <c r="I68" s="16"/>
      <c r="J68" s="16"/>
      <c r="K68" s="16"/>
      <c r="L68" s="16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5.75" customHeight="1">
      <c r="G69" s="21"/>
      <c r="H69" s="21"/>
      <c r="I69" s="16"/>
      <c r="J69" s="16"/>
      <c r="K69" s="16"/>
      <c r="L69" s="16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5.75" customHeight="1">
      <c r="G70" s="21"/>
      <c r="H70" s="21"/>
      <c r="I70" s="16"/>
      <c r="J70" s="16"/>
      <c r="K70" s="16"/>
      <c r="L70" s="16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5.75" customHeight="1">
      <c r="G71" s="21"/>
      <c r="H71" s="21"/>
      <c r="I71" s="16"/>
      <c r="J71" s="16"/>
      <c r="K71" s="16"/>
      <c r="L71" s="16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5.75" customHeight="1">
      <c r="G72" s="21"/>
      <c r="H72" s="21"/>
      <c r="I72" s="16"/>
      <c r="J72" s="16"/>
      <c r="K72" s="16"/>
      <c r="L72" s="16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5.75" customHeight="1">
      <c r="G73" s="21"/>
      <c r="H73" s="21"/>
      <c r="I73" s="16"/>
      <c r="J73" s="16"/>
      <c r="K73" s="16"/>
      <c r="L73" s="16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5.75" customHeight="1">
      <c r="G74" s="21"/>
      <c r="H74" s="21"/>
      <c r="I74" s="16"/>
      <c r="J74" s="16"/>
      <c r="K74" s="16"/>
      <c r="L74" s="16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5.75" customHeight="1">
      <c r="G75" s="21"/>
      <c r="H75" s="21"/>
      <c r="I75" s="16"/>
      <c r="J75" s="16"/>
      <c r="K75" s="16"/>
      <c r="L75" s="16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5.75" customHeight="1">
      <c r="G76" s="21"/>
      <c r="H76" s="21"/>
      <c r="I76" s="16"/>
      <c r="J76" s="16"/>
      <c r="K76" s="16"/>
      <c r="L76" s="16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5.75" customHeight="1">
      <c r="G77" s="21"/>
      <c r="H77" s="21"/>
      <c r="I77" s="16"/>
      <c r="J77" s="16"/>
      <c r="K77" s="16"/>
      <c r="L77" s="16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5.75" customHeight="1">
      <c r="G78" s="21"/>
      <c r="H78" s="21"/>
      <c r="I78" s="16"/>
      <c r="J78" s="16"/>
      <c r="K78" s="16"/>
      <c r="L78" s="16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5.75" customHeight="1">
      <c r="G79" s="21"/>
      <c r="H79" s="21"/>
      <c r="I79" s="16"/>
      <c r="J79" s="16"/>
      <c r="K79" s="16"/>
      <c r="L79" s="16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5.75" customHeight="1">
      <c r="G80" s="21"/>
      <c r="H80" s="21"/>
      <c r="I80" s="16"/>
      <c r="J80" s="16"/>
      <c r="K80" s="16"/>
      <c r="L80" s="16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5.75" customHeight="1">
      <c r="G81" s="21"/>
      <c r="H81" s="21"/>
      <c r="I81" s="16"/>
      <c r="J81" s="16"/>
      <c r="K81" s="16"/>
      <c r="L81" s="16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5.75" customHeight="1">
      <c r="G82" s="21"/>
      <c r="H82" s="21"/>
      <c r="I82" s="16"/>
      <c r="J82" s="16"/>
      <c r="K82" s="16"/>
      <c r="L82" s="16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5.75" customHeight="1">
      <c r="G83" s="21"/>
      <c r="H83" s="21"/>
      <c r="I83" s="16"/>
      <c r="J83" s="16"/>
      <c r="K83" s="16"/>
      <c r="L83" s="16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5.75" customHeight="1">
      <c r="G84" s="21"/>
      <c r="H84" s="21"/>
      <c r="I84" s="16"/>
      <c r="J84" s="16"/>
      <c r="K84" s="16"/>
      <c r="L84" s="16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5.75" customHeight="1">
      <c r="G85" s="21"/>
      <c r="H85" s="21"/>
      <c r="I85" s="16"/>
      <c r="J85" s="16"/>
      <c r="K85" s="16"/>
      <c r="L85" s="16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5.75" customHeight="1">
      <c r="G86" s="21"/>
      <c r="H86" s="21"/>
      <c r="I86" s="16"/>
      <c r="J86" s="16"/>
      <c r="K86" s="16"/>
      <c r="L86" s="16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5.75" customHeight="1">
      <c r="G87" s="21"/>
      <c r="H87" s="21"/>
      <c r="I87" s="16"/>
      <c r="J87" s="16"/>
      <c r="K87" s="16"/>
      <c r="L87" s="16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5.75" customHeight="1">
      <c r="G88" s="21"/>
      <c r="H88" s="21"/>
      <c r="I88" s="16"/>
      <c r="J88" s="16"/>
      <c r="K88" s="16"/>
      <c r="L88" s="16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5.75" customHeight="1">
      <c r="G89" s="21"/>
      <c r="H89" s="21"/>
      <c r="I89" s="16"/>
      <c r="J89" s="16"/>
      <c r="K89" s="16"/>
      <c r="L89" s="16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5.75" customHeight="1">
      <c r="G90" s="21"/>
      <c r="H90" s="21"/>
      <c r="I90" s="16"/>
      <c r="J90" s="16"/>
      <c r="K90" s="16"/>
      <c r="L90" s="16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5.75" customHeight="1">
      <c r="G91" s="21"/>
      <c r="H91" s="21"/>
      <c r="I91" s="16"/>
      <c r="J91" s="16"/>
      <c r="K91" s="16"/>
      <c r="L91" s="16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5.75" customHeight="1">
      <c r="G92" s="21"/>
      <c r="H92" s="21"/>
      <c r="I92" s="16"/>
      <c r="J92" s="16"/>
      <c r="K92" s="16"/>
      <c r="L92" s="16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5.75" customHeight="1">
      <c r="G93" s="21"/>
      <c r="H93" s="21"/>
      <c r="I93" s="16"/>
      <c r="J93" s="16"/>
      <c r="K93" s="16"/>
      <c r="L93" s="16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5.75" customHeight="1">
      <c r="G94" s="21"/>
      <c r="H94" s="21"/>
      <c r="I94" s="16"/>
      <c r="J94" s="16"/>
      <c r="K94" s="16"/>
      <c r="L94" s="16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5.75" customHeight="1">
      <c r="G95" s="21"/>
      <c r="H95" s="21"/>
      <c r="I95" s="16"/>
      <c r="J95" s="16"/>
      <c r="K95" s="16"/>
      <c r="L95" s="16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5.75" customHeight="1">
      <c r="G96" s="21"/>
      <c r="H96" s="21"/>
      <c r="I96" s="16"/>
      <c r="J96" s="16"/>
      <c r="K96" s="16"/>
      <c r="L96" s="16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5.75" customHeight="1">
      <c r="G97" s="21"/>
      <c r="H97" s="21"/>
      <c r="I97" s="16"/>
      <c r="J97" s="16"/>
      <c r="K97" s="16"/>
      <c r="L97" s="16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5.75" customHeight="1">
      <c r="G98" s="21"/>
      <c r="H98" s="21"/>
      <c r="I98" s="16"/>
      <c r="J98" s="16"/>
      <c r="K98" s="16"/>
      <c r="L98" s="16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5.75" customHeight="1">
      <c r="G99" s="21"/>
      <c r="H99" s="21"/>
      <c r="I99" s="16"/>
      <c r="J99" s="16"/>
      <c r="K99" s="16"/>
      <c r="L99" s="16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5.75" customHeight="1">
      <c r="G100" s="21"/>
      <c r="H100" s="21"/>
      <c r="I100" s="16"/>
      <c r="J100" s="16"/>
      <c r="K100" s="16"/>
      <c r="L100" s="16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5.75" customHeight="1">
      <c r="G101" s="21"/>
      <c r="H101" s="21"/>
      <c r="I101" s="16"/>
      <c r="J101" s="16"/>
      <c r="K101" s="16"/>
      <c r="L101" s="16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5.75" customHeight="1">
      <c r="G102" s="21"/>
      <c r="H102" s="21"/>
      <c r="I102" s="16"/>
      <c r="J102" s="16"/>
      <c r="K102" s="16"/>
      <c r="L102" s="16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5.75" customHeight="1">
      <c r="G103" s="21"/>
      <c r="H103" s="21"/>
      <c r="I103" s="16"/>
      <c r="J103" s="16"/>
      <c r="K103" s="16"/>
      <c r="L103" s="16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5.75" customHeight="1">
      <c r="G104" s="21"/>
      <c r="H104" s="21"/>
      <c r="I104" s="16"/>
      <c r="J104" s="16"/>
      <c r="K104" s="16"/>
      <c r="L104" s="16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5.75" customHeight="1">
      <c r="G105" s="21"/>
      <c r="H105" s="21"/>
      <c r="I105" s="16"/>
      <c r="J105" s="16"/>
      <c r="K105" s="16"/>
      <c r="L105" s="16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5.75" customHeight="1">
      <c r="G106" s="21"/>
      <c r="H106" s="21"/>
      <c r="I106" s="16"/>
      <c r="J106" s="16"/>
      <c r="K106" s="16"/>
      <c r="L106" s="16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5.75" customHeight="1">
      <c r="G107" s="21"/>
      <c r="H107" s="21"/>
      <c r="I107" s="16"/>
      <c r="J107" s="16"/>
      <c r="K107" s="16"/>
      <c r="L107" s="16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5.75" customHeight="1">
      <c r="G108" s="21"/>
      <c r="H108" s="21"/>
      <c r="I108" s="16"/>
      <c r="J108" s="16"/>
      <c r="K108" s="16"/>
      <c r="L108" s="16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5.75" customHeight="1">
      <c r="G109" s="21"/>
      <c r="H109" s="21"/>
      <c r="I109" s="16"/>
      <c r="J109" s="16"/>
      <c r="K109" s="16"/>
      <c r="L109" s="16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5.75" customHeight="1">
      <c r="G110" s="21"/>
      <c r="H110" s="21"/>
      <c r="I110" s="16"/>
      <c r="J110" s="16"/>
      <c r="K110" s="16"/>
      <c r="L110" s="16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5.75" customHeight="1">
      <c r="G111" s="21"/>
      <c r="H111" s="21"/>
      <c r="I111" s="16"/>
      <c r="J111" s="16"/>
      <c r="K111" s="16"/>
      <c r="L111" s="16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5.75" customHeight="1">
      <c r="G112" s="21"/>
      <c r="H112" s="21"/>
      <c r="I112" s="16"/>
      <c r="J112" s="16"/>
      <c r="K112" s="16"/>
      <c r="L112" s="16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5.75" customHeight="1">
      <c r="G113" s="21"/>
      <c r="H113" s="21"/>
      <c r="I113" s="16"/>
      <c r="J113" s="16"/>
      <c r="K113" s="16"/>
      <c r="L113" s="16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5.75" customHeight="1">
      <c r="G114" s="21"/>
      <c r="H114" s="21"/>
      <c r="I114" s="16"/>
      <c r="J114" s="16"/>
      <c r="K114" s="16"/>
      <c r="L114" s="16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5.75" customHeight="1">
      <c r="G115" s="21"/>
      <c r="H115" s="21"/>
      <c r="I115" s="16"/>
      <c r="J115" s="16"/>
      <c r="K115" s="16"/>
      <c r="L115" s="16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5.75" customHeight="1">
      <c r="G116" s="21"/>
      <c r="H116" s="21"/>
      <c r="I116" s="16"/>
      <c r="J116" s="16"/>
      <c r="K116" s="16"/>
      <c r="L116" s="16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5.75" customHeight="1">
      <c r="G117" s="21"/>
      <c r="H117" s="21"/>
      <c r="I117" s="16"/>
      <c r="J117" s="16"/>
      <c r="K117" s="16"/>
      <c r="L117" s="16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5.75" customHeight="1">
      <c r="G118" s="21"/>
      <c r="H118" s="21"/>
      <c r="I118" s="16"/>
      <c r="J118" s="16"/>
      <c r="K118" s="16"/>
      <c r="L118" s="16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5.75" customHeight="1">
      <c r="G119" s="21"/>
      <c r="H119" s="21"/>
      <c r="I119" s="16"/>
      <c r="J119" s="16"/>
      <c r="K119" s="16"/>
      <c r="L119" s="16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5.75" customHeight="1">
      <c r="G120" s="21"/>
      <c r="H120" s="21"/>
      <c r="I120" s="16"/>
      <c r="J120" s="16"/>
      <c r="K120" s="16"/>
      <c r="L120" s="16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15.75" customHeight="1">
      <c r="G121" s="21"/>
      <c r="H121" s="21"/>
      <c r="I121" s="16"/>
      <c r="J121" s="16"/>
      <c r="K121" s="16"/>
      <c r="L121" s="16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15.75" customHeight="1">
      <c r="G122" s="21"/>
      <c r="H122" s="21"/>
      <c r="I122" s="16"/>
      <c r="J122" s="16"/>
      <c r="K122" s="16"/>
      <c r="L122" s="16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15.75" customHeight="1">
      <c r="G123" s="21"/>
      <c r="H123" s="21"/>
      <c r="I123" s="16"/>
      <c r="J123" s="16"/>
      <c r="K123" s="16"/>
      <c r="L123" s="16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5.75" customHeight="1">
      <c r="G124" s="21"/>
      <c r="H124" s="21"/>
      <c r="I124" s="16"/>
      <c r="J124" s="16"/>
      <c r="K124" s="16"/>
      <c r="L124" s="16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5.75" customHeight="1">
      <c r="G125" s="21"/>
      <c r="H125" s="21"/>
      <c r="I125" s="16"/>
      <c r="J125" s="16"/>
      <c r="K125" s="16"/>
      <c r="L125" s="16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5.75" customHeight="1">
      <c r="G126" s="21"/>
      <c r="H126" s="21"/>
      <c r="I126" s="16"/>
      <c r="J126" s="16"/>
      <c r="K126" s="16"/>
      <c r="L126" s="16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5.75" customHeight="1">
      <c r="G127" s="21"/>
      <c r="H127" s="21"/>
      <c r="I127" s="16"/>
      <c r="J127" s="16"/>
      <c r="K127" s="16"/>
      <c r="L127" s="16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5.75" customHeight="1">
      <c r="G128" s="21"/>
      <c r="H128" s="21"/>
      <c r="I128" s="16"/>
      <c r="J128" s="16"/>
      <c r="K128" s="16"/>
      <c r="L128" s="16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5.75" customHeight="1">
      <c r="G129" s="21"/>
      <c r="H129" s="21"/>
      <c r="I129" s="16"/>
      <c r="J129" s="16"/>
      <c r="K129" s="16"/>
      <c r="L129" s="16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5.75" customHeight="1">
      <c r="G130" s="21"/>
      <c r="H130" s="21"/>
      <c r="I130" s="16"/>
      <c r="J130" s="16"/>
      <c r="K130" s="16"/>
      <c r="L130" s="16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15.75" customHeight="1">
      <c r="G131" s="21"/>
      <c r="H131" s="21"/>
      <c r="I131" s="16"/>
      <c r="J131" s="16"/>
      <c r="K131" s="16"/>
      <c r="L131" s="16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15.75" customHeight="1">
      <c r="G132" s="21"/>
      <c r="H132" s="21"/>
      <c r="I132" s="16"/>
      <c r="J132" s="16"/>
      <c r="K132" s="16"/>
      <c r="L132" s="16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15.75" customHeight="1">
      <c r="G133" s="21"/>
      <c r="H133" s="21"/>
      <c r="I133" s="16"/>
      <c r="J133" s="16"/>
      <c r="K133" s="16"/>
      <c r="L133" s="16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15.75" customHeight="1">
      <c r="G134" s="21"/>
      <c r="H134" s="21"/>
      <c r="I134" s="16"/>
      <c r="J134" s="16"/>
      <c r="K134" s="16"/>
      <c r="L134" s="16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15.75" customHeight="1">
      <c r="G135" s="21"/>
      <c r="H135" s="21"/>
      <c r="I135" s="16"/>
      <c r="J135" s="16"/>
      <c r="K135" s="16"/>
      <c r="L135" s="16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15.75" customHeight="1">
      <c r="G136" s="21"/>
      <c r="H136" s="21"/>
      <c r="I136" s="16"/>
      <c r="J136" s="16"/>
      <c r="K136" s="16"/>
      <c r="L136" s="16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15.75" customHeight="1">
      <c r="G137" s="21"/>
      <c r="H137" s="21"/>
      <c r="I137" s="16"/>
      <c r="J137" s="16"/>
      <c r="K137" s="16"/>
      <c r="L137" s="16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15.75" customHeight="1">
      <c r="G138" s="21"/>
      <c r="H138" s="21"/>
      <c r="I138" s="16"/>
      <c r="J138" s="16"/>
      <c r="K138" s="16"/>
      <c r="L138" s="16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15.75" customHeight="1">
      <c r="G139" s="21"/>
      <c r="H139" s="21"/>
      <c r="I139" s="16"/>
      <c r="J139" s="16"/>
      <c r="K139" s="16"/>
      <c r="L139" s="16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15.75" customHeight="1">
      <c r="G140" s="21"/>
      <c r="H140" s="21"/>
      <c r="I140" s="16"/>
      <c r="J140" s="16"/>
      <c r="K140" s="16"/>
      <c r="L140" s="16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15.75" customHeight="1">
      <c r="G141" s="21"/>
      <c r="H141" s="21"/>
      <c r="I141" s="16"/>
      <c r="J141" s="16"/>
      <c r="K141" s="16"/>
      <c r="L141" s="16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15.75" customHeight="1">
      <c r="G142" s="21"/>
      <c r="H142" s="21"/>
      <c r="I142" s="16"/>
      <c r="J142" s="16"/>
      <c r="K142" s="16"/>
      <c r="L142" s="16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15.75" customHeight="1">
      <c r="G143" s="21"/>
      <c r="H143" s="21"/>
      <c r="I143" s="16"/>
      <c r="J143" s="16"/>
      <c r="K143" s="16"/>
      <c r="L143" s="16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15.75" customHeight="1">
      <c r="G144" s="21"/>
      <c r="H144" s="21"/>
      <c r="I144" s="16"/>
      <c r="J144" s="16"/>
      <c r="K144" s="16"/>
      <c r="L144" s="16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15.75" customHeight="1">
      <c r="G145" s="21"/>
      <c r="H145" s="21"/>
      <c r="I145" s="16"/>
      <c r="J145" s="16"/>
      <c r="K145" s="16"/>
      <c r="L145" s="16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15.75" customHeight="1">
      <c r="G146" s="21"/>
      <c r="H146" s="21"/>
      <c r="I146" s="16"/>
      <c r="J146" s="16"/>
      <c r="K146" s="16"/>
      <c r="L146" s="16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15.75" customHeight="1">
      <c r="G147" s="21"/>
      <c r="H147" s="21"/>
      <c r="I147" s="16"/>
      <c r="J147" s="16"/>
      <c r="K147" s="16"/>
      <c r="L147" s="16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15.75" customHeight="1">
      <c r="G148" s="21"/>
      <c r="H148" s="21"/>
      <c r="I148" s="16"/>
      <c r="J148" s="16"/>
      <c r="K148" s="16"/>
      <c r="L148" s="16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15.75" customHeight="1">
      <c r="G149" s="21"/>
      <c r="H149" s="21"/>
      <c r="I149" s="16"/>
      <c r="J149" s="16"/>
      <c r="K149" s="16"/>
      <c r="L149" s="16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15.75" customHeight="1">
      <c r="G150" s="21"/>
      <c r="H150" s="21"/>
      <c r="I150" s="16"/>
      <c r="J150" s="16"/>
      <c r="K150" s="16"/>
      <c r="L150" s="16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15.75" customHeight="1">
      <c r="G151" s="21"/>
      <c r="H151" s="21"/>
      <c r="I151" s="16"/>
      <c r="J151" s="16"/>
      <c r="K151" s="16"/>
      <c r="L151" s="16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15.75" customHeight="1">
      <c r="G152" s="21"/>
      <c r="H152" s="21"/>
      <c r="I152" s="16"/>
      <c r="J152" s="16"/>
      <c r="K152" s="16"/>
      <c r="L152" s="16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15.75" customHeight="1">
      <c r="G153" s="21"/>
      <c r="H153" s="21"/>
      <c r="I153" s="16"/>
      <c r="J153" s="16"/>
      <c r="K153" s="16"/>
      <c r="L153" s="16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15.75" customHeight="1">
      <c r="G154" s="21"/>
      <c r="H154" s="21"/>
      <c r="I154" s="16"/>
      <c r="J154" s="16"/>
      <c r="K154" s="16"/>
      <c r="L154" s="16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15.75" customHeight="1">
      <c r="G155" s="21"/>
      <c r="H155" s="21"/>
      <c r="I155" s="16"/>
      <c r="J155" s="16"/>
      <c r="K155" s="16"/>
      <c r="L155" s="16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15.75" customHeight="1">
      <c r="G156" s="21"/>
      <c r="H156" s="21"/>
      <c r="I156" s="16"/>
      <c r="J156" s="16"/>
      <c r="K156" s="16"/>
      <c r="L156" s="16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15.75" customHeight="1">
      <c r="G157" s="21"/>
      <c r="H157" s="21"/>
      <c r="I157" s="16"/>
      <c r="J157" s="16"/>
      <c r="K157" s="16"/>
      <c r="L157" s="16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15.75" customHeight="1">
      <c r="G158" s="21"/>
      <c r="H158" s="21"/>
      <c r="I158" s="16"/>
      <c r="J158" s="16"/>
      <c r="K158" s="16"/>
      <c r="L158" s="16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15.75" customHeight="1">
      <c r="G159" s="21"/>
      <c r="H159" s="21"/>
      <c r="I159" s="16"/>
      <c r="J159" s="16"/>
      <c r="K159" s="16"/>
      <c r="L159" s="16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15.75" customHeight="1">
      <c r="G160" s="21"/>
      <c r="H160" s="21"/>
      <c r="I160" s="16"/>
      <c r="J160" s="16"/>
      <c r="K160" s="16"/>
      <c r="L160" s="16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15.75" customHeight="1">
      <c r="G161" s="21"/>
      <c r="H161" s="21"/>
      <c r="I161" s="16"/>
      <c r="J161" s="16"/>
      <c r="K161" s="16"/>
      <c r="L161" s="16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15.75" customHeight="1">
      <c r="G162" s="21"/>
      <c r="H162" s="21"/>
      <c r="I162" s="16"/>
      <c r="J162" s="16"/>
      <c r="K162" s="16"/>
      <c r="L162" s="16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15.75" customHeight="1">
      <c r="G163" s="21"/>
      <c r="H163" s="21"/>
      <c r="I163" s="16"/>
      <c r="J163" s="16"/>
      <c r="K163" s="16"/>
      <c r="L163" s="16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15.75" customHeight="1">
      <c r="G164" s="21"/>
      <c r="H164" s="21"/>
      <c r="I164" s="16"/>
      <c r="J164" s="16"/>
      <c r="K164" s="16"/>
      <c r="L164" s="16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15.75" customHeight="1">
      <c r="G165" s="21"/>
      <c r="H165" s="21"/>
      <c r="I165" s="16"/>
      <c r="J165" s="16"/>
      <c r="K165" s="16"/>
      <c r="L165" s="16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15.75" customHeight="1">
      <c r="G166" s="21"/>
      <c r="H166" s="21"/>
      <c r="I166" s="16"/>
      <c r="J166" s="16"/>
      <c r="K166" s="16"/>
      <c r="L166" s="16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15.75" customHeight="1">
      <c r="G167" s="21"/>
      <c r="H167" s="21"/>
      <c r="I167" s="16"/>
      <c r="J167" s="16"/>
      <c r="K167" s="16"/>
      <c r="L167" s="16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15.75" customHeight="1">
      <c r="G168" s="21"/>
      <c r="H168" s="21"/>
      <c r="I168" s="16"/>
      <c r="J168" s="16"/>
      <c r="K168" s="16"/>
      <c r="L168" s="16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15.75" customHeight="1">
      <c r="G169" s="21"/>
      <c r="H169" s="21"/>
      <c r="I169" s="16"/>
      <c r="J169" s="16"/>
      <c r="K169" s="16"/>
      <c r="L169" s="16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15.75" customHeight="1">
      <c r="G170" s="21"/>
      <c r="H170" s="21"/>
      <c r="I170" s="16"/>
      <c r="J170" s="16"/>
      <c r="K170" s="16"/>
      <c r="L170" s="16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15.75" customHeight="1">
      <c r="G171" s="21"/>
      <c r="H171" s="21"/>
      <c r="I171" s="16"/>
      <c r="J171" s="16"/>
      <c r="K171" s="16"/>
      <c r="L171" s="16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15.75" customHeight="1">
      <c r="G172" s="21"/>
      <c r="H172" s="21"/>
      <c r="I172" s="16"/>
      <c r="J172" s="16"/>
      <c r="K172" s="16"/>
      <c r="L172" s="16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15.75" customHeight="1">
      <c r="G173" s="21"/>
      <c r="H173" s="21"/>
      <c r="I173" s="16"/>
      <c r="J173" s="16"/>
      <c r="K173" s="16"/>
      <c r="L173" s="16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15.75" customHeight="1">
      <c r="G174" s="21"/>
      <c r="H174" s="21"/>
      <c r="I174" s="16"/>
      <c r="J174" s="16"/>
      <c r="K174" s="16"/>
      <c r="L174" s="16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15.75" customHeight="1">
      <c r="G175" s="21"/>
      <c r="H175" s="21"/>
      <c r="I175" s="16"/>
      <c r="J175" s="16"/>
      <c r="K175" s="16"/>
      <c r="L175" s="16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15.75" customHeight="1">
      <c r="G176" s="21"/>
      <c r="H176" s="21"/>
      <c r="I176" s="16"/>
      <c r="J176" s="16"/>
      <c r="K176" s="16"/>
      <c r="L176" s="16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15.75" customHeight="1">
      <c r="G177" s="21"/>
      <c r="H177" s="21"/>
      <c r="I177" s="16"/>
      <c r="J177" s="16"/>
      <c r="K177" s="16"/>
      <c r="L177" s="16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15.75" customHeight="1">
      <c r="G178" s="21"/>
      <c r="H178" s="21"/>
      <c r="I178" s="16"/>
      <c r="J178" s="16"/>
      <c r="K178" s="16"/>
      <c r="L178" s="16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15.75" customHeight="1">
      <c r="G179" s="21"/>
      <c r="H179" s="21"/>
      <c r="I179" s="16"/>
      <c r="J179" s="16"/>
      <c r="K179" s="16"/>
      <c r="L179" s="16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15.75" customHeight="1">
      <c r="G180" s="21"/>
      <c r="H180" s="21"/>
      <c r="I180" s="16"/>
      <c r="J180" s="16"/>
      <c r="K180" s="16"/>
      <c r="L180" s="16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15.75" customHeight="1">
      <c r="G181" s="21"/>
      <c r="H181" s="21"/>
      <c r="I181" s="16"/>
      <c r="J181" s="16"/>
      <c r="K181" s="16"/>
      <c r="L181" s="16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15.75" customHeight="1">
      <c r="G182" s="21"/>
      <c r="H182" s="21"/>
      <c r="I182" s="16"/>
      <c r="J182" s="16"/>
      <c r="K182" s="16"/>
      <c r="L182" s="16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15.75" customHeight="1">
      <c r="G183" s="21"/>
      <c r="H183" s="21"/>
      <c r="I183" s="16"/>
      <c r="J183" s="16"/>
      <c r="K183" s="16"/>
      <c r="L183" s="16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4.13"/>
    <col customWidth="1" min="4" max="4" width="17.75"/>
    <col customWidth="1" min="5" max="6" width="12.63"/>
    <col customWidth="1" min="7" max="7" width="12.25"/>
    <col customWidth="1" min="8" max="8" width="25.75"/>
    <col customWidth="1" min="10" max="10" width="20.0"/>
    <col customWidth="1" min="12" max="12" width="27.0"/>
  </cols>
  <sheetData>
    <row r="1" ht="15.75" customHeight="1">
      <c r="A1" s="22" t="s">
        <v>0</v>
      </c>
      <c r="B1" s="22" t="s">
        <v>1</v>
      </c>
      <c r="C1" s="2" t="s">
        <v>2</v>
      </c>
      <c r="D1" s="22" t="s">
        <v>550</v>
      </c>
      <c r="E1" s="22" t="s">
        <v>551</v>
      </c>
      <c r="F1" s="22" t="s">
        <v>552</v>
      </c>
      <c r="G1" s="1" t="s">
        <v>553</v>
      </c>
      <c r="H1" s="23" t="s">
        <v>554</v>
      </c>
      <c r="I1" s="24" t="s">
        <v>7</v>
      </c>
      <c r="J1" s="23" t="s">
        <v>555</v>
      </c>
      <c r="K1" s="24" t="s">
        <v>7</v>
      </c>
      <c r="L1" s="23" t="s">
        <v>556</v>
      </c>
      <c r="M1" s="24" t="s">
        <v>7</v>
      </c>
    </row>
    <row r="2" ht="15.75" customHeight="1">
      <c r="A2" s="9">
        <v>1919.0</v>
      </c>
      <c r="B2" s="9" t="s">
        <v>32</v>
      </c>
      <c r="C2" s="11" t="str">
        <f t="shared" ref="C2:C40" si="1">CONCATENATE(D2,"_",E2,"_",G2)</f>
        <v>51-PA-CF-001A_BS VI MS_DISPATCH</v>
      </c>
      <c r="D2" s="11" t="s">
        <v>557</v>
      </c>
      <c r="E2" s="11" t="s">
        <v>99</v>
      </c>
      <c r="F2" s="11" t="s">
        <v>558</v>
      </c>
      <c r="G2" s="11" t="s">
        <v>559</v>
      </c>
      <c r="H2" s="20" t="s">
        <v>560</v>
      </c>
      <c r="I2" s="19">
        <v>1.0</v>
      </c>
      <c r="J2" s="20" t="s">
        <v>561</v>
      </c>
      <c r="K2" s="19">
        <v>0.0</v>
      </c>
      <c r="L2" s="20" t="s">
        <v>562</v>
      </c>
      <c r="M2" s="19">
        <v>0.0</v>
      </c>
    </row>
    <row r="3" ht="15.75" customHeight="1">
      <c r="A3" s="9">
        <v>1919.0</v>
      </c>
      <c r="B3" s="9" t="s">
        <v>32</v>
      </c>
      <c r="C3" s="11" t="str">
        <f t="shared" si="1"/>
        <v>51-PA-CF-001B_BS VI MS_DISPATCH</v>
      </c>
      <c r="D3" s="11" t="s">
        <v>563</v>
      </c>
      <c r="E3" s="11" t="s">
        <v>99</v>
      </c>
      <c r="F3" s="11" t="s">
        <v>558</v>
      </c>
      <c r="G3" s="11" t="s">
        <v>559</v>
      </c>
      <c r="H3" s="20" t="s">
        <v>564</v>
      </c>
      <c r="I3" s="19">
        <v>1.0</v>
      </c>
      <c r="J3" s="20" t="s">
        <v>565</v>
      </c>
      <c r="K3" s="19">
        <v>0.0</v>
      </c>
      <c r="L3" s="20" t="s">
        <v>566</v>
      </c>
      <c r="M3" s="19">
        <v>0.0</v>
      </c>
    </row>
    <row r="4" ht="15.75" customHeight="1">
      <c r="A4" s="9">
        <v>1919.0</v>
      </c>
      <c r="B4" s="9" t="s">
        <v>32</v>
      </c>
      <c r="C4" s="11" t="str">
        <f t="shared" si="1"/>
        <v>51-PA-CF-001C_BS VI MS_DISPATCH</v>
      </c>
      <c r="D4" s="11" t="s">
        <v>567</v>
      </c>
      <c r="E4" s="11" t="s">
        <v>99</v>
      </c>
      <c r="F4" s="11" t="s">
        <v>558</v>
      </c>
      <c r="G4" s="11" t="s">
        <v>559</v>
      </c>
      <c r="H4" s="20" t="s">
        <v>568</v>
      </c>
      <c r="I4" s="19">
        <v>1.0</v>
      </c>
      <c r="J4" s="20" t="s">
        <v>569</v>
      </c>
      <c r="K4" s="19">
        <v>0.0</v>
      </c>
      <c r="L4" s="20" t="s">
        <v>570</v>
      </c>
      <c r="M4" s="19">
        <v>0.0</v>
      </c>
    </row>
    <row r="5" ht="15.75" customHeight="1">
      <c r="A5" s="9">
        <v>1919.0</v>
      </c>
      <c r="B5" s="9" t="s">
        <v>32</v>
      </c>
      <c r="C5" s="11" t="str">
        <f t="shared" si="1"/>
        <v>51-PA-CF-001E_ATF_DISPATCH</v>
      </c>
      <c r="D5" s="11" t="s">
        <v>571</v>
      </c>
      <c r="E5" s="11" t="s">
        <v>278</v>
      </c>
      <c r="F5" s="11" t="s">
        <v>558</v>
      </c>
      <c r="G5" s="11" t="s">
        <v>559</v>
      </c>
      <c r="H5" s="20" t="s">
        <v>572</v>
      </c>
      <c r="I5" s="19">
        <v>1.0</v>
      </c>
      <c r="J5" s="20" t="s">
        <v>573</v>
      </c>
      <c r="K5" s="19">
        <v>0.0</v>
      </c>
      <c r="L5" s="20" t="s">
        <v>574</v>
      </c>
      <c r="M5" s="19">
        <v>0.0</v>
      </c>
    </row>
    <row r="6" ht="15.75" customHeight="1">
      <c r="A6" s="9">
        <v>1919.0</v>
      </c>
      <c r="B6" s="9" t="s">
        <v>32</v>
      </c>
      <c r="C6" s="11" t="str">
        <f t="shared" si="1"/>
        <v>51-PA-CF-001F_ATF_DISPATCH</v>
      </c>
      <c r="D6" s="11" t="s">
        <v>575</v>
      </c>
      <c r="E6" s="11" t="s">
        <v>278</v>
      </c>
      <c r="F6" s="11" t="s">
        <v>558</v>
      </c>
      <c r="G6" s="11" t="s">
        <v>559</v>
      </c>
      <c r="H6" s="20" t="s">
        <v>576</v>
      </c>
      <c r="I6" s="19">
        <v>1.0</v>
      </c>
      <c r="J6" s="20" t="s">
        <v>577</v>
      </c>
      <c r="K6" s="19">
        <v>0.0</v>
      </c>
      <c r="L6" s="20" t="s">
        <v>578</v>
      </c>
      <c r="M6" s="19">
        <v>0.0</v>
      </c>
    </row>
    <row r="7" ht="15.75" customHeight="1">
      <c r="A7" s="9">
        <v>1919.0</v>
      </c>
      <c r="B7" s="9" t="s">
        <v>32</v>
      </c>
      <c r="C7" s="11" t="str">
        <f t="shared" si="1"/>
        <v>51-PA-CF-003A_BS VI HSD_DISPATCH</v>
      </c>
      <c r="D7" s="11" t="s">
        <v>579</v>
      </c>
      <c r="E7" s="11" t="s">
        <v>35</v>
      </c>
      <c r="F7" s="11" t="s">
        <v>558</v>
      </c>
      <c r="G7" s="11" t="s">
        <v>559</v>
      </c>
      <c r="H7" s="20" t="s">
        <v>580</v>
      </c>
      <c r="I7" s="19">
        <v>1.0</v>
      </c>
      <c r="J7" s="20" t="s">
        <v>581</v>
      </c>
      <c r="K7" s="19">
        <v>0.0</v>
      </c>
      <c r="L7" s="20" t="s">
        <v>582</v>
      </c>
      <c r="M7" s="19">
        <v>0.0</v>
      </c>
    </row>
    <row r="8" ht="15.75" customHeight="1">
      <c r="A8" s="9">
        <v>1919.0</v>
      </c>
      <c r="B8" s="9" t="s">
        <v>32</v>
      </c>
      <c r="C8" s="11" t="str">
        <f t="shared" si="1"/>
        <v>51-PA-CF-003B_BS VI HSD_DISPATCH</v>
      </c>
      <c r="D8" s="11" t="s">
        <v>583</v>
      </c>
      <c r="E8" s="11" t="s">
        <v>35</v>
      </c>
      <c r="F8" s="11" t="s">
        <v>558</v>
      </c>
      <c r="G8" s="11" t="s">
        <v>559</v>
      </c>
      <c r="H8" s="20" t="s">
        <v>584</v>
      </c>
      <c r="I8" s="19">
        <v>1.0</v>
      </c>
      <c r="J8" s="20" t="s">
        <v>585</v>
      </c>
      <c r="K8" s="19">
        <v>0.0</v>
      </c>
      <c r="L8" s="20" t="s">
        <v>586</v>
      </c>
      <c r="M8" s="19">
        <v>0.0</v>
      </c>
    </row>
    <row r="9" ht="15.75" customHeight="1">
      <c r="A9" s="9">
        <v>1919.0</v>
      </c>
      <c r="B9" s="9" t="s">
        <v>32</v>
      </c>
      <c r="C9" s="11" t="str">
        <f t="shared" si="1"/>
        <v>51-PA-CF-003C_BS VI HSD_DISPATCH</v>
      </c>
      <c r="D9" s="11" t="s">
        <v>587</v>
      </c>
      <c r="E9" s="11" t="s">
        <v>35</v>
      </c>
      <c r="F9" s="11" t="s">
        <v>558</v>
      </c>
      <c r="G9" s="11" t="s">
        <v>559</v>
      </c>
      <c r="H9" s="20" t="s">
        <v>588</v>
      </c>
      <c r="I9" s="19">
        <v>1.0</v>
      </c>
      <c r="J9" s="20" t="s">
        <v>589</v>
      </c>
      <c r="K9" s="19">
        <v>0.0</v>
      </c>
      <c r="L9" s="20" t="s">
        <v>590</v>
      </c>
      <c r="M9" s="19">
        <v>0.0</v>
      </c>
    </row>
    <row r="10" ht="15.75" customHeight="1">
      <c r="A10" s="9">
        <v>1919.0</v>
      </c>
      <c r="B10" s="9" t="s">
        <v>32</v>
      </c>
      <c r="C10" s="11" t="str">
        <f t="shared" si="1"/>
        <v>51-PA-CF-003D_BS VI HSD_DISPATCH</v>
      </c>
      <c r="D10" s="11" t="s">
        <v>591</v>
      </c>
      <c r="E10" s="11" t="s">
        <v>35</v>
      </c>
      <c r="F10" s="11" t="s">
        <v>558</v>
      </c>
      <c r="G10" s="11" t="s">
        <v>559</v>
      </c>
      <c r="H10" s="20" t="s">
        <v>592</v>
      </c>
      <c r="I10" s="19">
        <v>1.0</v>
      </c>
      <c r="J10" s="20" t="s">
        <v>593</v>
      </c>
      <c r="K10" s="19">
        <v>0.0</v>
      </c>
      <c r="L10" s="20" t="s">
        <v>594</v>
      </c>
      <c r="M10" s="19">
        <v>0.0</v>
      </c>
    </row>
    <row r="11" ht="15.75" customHeight="1">
      <c r="A11" s="9">
        <v>1919.0</v>
      </c>
      <c r="B11" s="9" t="s">
        <v>32</v>
      </c>
      <c r="C11" s="11" t="str">
        <f t="shared" si="1"/>
        <v>51-PA-CF-003E_BS VI HSD_DISPATCH</v>
      </c>
      <c r="D11" s="11" t="s">
        <v>595</v>
      </c>
      <c r="E11" s="11" t="s">
        <v>35</v>
      </c>
      <c r="F11" s="11" t="s">
        <v>558</v>
      </c>
      <c r="G11" s="11" t="s">
        <v>559</v>
      </c>
      <c r="H11" s="20" t="s">
        <v>596</v>
      </c>
      <c r="I11" s="19">
        <v>1.0</v>
      </c>
      <c r="J11" s="20" t="s">
        <v>597</v>
      </c>
      <c r="K11" s="19">
        <v>0.0</v>
      </c>
      <c r="L11" s="20" t="s">
        <v>598</v>
      </c>
      <c r="M11" s="19">
        <v>0.0</v>
      </c>
    </row>
    <row r="12" ht="15.75" customHeight="1">
      <c r="A12" s="9">
        <v>1919.0</v>
      </c>
      <c r="B12" s="9" t="s">
        <v>32</v>
      </c>
      <c r="C12" s="11" t="str">
        <f t="shared" si="1"/>
        <v>51-PA-CF-003F_BS VI HSD_DISPATCH</v>
      </c>
      <c r="D12" s="11" t="s">
        <v>599</v>
      </c>
      <c r="E12" s="11" t="s">
        <v>35</v>
      </c>
      <c r="F12" s="11" t="s">
        <v>558</v>
      </c>
      <c r="G12" s="11" t="s">
        <v>559</v>
      </c>
      <c r="H12" s="20" t="s">
        <v>600</v>
      </c>
      <c r="I12" s="19">
        <v>1.0</v>
      </c>
      <c r="J12" s="20" t="s">
        <v>601</v>
      </c>
      <c r="K12" s="19">
        <v>0.0</v>
      </c>
      <c r="L12" s="20" t="s">
        <v>602</v>
      </c>
      <c r="M12" s="19">
        <v>0.0</v>
      </c>
    </row>
    <row r="13" ht="15.75" customHeight="1">
      <c r="A13" s="9">
        <v>1919.0</v>
      </c>
      <c r="B13" s="9" t="s">
        <v>32</v>
      </c>
      <c r="C13" s="11" t="str">
        <f t="shared" si="1"/>
        <v>51-PA-CF-006A_SUMP_DISPATCH</v>
      </c>
      <c r="D13" s="11" t="s">
        <v>603</v>
      </c>
      <c r="E13" s="11" t="s">
        <v>604</v>
      </c>
      <c r="F13" s="11" t="s">
        <v>558</v>
      </c>
      <c r="G13" s="11" t="s">
        <v>559</v>
      </c>
      <c r="H13" s="20" t="s">
        <v>600</v>
      </c>
      <c r="I13" s="19">
        <v>1.0</v>
      </c>
      <c r="J13" s="20" t="s">
        <v>601</v>
      </c>
      <c r="K13" s="19">
        <v>0.0</v>
      </c>
      <c r="L13" s="20" t="s">
        <v>602</v>
      </c>
      <c r="M13" s="19">
        <v>0.0</v>
      </c>
    </row>
    <row r="14" ht="15.75" customHeight="1">
      <c r="A14" s="9">
        <v>1919.0</v>
      </c>
      <c r="B14" s="9" t="s">
        <v>32</v>
      </c>
      <c r="C14" s="11" t="str">
        <f t="shared" si="1"/>
        <v>51-PA-CF-006B_SUMP_DISPATCH</v>
      </c>
      <c r="D14" s="11" t="s">
        <v>605</v>
      </c>
      <c r="E14" s="11" t="s">
        <v>604</v>
      </c>
      <c r="F14" s="11" t="s">
        <v>558</v>
      </c>
      <c r="G14" s="11" t="s">
        <v>559</v>
      </c>
      <c r="H14" s="20" t="s">
        <v>606</v>
      </c>
      <c r="I14" s="19">
        <v>1.0</v>
      </c>
      <c r="J14" s="20" t="s">
        <v>607</v>
      </c>
      <c r="K14" s="19">
        <v>0.0</v>
      </c>
      <c r="L14" s="20" t="s">
        <v>608</v>
      </c>
      <c r="M14" s="19">
        <v>0.0</v>
      </c>
    </row>
    <row r="15" ht="15.75" customHeight="1">
      <c r="A15" s="9">
        <v>1919.0</v>
      </c>
      <c r="B15" s="9" t="s">
        <v>32</v>
      </c>
      <c r="C15" s="11" t="str">
        <f t="shared" si="1"/>
        <v>51-PA-CF-006C_SUMP_DISPATCH</v>
      </c>
      <c r="D15" s="11" t="s">
        <v>609</v>
      </c>
      <c r="E15" s="11" t="s">
        <v>604</v>
      </c>
      <c r="F15" s="11" t="s">
        <v>558</v>
      </c>
      <c r="G15" s="11" t="s">
        <v>559</v>
      </c>
      <c r="H15" s="20" t="s">
        <v>610</v>
      </c>
      <c r="I15" s="19">
        <v>1.0</v>
      </c>
      <c r="J15" s="20" t="s">
        <v>611</v>
      </c>
      <c r="K15" s="19">
        <v>0.0</v>
      </c>
      <c r="L15" s="20" t="s">
        <v>612</v>
      </c>
      <c r="M15" s="19">
        <v>0.0</v>
      </c>
    </row>
    <row r="16" ht="15.75" customHeight="1">
      <c r="A16" s="9">
        <v>1919.0</v>
      </c>
      <c r="B16" s="9" t="s">
        <v>32</v>
      </c>
      <c r="C16" s="11" t="str">
        <f t="shared" si="1"/>
        <v>51-PA-CF-007_SUMP_DISPATCH</v>
      </c>
      <c r="D16" s="11" t="s">
        <v>613</v>
      </c>
      <c r="E16" s="11" t="s">
        <v>604</v>
      </c>
      <c r="F16" s="11" t="s">
        <v>558</v>
      </c>
      <c r="G16" s="11" t="s">
        <v>559</v>
      </c>
      <c r="H16" s="20" t="s">
        <v>614</v>
      </c>
      <c r="I16" s="19">
        <v>1.0</v>
      </c>
      <c r="J16" s="20" t="s">
        <v>615</v>
      </c>
      <c r="K16" s="19">
        <v>0.0</v>
      </c>
      <c r="L16" s="20" t="s">
        <v>616</v>
      </c>
      <c r="M16" s="19">
        <v>0.0</v>
      </c>
    </row>
    <row r="17" ht="15.75" customHeight="1">
      <c r="A17" s="9">
        <v>1919.0</v>
      </c>
      <c r="B17" s="9" t="s">
        <v>32</v>
      </c>
      <c r="C17" s="11" t="str">
        <f t="shared" si="1"/>
        <v>51-PA-HEXANE-13_HEXANE_DISPATCH</v>
      </c>
      <c r="D17" s="11" t="s">
        <v>617</v>
      </c>
      <c r="E17" s="11" t="s">
        <v>618</v>
      </c>
      <c r="F17" s="11" t="s">
        <v>558</v>
      </c>
      <c r="G17" s="11" t="s">
        <v>559</v>
      </c>
      <c r="H17" s="20" t="s">
        <v>619</v>
      </c>
      <c r="I17" s="19">
        <v>1.0</v>
      </c>
      <c r="J17" s="20" t="s">
        <v>620</v>
      </c>
      <c r="K17" s="19">
        <v>0.0</v>
      </c>
      <c r="L17" s="20" t="s">
        <v>621</v>
      </c>
      <c r="M17" s="19">
        <v>0.0</v>
      </c>
    </row>
    <row r="18" ht="15.75" customHeight="1">
      <c r="A18" s="9">
        <v>1919.0</v>
      </c>
      <c r="B18" s="9" t="s">
        <v>32</v>
      </c>
      <c r="C18" s="11" t="str">
        <f t="shared" si="1"/>
        <v>51-PA-HEXANE-14_SUMP_DISPATCH</v>
      </c>
      <c r="D18" s="11" t="s">
        <v>622</v>
      </c>
      <c r="E18" s="11" t="s">
        <v>604</v>
      </c>
      <c r="F18" s="11" t="s">
        <v>558</v>
      </c>
      <c r="G18" s="11" t="s">
        <v>559</v>
      </c>
      <c r="H18" s="20" t="s">
        <v>623</v>
      </c>
      <c r="I18" s="19">
        <v>1.0</v>
      </c>
      <c r="J18" s="20" t="s">
        <v>624</v>
      </c>
      <c r="K18" s="19">
        <v>0.0</v>
      </c>
      <c r="L18" s="20" t="s">
        <v>625</v>
      </c>
      <c r="M18" s="19">
        <v>0.0</v>
      </c>
    </row>
    <row r="19" ht="15.75" customHeight="1">
      <c r="A19" s="9">
        <v>1919.0</v>
      </c>
      <c r="B19" s="9" t="s">
        <v>32</v>
      </c>
      <c r="C19" s="11" t="str">
        <f t="shared" si="1"/>
        <v>51-PA-MTO-15_MTO_DISPATCH</v>
      </c>
      <c r="D19" s="11" t="s">
        <v>626</v>
      </c>
      <c r="E19" s="11" t="s">
        <v>627</v>
      </c>
      <c r="F19" s="11" t="s">
        <v>558</v>
      </c>
      <c r="G19" s="11" t="s">
        <v>559</v>
      </c>
      <c r="H19" s="20" t="s">
        <v>628</v>
      </c>
      <c r="I19" s="19">
        <v>1.0</v>
      </c>
      <c r="J19" s="20" t="s">
        <v>629</v>
      </c>
      <c r="K19" s="19">
        <v>0.0</v>
      </c>
      <c r="L19" s="20" t="s">
        <v>630</v>
      </c>
      <c r="M19" s="19">
        <v>0.0</v>
      </c>
    </row>
    <row r="20" ht="15.75" customHeight="1">
      <c r="A20" s="9">
        <v>1919.0</v>
      </c>
      <c r="B20" s="9" t="s">
        <v>32</v>
      </c>
      <c r="C20" s="11" t="str">
        <f t="shared" si="1"/>
        <v>51-PA-RP-9A_POWER100_DISPATCH</v>
      </c>
      <c r="D20" s="11" t="s">
        <v>631</v>
      </c>
      <c r="E20" s="11" t="s">
        <v>632</v>
      </c>
      <c r="F20" s="11" t="s">
        <v>558</v>
      </c>
      <c r="G20" s="11" t="s">
        <v>559</v>
      </c>
      <c r="H20" s="20" t="s">
        <v>633</v>
      </c>
      <c r="I20" s="19">
        <v>1.0</v>
      </c>
      <c r="J20" s="20" t="s">
        <v>634</v>
      </c>
      <c r="K20" s="19">
        <v>0.0</v>
      </c>
      <c r="L20" s="20" t="s">
        <v>635</v>
      </c>
      <c r="M20" s="19">
        <v>0.0</v>
      </c>
    </row>
    <row r="21" ht="15.75" customHeight="1">
      <c r="A21" s="9">
        <v>1919.0</v>
      </c>
      <c r="B21" s="9" t="s">
        <v>32</v>
      </c>
      <c r="C21" s="11" t="str">
        <f t="shared" si="1"/>
        <v>51-PA-RP-9B_POWER100_DISPATCH</v>
      </c>
      <c r="D21" s="11" t="s">
        <v>636</v>
      </c>
      <c r="E21" s="11" t="s">
        <v>632</v>
      </c>
      <c r="F21" s="11" t="s">
        <v>558</v>
      </c>
      <c r="G21" s="11" t="s">
        <v>559</v>
      </c>
      <c r="H21" s="20" t="s">
        <v>637</v>
      </c>
      <c r="I21" s="19">
        <v>1.0</v>
      </c>
      <c r="J21" s="20" t="s">
        <v>638</v>
      </c>
      <c r="K21" s="19">
        <v>0.0</v>
      </c>
      <c r="L21" s="20" t="s">
        <v>639</v>
      </c>
      <c r="M21" s="19">
        <v>0.0</v>
      </c>
    </row>
    <row r="22" ht="15.75" customHeight="1">
      <c r="A22" s="9">
        <v>1919.0</v>
      </c>
      <c r="B22" s="9" t="s">
        <v>32</v>
      </c>
      <c r="C22" s="11" t="str">
        <f t="shared" si="1"/>
        <v>ADTV PMP-1 POWER_POWER_DISPATCH</v>
      </c>
      <c r="D22" s="11" t="s">
        <v>640</v>
      </c>
      <c r="E22" s="11" t="s">
        <v>641</v>
      </c>
      <c r="F22" s="11" t="s">
        <v>558</v>
      </c>
      <c r="G22" s="11" t="s">
        <v>559</v>
      </c>
      <c r="H22" s="20" t="s">
        <v>642</v>
      </c>
      <c r="I22" s="19">
        <v>1.0</v>
      </c>
      <c r="J22" s="20" t="s">
        <v>643</v>
      </c>
      <c r="K22" s="19">
        <v>0.0</v>
      </c>
      <c r="L22" s="20" t="s">
        <v>644</v>
      </c>
      <c r="M22" s="19">
        <v>0.0</v>
      </c>
    </row>
    <row r="23" ht="15.75" customHeight="1">
      <c r="A23" s="9">
        <v>1919.0</v>
      </c>
      <c r="B23" s="9" t="s">
        <v>32</v>
      </c>
      <c r="C23" s="11" t="str">
        <f t="shared" si="1"/>
        <v>ADTV PMP-1 TURBO_TURBO_DISPATCH</v>
      </c>
      <c r="D23" s="11" t="s">
        <v>645</v>
      </c>
      <c r="E23" s="11" t="s">
        <v>646</v>
      </c>
      <c r="F23" s="11" t="s">
        <v>558</v>
      </c>
      <c r="G23" s="11" t="s">
        <v>559</v>
      </c>
      <c r="H23" s="20" t="s">
        <v>647</v>
      </c>
      <c r="I23" s="19">
        <v>1.0</v>
      </c>
      <c r="J23" s="20" t="s">
        <v>648</v>
      </c>
      <c r="K23" s="19">
        <v>0.0</v>
      </c>
      <c r="L23" s="20" t="s">
        <v>649</v>
      </c>
      <c r="M23" s="19">
        <v>0.0</v>
      </c>
    </row>
    <row r="24" ht="15.75" customHeight="1">
      <c r="A24" s="9">
        <v>1919.0</v>
      </c>
      <c r="B24" s="9" t="s">
        <v>32</v>
      </c>
      <c r="C24" s="11" t="str">
        <f t="shared" si="1"/>
        <v>ADTV PMP-2 POWER_POWER_DISPATCH</v>
      </c>
      <c r="D24" s="11" t="s">
        <v>650</v>
      </c>
      <c r="E24" s="11" t="s">
        <v>641</v>
      </c>
      <c r="F24" s="11" t="s">
        <v>558</v>
      </c>
      <c r="G24" s="11" t="s">
        <v>559</v>
      </c>
      <c r="H24" s="20" t="s">
        <v>651</v>
      </c>
      <c r="I24" s="19">
        <v>1.0</v>
      </c>
      <c r="J24" s="20" t="s">
        <v>652</v>
      </c>
      <c r="K24" s="19">
        <v>0.0</v>
      </c>
      <c r="L24" s="20" t="s">
        <v>653</v>
      </c>
      <c r="M24" s="19">
        <v>0.0</v>
      </c>
    </row>
    <row r="25" ht="15.75" customHeight="1">
      <c r="A25" s="9">
        <v>1919.0</v>
      </c>
      <c r="B25" s="9" t="s">
        <v>32</v>
      </c>
      <c r="C25" s="11" t="str">
        <f t="shared" si="1"/>
        <v>ADTV PMP-2 TURBO_TURBO_DISPATCH</v>
      </c>
      <c r="D25" s="11" t="s">
        <v>654</v>
      </c>
      <c r="E25" s="11" t="s">
        <v>646</v>
      </c>
      <c r="F25" s="11" t="s">
        <v>558</v>
      </c>
      <c r="G25" s="11" t="s">
        <v>559</v>
      </c>
      <c r="H25" s="20" t="s">
        <v>655</v>
      </c>
      <c r="I25" s="19">
        <v>1.0</v>
      </c>
      <c r="J25" s="20" t="s">
        <v>656</v>
      </c>
      <c r="K25" s="19">
        <v>0.0</v>
      </c>
      <c r="L25" s="20" t="s">
        <v>657</v>
      </c>
      <c r="M25" s="19">
        <v>0.0</v>
      </c>
    </row>
    <row r="26" ht="15.75" customHeight="1">
      <c r="A26" s="9">
        <v>1919.0</v>
      </c>
      <c r="B26" s="9" t="s">
        <v>32</v>
      </c>
      <c r="C26" s="11" t="str">
        <f t="shared" si="1"/>
        <v>PMP-01_ETHANOL_DISPATCH</v>
      </c>
      <c r="D26" s="11" t="s">
        <v>658</v>
      </c>
      <c r="E26" s="11" t="s">
        <v>53</v>
      </c>
      <c r="F26" s="11" t="s">
        <v>558</v>
      </c>
      <c r="G26" s="11" t="s">
        <v>559</v>
      </c>
      <c r="H26" s="20" t="s">
        <v>659</v>
      </c>
      <c r="I26" s="19">
        <v>1.0</v>
      </c>
      <c r="J26" s="20" t="s">
        <v>660</v>
      </c>
      <c r="K26" s="19">
        <v>0.0</v>
      </c>
      <c r="L26" s="20" t="s">
        <v>661</v>
      </c>
      <c r="M26" s="19">
        <v>0.0</v>
      </c>
    </row>
    <row r="27" ht="15.75" customHeight="1">
      <c r="A27" s="9">
        <v>1919.0</v>
      </c>
      <c r="B27" s="9" t="s">
        <v>32</v>
      </c>
      <c r="C27" s="11" t="str">
        <f t="shared" si="1"/>
        <v>PMP-02_ETHANOL_DISPATCH</v>
      </c>
      <c r="D27" s="11" t="s">
        <v>662</v>
      </c>
      <c r="E27" s="11" t="s">
        <v>53</v>
      </c>
      <c r="F27" s="11" t="s">
        <v>558</v>
      </c>
      <c r="G27" s="11" t="s">
        <v>559</v>
      </c>
      <c r="H27" s="20" t="s">
        <v>663</v>
      </c>
      <c r="I27" s="19">
        <v>1.0</v>
      </c>
      <c r="J27" s="20" t="s">
        <v>664</v>
      </c>
      <c r="K27" s="19">
        <v>0.0</v>
      </c>
      <c r="L27" s="20" t="s">
        <v>665</v>
      </c>
      <c r="M27" s="19">
        <v>0.0</v>
      </c>
    </row>
    <row r="28" ht="15.75" customHeight="1">
      <c r="A28" s="9">
        <v>1919.0</v>
      </c>
      <c r="B28" s="9" t="s">
        <v>32</v>
      </c>
      <c r="C28" s="11" t="str">
        <f t="shared" si="1"/>
        <v>PMP-03_ETHANOL_DISPATCH</v>
      </c>
      <c r="D28" s="11" t="s">
        <v>666</v>
      </c>
      <c r="E28" s="11" t="s">
        <v>53</v>
      </c>
      <c r="F28" s="11" t="s">
        <v>558</v>
      </c>
      <c r="G28" s="11" t="s">
        <v>559</v>
      </c>
      <c r="H28" s="20" t="s">
        <v>667</v>
      </c>
      <c r="I28" s="19">
        <v>1.0</v>
      </c>
      <c r="J28" s="20" t="s">
        <v>668</v>
      </c>
      <c r="K28" s="19">
        <v>0.0</v>
      </c>
      <c r="L28" s="20" t="s">
        <v>669</v>
      </c>
      <c r="M28" s="19">
        <v>0.0</v>
      </c>
    </row>
    <row r="29" ht="15.75" customHeight="1">
      <c r="A29" s="9">
        <v>1919.0</v>
      </c>
      <c r="B29" s="9" t="s">
        <v>32</v>
      </c>
      <c r="C29" s="11" t="str">
        <f t="shared" si="1"/>
        <v>PMP-05_BIO HSD_DISPATCH</v>
      </c>
      <c r="D29" s="11" t="s">
        <v>670</v>
      </c>
      <c r="E29" s="11" t="s">
        <v>375</v>
      </c>
      <c r="F29" s="11" t="s">
        <v>558</v>
      </c>
      <c r="G29" s="11" t="s">
        <v>559</v>
      </c>
      <c r="H29" s="20" t="s">
        <v>671</v>
      </c>
      <c r="I29" s="19">
        <v>1.0</v>
      </c>
      <c r="J29" s="20" t="s">
        <v>672</v>
      </c>
      <c r="K29" s="19">
        <v>0.0</v>
      </c>
      <c r="L29" s="20" t="s">
        <v>673</v>
      </c>
      <c r="M29" s="19">
        <v>0.0</v>
      </c>
    </row>
    <row r="30" ht="15.75" customHeight="1">
      <c r="A30" s="9">
        <v>1919.0</v>
      </c>
      <c r="B30" s="9" t="s">
        <v>32</v>
      </c>
      <c r="C30" s="11" t="str">
        <f t="shared" si="1"/>
        <v>PMP-06_BIO HSD_DISPATCH</v>
      </c>
      <c r="D30" s="11" t="s">
        <v>674</v>
      </c>
      <c r="E30" s="11" t="s">
        <v>375</v>
      </c>
      <c r="F30" s="11" t="s">
        <v>558</v>
      </c>
      <c r="G30" s="11" t="s">
        <v>559</v>
      </c>
      <c r="H30" s="20" t="s">
        <v>675</v>
      </c>
      <c r="I30" s="19">
        <v>1.0</v>
      </c>
      <c r="J30" s="20" t="s">
        <v>676</v>
      </c>
      <c r="K30" s="19">
        <v>0.0</v>
      </c>
      <c r="L30" s="20" t="s">
        <v>677</v>
      </c>
      <c r="M30" s="19">
        <v>0.0</v>
      </c>
    </row>
    <row r="31" ht="15.75" customHeight="1">
      <c r="A31" s="9">
        <v>1919.0</v>
      </c>
      <c r="B31" s="9" t="s">
        <v>32</v>
      </c>
      <c r="C31" s="11" t="str">
        <f t="shared" si="1"/>
        <v>PMP-07_ETHANOL_RECEIPT</v>
      </c>
      <c r="D31" s="11" t="s">
        <v>678</v>
      </c>
      <c r="E31" s="11" t="s">
        <v>53</v>
      </c>
      <c r="F31" s="11" t="s">
        <v>679</v>
      </c>
      <c r="G31" s="11" t="s">
        <v>680</v>
      </c>
      <c r="H31" s="20" t="s">
        <v>681</v>
      </c>
      <c r="I31" s="19">
        <v>1.0</v>
      </c>
      <c r="J31" s="20" t="s">
        <v>682</v>
      </c>
      <c r="K31" s="19">
        <v>0.0</v>
      </c>
      <c r="L31" s="20" t="s">
        <v>683</v>
      </c>
      <c r="M31" s="19">
        <v>0.0</v>
      </c>
    </row>
    <row r="32" ht="15.75" customHeight="1">
      <c r="A32" s="9">
        <v>1919.0</v>
      </c>
      <c r="B32" s="9" t="s">
        <v>32</v>
      </c>
      <c r="C32" s="11" t="str">
        <f t="shared" si="1"/>
        <v>PMP-08_ETHANOL_RECEIPT</v>
      </c>
      <c r="D32" s="11" t="s">
        <v>684</v>
      </c>
      <c r="E32" s="11" t="s">
        <v>53</v>
      </c>
      <c r="F32" s="11" t="s">
        <v>679</v>
      </c>
      <c r="G32" s="11" t="s">
        <v>680</v>
      </c>
      <c r="H32" s="20" t="s">
        <v>685</v>
      </c>
      <c r="I32" s="19">
        <v>1.0</v>
      </c>
      <c r="J32" s="20" t="s">
        <v>686</v>
      </c>
      <c r="K32" s="19">
        <v>0.0</v>
      </c>
      <c r="L32" s="20" t="s">
        <v>687</v>
      </c>
      <c r="M32" s="19">
        <v>0.0</v>
      </c>
    </row>
    <row r="33" ht="15.75" customHeight="1">
      <c r="A33" s="9">
        <v>1919.0</v>
      </c>
      <c r="B33" s="9" t="s">
        <v>32</v>
      </c>
      <c r="C33" s="11" t="str">
        <f t="shared" si="1"/>
        <v>PMP-09_ETHANOL_RECEIPT</v>
      </c>
      <c r="D33" s="11" t="s">
        <v>688</v>
      </c>
      <c r="E33" s="11" t="s">
        <v>53</v>
      </c>
      <c r="F33" s="11" t="s">
        <v>679</v>
      </c>
      <c r="G33" s="11" t="s">
        <v>680</v>
      </c>
      <c r="H33" s="20" t="s">
        <v>689</v>
      </c>
      <c r="I33" s="19">
        <v>1.0</v>
      </c>
      <c r="J33" s="20" t="s">
        <v>690</v>
      </c>
      <c r="K33" s="19">
        <v>0.0</v>
      </c>
      <c r="L33" s="20" t="s">
        <v>691</v>
      </c>
      <c r="M33" s="19">
        <v>0.0</v>
      </c>
    </row>
    <row r="34" ht="15.75" customHeight="1">
      <c r="A34" s="9">
        <v>1919.0</v>
      </c>
      <c r="B34" s="9" t="s">
        <v>32</v>
      </c>
      <c r="C34" s="11" t="str">
        <f t="shared" si="1"/>
        <v>PMP-10_CI_RECEIPT</v>
      </c>
      <c r="D34" s="11" t="s">
        <v>692</v>
      </c>
      <c r="E34" s="11" t="s">
        <v>693</v>
      </c>
      <c r="F34" s="11" t="s">
        <v>679</v>
      </c>
      <c r="G34" s="11" t="s">
        <v>680</v>
      </c>
      <c r="H34" s="20" t="s">
        <v>694</v>
      </c>
      <c r="I34" s="19">
        <v>1.0</v>
      </c>
      <c r="J34" s="20" t="s">
        <v>695</v>
      </c>
      <c r="K34" s="19">
        <v>0.0</v>
      </c>
      <c r="L34" s="20" t="s">
        <v>696</v>
      </c>
      <c r="M34" s="19">
        <v>0.0</v>
      </c>
    </row>
    <row r="35" ht="15.75" customHeight="1">
      <c r="A35" s="9">
        <v>1919.0</v>
      </c>
      <c r="B35" s="9" t="s">
        <v>32</v>
      </c>
      <c r="C35" s="11" t="str">
        <f t="shared" si="1"/>
        <v>PMP-11_CI_RECEIPT</v>
      </c>
      <c r="D35" s="11" t="s">
        <v>697</v>
      </c>
      <c r="E35" s="11" t="s">
        <v>693</v>
      </c>
      <c r="F35" s="11" t="s">
        <v>679</v>
      </c>
      <c r="G35" s="11" t="s">
        <v>680</v>
      </c>
      <c r="H35" s="20" t="s">
        <v>698</v>
      </c>
      <c r="I35" s="19">
        <v>1.0</v>
      </c>
      <c r="J35" s="20" t="s">
        <v>699</v>
      </c>
      <c r="K35" s="19">
        <v>0.0</v>
      </c>
      <c r="L35" s="20" t="s">
        <v>700</v>
      </c>
      <c r="M35" s="19">
        <v>0.0</v>
      </c>
    </row>
    <row r="36" ht="15.75" customHeight="1">
      <c r="A36" s="9">
        <v>1919.0</v>
      </c>
      <c r="B36" s="9" t="s">
        <v>32</v>
      </c>
      <c r="C36" s="11" t="str">
        <f t="shared" si="1"/>
        <v>PMP-47_SKO_RECEIPT</v>
      </c>
      <c r="D36" s="11" t="s">
        <v>701</v>
      </c>
      <c r="E36" s="11" t="s">
        <v>173</v>
      </c>
      <c r="F36" s="11" t="s">
        <v>679</v>
      </c>
      <c r="G36" s="11" t="s">
        <v>680</v>
      </c>
      <c r="H36" s="20" t="s">
        <v>702</v>
      </c>
      <c r="I36" s="19">
        <v>1.0</v>
      </c>
      <c r="J36" s="20" t="s">
        <v>703</v>
      </c>
      <c r="K36" s="19">
        <v>0.0</v>
      </c>
      <c r="L36" s="20" t="s">
        <v>704</v>
      </c>
      <c r="M36" s="19">
        <v>0.0</v>
      </c>
    </row>
    <row r="37" ht="15.75" customHeight="1">
      <c r="A37" s="9">
        <v>1919.0</v>
      </c>
      <c r="B37" s="9" t="s">
        <v>32</v>
      </c>
      <c r="C37" s="11" t="str">
        <f t="shared" si="1"/>
        <v>PMP-48_SKO_RECEIPT</v>
      </c>
      <c r="D37" s="11" t="s">
        <v>705</v>
      </c>
      <c r="E37" s="11" t="s">
        <v>173</v>
      </c>
      <c r="F37" s="11" t="s">
        <v>679</v>
      </c>
      <c r="G37" s="11" t="s">
        <v>680</v>
      </c>
      <c r="H37" s="20" t="s">
        <v>706</v>
      </c>
      <c r="I37" s="19">
        <v>1.0</v>
      </c>
      <c r="J37" s="20" t="s">
        <v>707</v>
      </c>
      <c r="K37" s="19">
        <v>0.0</v>
      </c>
      <c r="L37" s="20" t="s">
        <v>708</v>
      </c>
      <c r="M37" s="19">
        <v>0.0</v>
      </c>
    </row>
    <row r="38" ht="15.75" customHeight="1">
      <c r="A38" s="9">
        <v>1919.0</v>
      </c>
      <c r="B38" s="9" t="s">
        <v>32</v>
      </c>
      <c r="C38" s="11" t="str">
        <f t="shared" si="1"/>
        <v>PMP-49_POWER99_RECEIPT</v>
      </c>
      <c r="D38" s="11" t="s">
        <v>709</v>
      </c>
      <c r="E38" s="11" t="s">
        <v>710</v>
      </c>
      <c r="F38" s="11" t="s">
        <v>679</v>
      </c>
      <c r="G38" s="11" t="s">
        <v>680</v>
      </c>
      <c r="H38" s="20" t="s">
        <v>711</v>
      </c>
      <c r="I38" s="19">
        <v>1.0</v>
      </c>
      <c r="J38" s="20" t="s">
        <v>712</v>
      </c>
      <c r="K38" s="19">
        <v>0.0</v>
      </c>
      <c r="L38" s="20" t="s">
        <v>713</v>
      </c>
      <c r="M38" s="19">
        <v>0.0</v>
      </c>
    </row>
    <row r="39" ht="15.75" customHeight="1">
      <c r="A39" s="9">
        <v>1919.0</v>
      </c>
      <c r="B39" s="9" t="s">
        <v>32</v>
      </c>
      <c r="C39" s="11" t="str">
        <f t="shared" si="1"/>
        <v>PMP-50_POWER99_RECEIPT</v>
      </c>
      <c r="D39" s="11" t="s">
        <v>714</v>
      </c>
      <c r="E39" s="11" t="s">
        <v>710</v>
      </c>
      <c r="F39" s="11" t="s">
        <v>679</v>
      </c>
      <c r="G39" s="11" t="s">
        <v>680</v>
      </c>
      <c r="H39" s="20" t="s">
        <v>715</v>
      </c>
      <c r="I39" s="19">
        <v>1.0</v>
      </c>
      <c r="J39" s="20" t="s">
        <v>716</v>
      </c>
      <c r="K39" s="19">
        <v>0.0</v>
      </c>
      <c r="L39" s="20" t="s">
        <v>717</v>
      </c>
      <c r="M39" s="19">
        <v>0.0</v>
      </c>
    </row>
    <row r="40" ht="15.75" customHeight="1">
      <c r="A40" s="9">
        <v>1919.0</v>
      </c>
      <c r="B40" s="9" t="s">
        <v>32</v>
      </c>
      <c r="C40" s="11" t="str">
        <f t="shared" si="1"/>
        <v>VRU-PMP-01_BS IV HSD_RECEIPT</v>
      </c>
      <c r="D40" s="11" t="s">
        <v>718</v>
      </c>
      <c r="E40" s="11" t="s">
        <v>719</v>
      </c>
      <c r="F40" s="11" t="s">
        <v>679</v>
      </c>
      <c r="G40" s="11" t="s">
        <v>680</v>
      </c>
      <c r="H40" s="20" t="s">
        <v>720</v>
      </c>
      <c r="I40" s="19">
        <v>1.0</v>
      </c>
      <c r="J40" s="20" t="s">
        <v>721</v>
      </c>
      <c r="K40" s="19">
        <v>0.0</v>
      </c>
      <c r="L40" s="16"/>
      <c r="M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75"/>
    <col customWidth="1" min="4" max="5" width="14.0"/>
    <col customWidth="1" min="6" max="7" width="26.75"/>
    <col customWidth="1" min="8" max="8" width="15.63"/>
    <col customWidth="1" min="10" max="10" width="16.5"/>
    <col customWidth="1" min="11" max="11" width="11.5"/>
    <col customWidth="1" min="12" max="12" width="27.0"/>
    <col customWidth="1" min="13" max="13" width="11.5"/>
    <col customWidth="1" min="14" max="14" width="40.75"/>
    <col customWidth="1" min="16" max="16" width="33.88"/>
    <col customWidth="1" min="17" max="17" width="11.5"/>
    <col customWidth="1" min="18" max="18" width="33.88"/>
    <col customWidth="1" min="20" max="20" width="33.88"/>
    <col customWidth="1" min="21" max="21" width="11.5"/>
    <col customWidth="1" min="22" max="26" width="36.5"/>
    <col customWidth="1" min="27" max="27" width="11.5"/>
    <col customWidth="1" min="28" max="28" width="37.38"/>
    <col customWidth="1" min="29" max="29" width="11.5"/>
    <col customWidth="1" min="30" max="30" width="25.63"/>
    <col customWidth="1" min="32" max="32" width="42.13"/>
    <col customWidth="1" min="33" max="33" width="11.88"/>
    <col customWidth="1" min="34" max="34" width="36.88"/>
  </cols>
  <sheetData>
    <row r="1" ht="15.75" customHeight="1">
      <c r="A1" s="25" t="s">
        <v>0</v>
      </c>
      <c r="B1" s="25" t="s">
        <v>1</v>
      </c>
      <c r="C1" s="2" t="s">
        <v>2</v>
      </c>
      <c r="D1" s="25" t="s">
        <v>550</v>
      </c>
      <c r="E1" s="25" t="s">
        <v>551</v>
      </c>
      <c r="F1" s="25" t="s">
        <v>552</v>
      </c>
      <c r="G1" s="25" t="s">
        <v>553</v>
      </c>
      <c r="H1" s="26" t="s">
        <v>554</v>
      </c>
      <c r="I1" s="26" t="s">
        <v>722</v>
      </c>
      <c r="J1" s="26" t="s">
        <v>555</v>
      </c>
      <c r="K1" s="26" t="s">
        <v>723</v>
      </c>
      <c r="L1" s="26" t="s">
        <v>556</v>
      </c>
      <c r="M1" s="26" t="s">
        <v>724</v>
      </c>
      <c r="N1" s="27" t="s">
        <v>725</v>
      </c>
      <c r="O1" s="26" t="s">
        <v>726</v>
      </c>
      <c r="P1" s="26" t="s">
        <v>727</v>
      </c>
      <c r="Q1" s="26" t="s">
        <v>728</v>
      </c>
      <c r="R1" s="26" t="s">
        <v>729</v>
      </c>
      <c r="S1" s="26" t="s">
        <v>730</v>
      </c>
      <c r="T1" s="26" t="s">
        <v>731</v>
      </c>
      <c r="U1" s="26" t="s">
        <v>732</v>
      </c>
      <c r="V1" s="27" t="s">
        <v>733</v>
      </c>
      <c r="W1" s="27" t="s">
        <v>7</v>
      </c>
      <c r="X1" s="27" t="s">
        <v>734</v>
      </c>
      <c r="Y1" s="27" t="s">
        <v>7</v>
      </c>
      <c r="Z1" s="27" t="s">
        <v>735</v>
      </c>
      <c r="AA1" s="27" t="s">
        <v>7</v>
      </c>
      <c r="AB1" s="27" t="s">
        <v>736</v>
      </c>
      <c r="AC1" s="27" t="s">
        <v>7</v>
      </c>
      <c r="AD1" s="26" t="s">
        <v>737</v>
      </c>
      <c r="AE1" s="26" t="s">
        <v>738</v>
      </c>
      <c r="AF1" s="26" t="s">
        <v>739</v>
      </c>
      <c r="AG1" s="26" t="s">
        <v>740</v>
      </c>
      <c r="AH1" s="26" t="s">
        <v>741</v>
      </c>
      <c r="AI1" s="26" t="s">
        <v>742</v>
      </c>
    </row>
    <row r="2" ht="15.75" customHeight="1">
      <c r="A2" s="9">
        <v>1919.0</v>
      </c>
      <c r="B2" s="9" t="s">
        <v>32</v>
      </c>
      <c r="C2" s="11" t="str">
        <f t="shared" ref="C2:C13" si="1">CONCATENATE(D2,"_",E2,"_",G2)</f>
        <v>FWP-01_WATER_DISPATCH</v>
      </c>
      <c r="D2" s="11" t="s">
        <v>743</v>
      </c>
      <c r="E2" s="11" t="s">
        <v>86</v>
      </c>
      <c r="F2" s="11" t="s">
        <v>744</v>
      </c>
      <c r="G2" s="11" t="s">
        <v>559</v>
      </c>
      <c r="H2" s="11" t="s">
        <v>745</v>
      </c>
      <c r="I2" s="12">
        <v>1.0</v>
      </c>
      <c r="J2" s="11" t="s">
        <v>746</v>
      </c>
      <c r="K2" s="12">
        <v>0.0</v>
      </c>
      <c r="L2" s="11" t="s">
        <v>747</v>
      </c>
      <c r="M2" s="12">
        <v>0.0</v>
      </c>
      <c r="N2" s="28" t="s">
        <v>748</v>
      </c>
      <c r="O2" s="12">
        <v>0.0</v>
      </c>
      <c r="P2" s="28" t="s">
        <v>749</v>
      </c>
      <c r="Q2" s="12">
        <v>0.0</v>
      </c>
      <c r="R2" s="28" t="s">
        <v>750</v>
      </c>
      <c r="S2" s="12">
        <v>0.0</v>
      </c>
      <c r="T2" s="28" t="s">
        <v>751</v>
      </c>
      <c r="U2" s="12">
        <v>0.0</v>
      </c>
      <c r="V2" s="28" t="s">
        <v>752</v>
      </c>
      <c r="W2" s="12">
        <v>0.0</v>
      </c>
      <c r="X2" s="28" t="s">
        <v>753</v>
      </c>
      <c r="Y2" s="12">
        <v>0.0</v>
      </c>
      <c r="Z2" s="28" t="s">
        <v>754</v>
      </c>
      <c r="AA2" s="12">
        <v>0.0</v>
      </c>
      <c r="AB2" s="28" t="s">
        <v>755</v>
      </c>
      <c r="AC2" s="12">
        <v>0.0</v>
      </c>
      <c r="AD2" s="28" t="s">
        <v>756</v>
      </c>
      <c r="AE2" s="12">
        <v>0.0</v>
      </c>
      <c r="AF2" s="28" t="s">
        <v>757</v>
      </c>
      <c r="AG2" s="12">
        <v>0.0</v>
      </c>
      <c r="AH2" s="29"/>
      <c r="AI2" s="29"/>
    </row>
    <row r="3" ht="15.75" customHeight="1">
      <c r="A3" s="9">
        <v>1919.0</v>
      </c>
      <c r="B3" s="9" t="s">
        <v>32</v>
      </c>
      <c r="C3" s="11" t="str">
        <f t="shared" si="1"/>
        <v>FWP-02_WATER_DISPATCH</v>
      </c>
      <c r="D3" s="11" t="s">
        <v>758</v>
      </c>
      <c r="E3" s="11" t="s">
        <v>86</v>
      </c>
      <c r="F3" s="11" t="s">
        <v>744</v>
      </c>
      <c r="G3" s="11" t="s">
        <v>559</v>
      </c>
      <c r="H3" s="11" t="s">
        <v>759</v>
      </c>
      <c r="I3" s="12">
        <v>1.0</v>
      </c>
      <c r="J3" s="11" t="s">
        <v>760</v>
      </c>
      <c r="K3" s="12">
        <v>0.0</v>
      </c>
      <c r="L3" s="11" t="s">
        <v>761</v>
      </c>
      <c r="M3" s="12">
        <v>0.0</v>
      </c>
      <c r="N3" s="28" t="s">
        <v>762</v>
      </c>
      <c r="O3" s="12">
        <v>0.0</v>
      </c>
      <c r="P3" s="28" t="s">
        <v>763</v>
      </c>
      <c r="Q3" s="12">
        <v>0.0</v>
      </c>
      <c r="R3" s="28" t="s">
        <v>764</v>
      </c>
      <c r="S3" s="12">
        <v>0.0</v>
      </c>
      <c r="T3" s="28" t="s">
        <v>765</v>
      </c>
      <c r="U3" s="12">
        <v>0.0</v>
      </c>
      <c r="V3" s="28" t="s">
        <v>766</v>
      </c>
      <c r="W3" s="12">
        <v>0.0</v>
      </c>
      <c r="X3" s="28" t="s">
        <v>767</v>
      </c>
      <c r="Y3" s="12">
        <v>0.0</v>
      </c>
      <c r="Z3" s="28" t="s">
        <v>768</v>
      </c>
      <c r="AA3" s="12">
        <v>0.0</v>
      </c>
      <c r="AB3" s="28" t="s">
        <v>769</v>
      </c>
      <c r="AC3" s="12">
        <v>0.0</v>
      </c>
      <c r="AD3" s="28" t="s">
        <v>770</v>
      </c>
      <c r="AE3" s="12">
        <v>0.0</v>
      </c>
      <c r="AF3" s="28" t="s">
        <v>771</v>
      </c>
      <c r="AG3" s="12">
        <v>0.0</v>
      </c>
      <c r="AH3" s="29"/>
      <c r="AI3" s="29"/>
    </row>
    <row r="4" ht="15.75" customHeight="1">
      <c r="A4" s="9">
        <v>1919.0</v>
      </c>
      <c r="B4" s="9" t="s">
        <v>32</v>
      </c>
      <c r="C4" s="11" t="str">
        <f t="shared" si="1"/>
        <v>FWP-03_WATER_DISPATCH</v>
      </c>
      <c r="D4" s="11" t="s">
        <v>772</v>
      </c>
      <c r="E4" s="11" t="s">
        <v>86</v>
      </c>
      <c r="F4" s="11" t="s">
        <v>744</v>
      </c>
      <c r="G4" s="11" t="s">
        <v>559</v>
      </c>
      <c r="H4" s="11" t="s">
        <v>773</v>
      </c>
      <c r="I4" s="12">
        <v>1.0</v>
      </c>
      <c r="J4" s="11" t="s">
        <v>774</v>
      </c>
      <c r="K4" s="12">
        <v>0.0</v>
      </c>
      <c r="L4" s="11" t="s">
        <v>775</v>
      </c>
      <c r="M4" s="12">
        <v>0.0</v>
      </c>
      <c r="N4" s="28" t="s">
        <v>776</v>
      </c>
      <c r="O4" s="12">
        <v>0.0</v>
      </c>
      <c r="P4" s="28" t="s">
        <v>777</v>
      </c>
      <c r="Q4" s="12">
        <v>0.0</v>
      </c>
      <c r="R4" s="28" t="s">
        <v>778</v>
      </c>
      <c r="S4" s="12">
        <v>0.0</v>
      </c>
      <c r="T4" s="28" t="s">
        <v>779</v>
      </c>
      <c r="U4" s="12">
        <v>0.0</v>
      </c>
      <c r="V4" s="28" t="s">
        <v>780</v>
      </c>
      <c r="W4" s="12">
        <v>0.0</v>
      </c>
      <c r="X4" s="28" t="s">
        <v>781</v>
      </c>
      <c r="Y4" s="12">
        <v>0.0</v>
      </c>
      <c r="Z4" s="28" t="s">
        <v>782</v>
      </c>
      <c r="AA4" s="12">
        <v>0.0</v>
      </c>
      <c r="AB4" s="28" t="s">
        <v>783</v>
      </c>
      <c r="AC4" s="12">
        <v>0.0</v>
      </c>
      <c r="AD4" s="28" t="s">
        <v>784</v>
      </c>
      <c r="AE4" s="12">
        <v>0.0</v>
      </c>
      <c r="AF4" s="28" t="s">
        <v>785</v>
      </c>
      <c r="AG4" s="12">
        <v>0.0</v>
      </c>
      <c r="AH4" s="29"/>
      <c r="AI4" s="29"/>
    </row>
    <row r="5" ht="15.75" customHeight="1">
      <c r="A5" s="9">
        <v>1919.0</v>
      </c>
      <c r="B5" s="9" t="s">
        <v>32</v>
      </c>
      <c r="C5" s="11" t="str">
        <f t="shared" si="1"/>
        <v>FWP-04_WATER_DISPATCH</v>
      </c>
      <c r="D5" s="11" t="s">
        <v>786</v>
      </c>
      <c r="E5" s="11" t="s">
        <v>86</v>
      </c>
      <c r="F5" s="11" t="s">
        <v>744</v>
      </c>
      <c r="G5" s="11" t="s">
        <v>559</v>
      </c>
      <c r="H5" s="11" t="s">
        <v>787</v>
      </c>
      <c r="I5" s="12">
        <v>1.0</v>
      </c>
      <c r="J5" s="11" t="s">
        <v>788</v>
      </c>
      <c r="K5" s="12">
        <v>0.0</v>
      </c>
      <c r="L5" s="11" t="s">
        <v>789</v>
      </c>
      <c r="M5" s="12">
        <v>0.0</v>
      </c>
      <c r="N5" s="28" t="s">
        <v>790</v>
      </c>
      <c r="O5" s="12">
        <v>0.0</v>
      </c>
      <c r="P5" s="28" t="s">
        <v>791</v>
      </c>
      <c r="Q5" s="12">
        <v>0.0</v>
      </c>
      <c r="R5" s="28" t="s">
        <v>792</v>
      </c>
      <c r="S5" s="12">
        <v>0.0</v>
      </c>
      <c r="T5" s="28" t="s">
        <v>793</v>
      </c>
      <c r="U5" s="12">
        <v>0.0</v>
      </c>
      <c r="V5" s="28" t="s">
        <v>794</v>
      </c>
      <c r="W5" s="12">
        <v>0.0</v>
      </c>
      <c r="X5" s="28" t="s">
        <v>795</v>
      </c>
      <c r="Y5" s="12">
        <v>0.0</v>
      </c>
      <c r="Z5" s="28" t="s">
        <v>796</v>
      </c>
      <c r="AA5" s="12">
        <v>0.0</v>
      </c>
      <c r="AB5" s="28" t="s">
        <v>797</v>
      </c>
      <c r="AC5" s="12">
        <v>0.0</v>
      </c>
      <c r="AD5" s="28" t="s">
        <v>798</v>
      </c>
      <c r="AE5" s="12">
        <v>0.0</v>
      </c>
      <c r="AF5" s="28" t="s">
        <v>799</v>
      </c>
      <c r="AG5" s="12">
        <v>0.0</v>
      </c>
      <c r="AH5" s="29"/>
      <c r="AI5" s="29"/>
    </row>
    <row r="6" ht="15.75" customHeight="1">
      <c r="A6" s="9">
        <v>1919.0</v>
      </c>
      <c r="B6" s="9" t="s">
        <v>32</v>
      </c>
      <c r="C6" s="11" t="str">
        <f t="shared" si="1"/>
        <v>FWP-05_WATER_DISPATCH</v>
      </c>
      <c r="D6" s="11" t="s">
        <v>800</v>
      </c>
      <c r="E6" s="11" t="s">
        <v>86</v>
      </c>
      <c r="F6" s="11" t="s">
        <v>744</v>
      </c>
      <c r="G6" s="11" t="s">
        <v>559</v>
      </c>
      <c r="H6" s="11" t="s">
        <v>801</v>
      </c>
      <c r="I6" s="12">
        <v>1.0</v>
      </c>
      <c r="J6" s="11" t="s">
        <v>802</v>
      </c>
      <c r="K6" s="12">
        <v>0.0</v>
      </c>
      <c r="L6" s="11" t="s">
        <v>803</v>
      </c>
      <c r="M6" s="12">
        <v>0.0</v>
      </c>
      <c r="N6" s="28" t="s">
        <v>804</v>
      </c>
      <c r="O6" s="12">
        <v>0.0</v>
      </c>
      <c r="P6" s="28" t="s">
        <v>805</v>
      </c>
      <c r="Q6" s="12">
        <v>0.0</v>
      </c>
      <c r="R6" s="28" t="s">
        <v>806</v>
      </c>
      <c r="S6" s="12">
        <v>0.0</v>
      </c>
      <c r="T6" s="28" t="s">
        <v>807</v>
      </c>
      <c r="U6" s="12">
        <v>0.0</v>
      </c>
      <c r="V6" s="28" t="s">
        <v>808</v>
      </c>
      <c r="W6" s="12">
        <v>0.0</v>
      </c>
      <c r="X6" s="28" t="s">
        <v>809</v>
      </c>
      <c r="Y6" s="12">
        <v>0.0</v>
      </c>
      <c r="Z6" s="28" t="s">
        <v>810</v>
      </c>
      <c r="AA6" s="12">
        <v>0.0</v>
      </c>
      <c r="AB6" s="28" t="s">
        <v>811</v>
      </c>
      <c r="AC6" s="12">
        <v>0.0</v>
      </c>
      <c r="AD6" s="28" t="s">
        <v>812</v>
      </c>
      <c r="AE6" s="12">
        <v>0.0</v>
      </c>
      <c r="AF6" s="28" t="s">
        <v>813</v>
      </c>
      <c r="AG6" s="12">
        <v>0.0</v>
      </c>
      <c r="AH6" s="29"/>
      <c r="AI6" s="29"/>
    </row>
    <row r="7" ht="15.75" customHeight="1">
      <c r="A7" s="9">
        <v>1919.0</v>
      </c>
      <c r="B7" s="9" t="s">
        <v>32</v>
      </c>
      <c r="C7" s="11" t="str">
        <f t="shared" si="1"/>
        <v>FWP-06_WATER_DISPATCH</v>
      </c>
      <c r="D7" s="11" t="s">
        <v>814</v>
      </c>
      <c r="E7" s="11" t="s">
        <v>86</v>
      </c>
      <c r="F7" s="11" t="s">
        <v>744</v>
      </c>
      <c r="G7" s="11" t="s">
        <v>559</v>
      </c>
      <c r="H7" s="11" t="s">
        <v>815</v>
      </c>
      <c r="I7" s="12">
        <v>1.0</v>
      </c>
      <c r="J7" s="11" t="s">
        <v>816</v>
      </c>
      <c r="K7" s="12">
        <v>0.0</v>
      </c>
      <c r="L7" s="11" t="s">
        <v>817</v>
      </c>
      <c r="M7" s="12">
        <v>0.0</v>
      </c>
      <c r="N7" s="28" t="s">
        <v>818</v>
      </c>
      <c r="O7" s="12">
        <v>0.0</v>
      </c>
      <c r="P7" s="28" t="s">
        <v>819</v>
      </c>
      <c r="Q7" s="12">
        <v>0.0</v>
      </c>
      <c r="R7" s="28" t="s">
        <v>820</v>
      </c>
      <c r="S7" s="12">
        <v>0.0</v>
      </c>
      <c r="T7" s="28" t="s">
        <v>821</v>
      </c>
      <c r="U7" s="12">
        <v>0.0</v>
      </c>
      <c r="V7" s="28" t="s">
        <v>822</v>
      </c>
      <c r="W7" s="12">
        <v>0.0</v>
      </c>
      <c r="X7" s="28" t="s">
        <v>823</v>
      </c>
      <c r="Y7" s="12">
        <v>0.0</v>
      </c>
      <c r="Z7" s="28" t="s">
        <v>824</v>
      </c>
      <c r="AA7" s="12">
        <v>0.0</v>
      </c>
      <c r="AB7" s="28" t="s">
        <v>825</v>
      </c>
      <c r="AC7" s="12">
        <v>0.0</v>
      </c>
      <c r="AD7" s="28" t="s">
        <v>826</v>
      </c>
      <c r="AE7" s="12">
        <v>0.0</v>
      </c>
      <c r="AF7" s="28" t="s">
        <v>827</v>
      </c>
      <c r="AG7" s="12">
        <v>0.0</v>
      </c>
      <c r="AH7" s="29"/>
      <c r="AI7" s="29"/>
    </row>
    <row r="8" ht="15.75" customHeight="1">
      <c r="A8" s="9">
        <v>1919.0</v>
      </c>
      <c r="B8" s="9" t="s">
        <v>32</v>
      </c>
      <c r="C8" s="11" t="str">
        <f t="shared" si="1"/>
        <v>FWP-07_WATER_DISPATCH</v>
      </c>
      <c r="D8" s="11" t="s">
        <v>828</v>
      </c>
      <c r="E8" s="11" t="s">
        <v>86</v>
      </c>
      <c r="F8" s="11" t="s">
        <v>744</v>
      </c>
      <c r="G8" s="11" t="s">
        <v>559</v>
      </c>
      <c r="H8" s="11" t="s">
        <v>829</v>
      </c>
      <c r="I8" s="12">
        <v>1.0</v>
      </c>
      <c r="J8" s="11" t="s">
        <v>830</v>
      </c>
      <c r="K8" s="12">
        <v>0.0</v>
      </c>
      <c r="L8" s="11" t="s">
        <v>831</v>
      </c>
      <c r="M8" s="12">
        <v>0.0</v>
      </c>
      <c r="N8" s="28" t="s">
        <v>832</v>
      </c>
      <c r="O8" s="12">
        <v>0.0</v>
      </c>
      <c r="P8" s="28" t="s">
        <v>833</v>
      </c>
      <c r="Q8" s="12">
        <v>0.0</v>
      </c>
      <c r="R8" s="28" t="s">
        <v>834</v>
      </c>
      <c r="S8" s="12">
        <v>0.0</v>
      </c>
      <c r="T8" s="28" t="s">
        <v>835</v>
      </c>
      <c r="U8" s="12">
        <v>0.0</v>
      </c>
      <c r="V8" s="28" t="s">
        <v>836</v>
      </c>
      <c r="W8" s="12">
        <v>0.0</v>
      </c>
      <c r="X8" s="28" t="s">
        <v>837</v>
      </c>
      <c r="Y8" s="12">
        <v>0.0</v>
      </c>
      <c r="Z8" s="28" t="s">
        <v>838</v>
      </c>
      <c r="AA8" s="12">
        <v>0.0</v>
      </c>
      <c r="AB8" s="28" t="s">
        <v>839</v>
      </c>
      <c r="AC8" s="12">
        <v>0.0</v>
      </c>
      <c r="AD8" s="28" t="s">
        <v>840</v>
      </c>
      <c r="AE8" s="12">
        <v>0.0</v>
      </c>
      <c r="AF8" s="28" t="s">
        <v>841</v>
      </c>
      <c r="AG8" s="12">
        <v>0.0</v>
      </c>
      <c r="AH8" s="29"/>
      <c r="AI8" s="29"/>
    </row>
    <row r="9" ht="15.75" customHeight="1">
      <c r="A9" s="9">
        <v>1919.0</v>
      </c>
      <c r="B9" s="9" t="s">
        <v>32</v>
      </c>
      <c r="C9" s="11" t="str">
        <f t="shared" si="1"/>
        <v>FWP-08_WATER_DISPATCH</v>
      </c>
      <c r="D9" s="11" t="s">
        <v>842</v>
      </c>
      <c r="E9" s="11" t="s">
        <v>86</v>
      </c>
      <c r="F9" s="11" t="s">
        <v>744</v>
      </c>
      <c r="G9" s="11" t="s">
        <v>559</v>
      </c>
      <c r="H9" s="11" t="s">
        <v>843</v>
      </c>
      <c r="I9" s="12">
        <v>1.0</v>
      </c>
      <c r="J9" s="11" t="s">
        <v>844</v>
      </c>
      <c r="K9" s="12">
        <v>0.0</v>
      </c>
      <c r="L9" s="11" t="s">
        <v>845</v>
      </c>
      <c r="M9" s="12">
        <v>0.0</v>
      </c>
      <c r="N9" s="28" t="s">
        <v>846</v>
      </c>
      <c r="O9" s="12">
        <v>0.0</v>
      </c>
      <c r="P9" s="28" t="s">
        <v>847</v>
      </c>
      <c r="Q9" s="12">
        <v>0.0</v>
      </c>
      <c r="R9" s="28" t="s">
        <v>848</v>
      </c>
      <c r="S9" s="29"/>
      <c r="T9" s="28" t="s">
        <v>849</v>
      </c>
      <c r="U9" s="29"/>
      <c r="V9" s="28" t="s">
        <v>850</v>
      </c>
      <c r="W9" s="29"/>
      <c r="X9" s="28" t="s">
        <v>851</v>
      </c>
      <c r="Y9" s="29"/>
      <c r="Z9" s="28" t="s">
        <v>852</v>
      </c>
      <c r="AA9" s="12">
        <v>0.0</v>
      </c>
      <c r="AB9" s="28" t="s">
        <v>853</v>
      </c>
      <c r="AC9" s="12">
        <v>0.0</v>
      </c>
      <c r="AD9" s="28" t="s">
        <v>854</v>
      </c>
      <c r="AE9" s="12">
        <v>0.0</v>
      </c>
      <c r="AF9" s="28" t="s">
        <v>855</v>
      </c>
      <c r="AG9" s="12">
        <v>0.0</v>
      </c>
      <c r="AH9" s="29"/>
      <c r="AI9" s="29"/>
    </row>
    <row r="10" ht="15.75" customHeight="1">
      <c r="A10" s="9">
        <v>1919.0</v>
      </c>
      <c r="B10" s="9" t="s">
        <v>32</v>
      </c>
      <c r="C10" s="11" t="str">
        <f t="shared" si="1"/>
        <v>JCY-01_WATER_DISPATCH</v>
      </c>
      <c r="D10" s="11" t="s">
        <v>856</v>
      </c>
      <c r="E10" s="11" t="s">
        <v>86</v>
      </c>
      <c r="F10" s="11" t="s">
        <v>744</v>
      </c>
      <c r="G10" s="11" t="s">
        <v>559</v>
      </c>
      <c r="H10" s="11" t="s">
        <v>857</v>
      </c>
      <c r="I10" s="12">
        <v>1.0</v>
      </c>
      <c r="J10" s="11" t="s">
        <v>858</v>
      </c>
      <c r="K10" s="12">
        <v>0.0</v>
      </c>
      <c r="L10" s="11" t="s">
        <v>859</v>
      </c>
      <c r="M10" s="12">
        <v>0.0</v>
      </c>
      <c r="N10" s="28" t="s">
        <v>860</v>
      </c>
      <c r="O10" s="12">
        <v>0.0</v>
      </c>
      <c r="P10" s="28" t="s">
        <v>861</v>
      </c>
      <c r="Q10" s="29"/>
      <c r="R10" s="29"/>
      <c r="S10" s="29"/>
      <c r="T10" s="29"/>
      <c r="U10" s="29"/>
      <c r="V10" s="29"/>
      <c r="W10" s="29"/>
      <c r="X10" s="29"/>
      <c r="Y10" s="29"/>
      <c r="Z10" s="28" t="s">
        <v>862</v>
      </c>
      <c r="AA10" s="12">
        <v>0.0</v>
      </c>
      <c r="AB10" s="30"/>
      <c r="AC10" s="30"/>
      <c r="AD10" s="28" t="s">
        <v>863</v>
      </c>
      <c r="AE10" s="12">
        <v>0.0</v>
      </c>
      <c r="AF10" s="30"/>
      <c r="AG10" s="30"/>
      <c r="AH10" s="29"/>
      <c r="AI10" s="29"/>
    </row>
    <row r="11" ht="15.75" customHeight="1">
      <c r="A11" s="9">
        <v>1919.0</v>
      </c>
      <c r="B11" s="9" t="s">
        <v>32</v>
      </c>
      <c r="C11" s="11" t="str">
        <f t="shared" si="1"/>
        <v>JCY-02_WATER_DISPATCH</v>
      </c>
      <c r="D11" s="11" t="s">
        <v>864</v>
      </c>
      <c r="E11" s="11" t="s">
        <v>86</v>
      </c>
      <c r="F11" s="11" t="s">
        <v>744</v>
      </c>
      <c r="G11" s="11" t="s">
        <v>559</v>
      </c>
      <c r="H11" s="11" t="s">
        <v>865</v>
      </c>
      <c r="I11" s="12">
        <v>1.0</v>
      </c>
      <c r="J11" s="11" t="s">
        <v>866</v>
      </c>
      <c r="K11" s="12">
        <v>0.0</v>
      </c>
      <c r="L11" s="11" t="s">
        <v>867</v>
      </c>
      <c r="M11" s="12">
        <v>0.0</v>
      </c>
      <c r="N11" s="28" t="s">
        <v>868</v>
      </c>
      <c r="O11" s="12">
        <v>0.0</v>
      </c>
      <c r="P11" s="28" t="s">
        <v>869</v>
      </c>
      <c r="Q11" s="29"/>
      <c r="R11" s="29"/>
      <c r="S11" s="29"/>
      <c r="T11" s="29"/>
      <c r="U11" s="29"/>
      <c r="V11" s="29"/>
      <c r="W11" s="29"/>
      <c r="X11" s="29"/>
      <c r="Y11" s="29"/>
      <c r="Z11" s="28" t="s">
        <v>870</v>
      </c>
      <c r="AA11" s="12">
        <v>0.0</v>
      </c>
      <c r="AB11" s="30"/>
      <c r="AC11" s="30"/>
      <c r="AD11" s="28" t="s">
        <v>871</v>
      </c>
      <c r="AE11" s="12">
        <v>0.0</v>
      </c>
      <c r="AF11" s="30"/>
      <c r="AG11" s="30"/>
      <c r="AH11" s="29"/>
      <c r="AI11" s="29"/>
    </row>
    <row r="12" ht="15.75" customHeight="1">
      <c r="A12" s="31">
        <v>1919.0</v>
      </c>
      <c r="B12" s="28" t="s">
        <v>32</v>
      </c>
      <c r="C12" s="11" t="str">
        <f t="shared" si="1"/>
        <v>Hydrant_PT_Farthest Point</v>
      </c>
      <c r="D12" s="12" t="s">
        <v>872</v>
      </c>
      <c r="E12" s="12" t="s">
        <v>873</v>
      </c>
      <c r="F12" s="12" t="s">
        <v>874</v>
      </c>
      <c r="G12" s="12" t="s">
        <v>874</v>
      </c>
      <c r="H12" s="29"/>
      <c r="I12" s="29"/>
      <c r="J12" s="29"/>
      <c r="K12" s="29"/>
      <c r="L12" s="29"/>
      <c r="M12" s="29"/>
      <c r="N12" s="28" t="s">
        <v>875</v>
      </c>
      <c r="O12" s="12">
        <v>0.0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ht="15.75" customHeight="1">
      <c r="A13" s="32">
        <v>1919.0</v>
      </c>
      <c r="B13" s="28" t="s">
        <v>32</v>
      </c>
      <c r="C13" s="11" t="str">
        <f t="shared" si="1"/>
        <v>Hydrant_PT_Nearest Point</v>
      </c>
      <c r="D13" s="12" t="s">
        <v>872</v>
      </c>
      <c r="E13" s="12" t="s">
        <v>873</v>
      </c>
      <c r="F13" s="12" t="s">
        <v>876</v>
      </c>
      <c r="G13" s="12" t="s">
        <v>876</v>
      </c>
      <c r="H13" s="29"/>
      <c r="I13" s="29"/>
      <c r="J13" s="29"/>
      <c r="K13" s="29"/>
      <c r="L13" s="29"/>
      <c r="M13" s="29"/>
      <c r="N13" s="28" t="s">
        <v>877</v>
      </c>
      <c r="O13" s="12">
        <v>0.0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ht="15.75" customHeight="1">
      <c r="F14" s="20"/>
    </row>
    <row r="15" ht="15.75" customHeight="1">
      <c r="F15" s="20"/>
    </row>
    <row r="16" ht="15.75" customHeight="1">
      <c r="F16" s="20"/>
    </row>
    <row r="17" ht="15.75" customHeight="1">
      <c r="F17" s="20"/>
    </row>
    <row r="18" ht="15.75" customHeight="1">
      <c r="F18" s="20"/>
    </row>
    <row r="19" ht="15.75" customHeight="1">
      <c r="F19" s="20"/>
    </row>
    <row r="20" ht="15.75" customHeight="1">
      <c r="F20" s="20"/>
    </row>
    <row r="21" ht="15.75" customHeight="1">
      <c r="F21" s="20"/>
    </row>
    <row r="22" ht="15.75" customHeight="1">
      <c r="F22" s="20"/>
    </row>
    <row r="23" ht="15.75" customHeight="1">
      <c r="F23" s="20"/>
    </row>
    <row r="24" ht="15.75" customHeight="1">
      <c r="F24" s="20"/>
    </row>
    <row r="25" ht="15.75" customHeight="1">
      <c r="F25" s="20"/>
    </row>
    <row r="26" ht="15.75" customHeight="1">
      <c r="F26" s="20"/>
    </row>
    <row r="27" ht="15.75" customHeight="1">
      <c r="F27" s="20"/>
    </row>
    <row r="28" ht="15.75" customHeight="1">
      <c r="F28" s="20"/>
    </row>
    <row r="29" ht="15.75" customHeight="1">
      <c r="F29" s="20"/>
    </row>
    <row r="30" ht="15.75" customHeight="1">
      <c r="F30" s="20"/>
    </row>
    <row r="31" ht="15.75" customHeight="1">
      <c r="F31" s="20"/>
    </row>
    <row r="32" ht="15.75" customHeight="1">
      <c r="F32" s="20"/>
    </row>
    <row r="33" ht="15.75" customHeight="1">
      <c r="F33" s="20"/>
    </row>
    <row r="34" ht="15.75" customHeight="1">
      <c r="F34" s="20"/>
    </row>
    <row r="35" ht="15.75" customHeight="1">
      <c r="F35" s="20"/>
    </row>
    <row r="36" ht="15.75" customHeight="1">
      <c r="F36" s="20"/>
    </row>
    <row r="37" ht="15.75" customHeight="1">
      <c r="F37" s="20"/>
    </row>
    <row r="38" ht="15.75" customHeight="1">
      <c r="F38" s="20"/>
    </row>
    <row r="39" ht="15.75" customHeight="1">
      <c r="F39" s="20"/>
    </row>
    <row r="40" ht="15.75" customHeight="1">
      <c r="F40" s="20"/>
    </row>
    <row r="41" ht="15.75" customHeight="1">
      <c r="F41" s="20"/>
    </row>
    <row r="42" ht="15.75" customHeight="1">
      <c r="F42" s="20"/>
    </row>
    <row r="43" ht="15.75" customHeight="1">
      <c r="F43" s="20"/>
    </row>
    <row r="44" ht="15.75" customHeight="1">
      <c r="F44" s="20"/>
    </row>
    <row r="45" ht="15.75" customHeight="1">
      <c r="F45" s="20"/>
    </row>
    <row r="46" ht="15.75" customHeight="1">
      <c r="F46" s="20"/>
    </row>
    <row r="47" ht="15.75" customHeight="1">
      <c r="F47" s="20"/>
    </row>
    <row r="48" ht="15.75" customHeight="1">
      <c r="F48" s="20"/>
    </row>
    <row r="49" ht="15.75" customHeight="1">
      <c r="F49" s="20"/>
    </row>
    <row r="50" ht="15.75" customHeight="1">
      <c r="F50" s="20"/>
    </row>
    <row r="51" ht="15.75" customHeight="1">
      <c r="F51" s="20"/>
    </row>
    <row r="52" ht="15.75" customHeight="1">
      <c r="F52" s="20"/>
    </row>
    <row r="53" ht="15.75" customHeight="1">
      <c r="F53" s="20"/>
    </row>
    <row r="54" ht="15.75" customHeight="1">
      <c r="F54" s="20"/>
    </row>
    <row r="55" ht="15.75" customHeight="1">
      <c r="F55" s="20"/>
    </row>
    <row r="56" ht="15.75" customHeight="1">
      <c r="F56" s="20"/>
    </row>
    <row r="57" ht="15.75" customHeight="1">
      <c r="F57" s="20"/>
    </row>
    <row r="58" ht="15.75" customHeight="1">
      <c r="F58" s="20"/>
    </row>
    <row r="59" ht="15.75" customHeight="1">
      <c r="F59" s="20"/>
    </row>
    <row r="60" ht="15.75" customHeight="1">
      <c r="F60" s="20"/>
    </row>
    <row r="61" ht="15.75" customHeight="1">
      <c r="F61" s="20"/>
    </row>
    <row r="62" ht="15.75" customHeight="1">
      <c r="F62" s="20"/>
    </row>
    <row r="63" ht="15.75" customHeight="1">
      <c r="F63" s="20"/>
    </row>
    <row r="64" ht="15.75" customHeight="1">
      <c r="F64" s="20"/>
    </row>
    <row r="65" ht="15.75" customHeight="1">
      <c r="F65" s="20"/>
    </row>
    <row r="66" ht="15.75" customHeight="1">
      <c r="F66" s="20"/>
    </row>
    <row r="67" ht="15.75" customHeight="1">
      <c r="F67" s="20"/>
    </row>
    <row r="68" ht="15.75" customHeight="1">
      <c r="F68" s="20"/>
    </row>
    <row r="69" ht="15.75" customHeight="1">
      <c r="F69" s="20"/>
    </row>
    <row r="70" ht="15.75" customHeight="1">
      <c r="F70" s="20"/>
    </row>
    <row r="71" ht="15.75" customHeight="1">
      <c r="F71" s="20"/>
    </row>
    <row r="72" ht="15.75" customHeight="1">
      <c r="F72" s="20"/>
    </row>
    <row r="73" ht="15.75" customHeight="1">
      <c r="F73" s="20"/>
    </row>
    <row r="74" ht="15.75" customHeight="1">
      <c r="F74" s="20"/>
    </row>
    <row r="75" ht="15.75" customHeight="1">
      <c r="F75" s="20"/>
    </row>
    <row r="76" ht="15.75" customHeight="1">
      <c r="F76" s="20"/>
    </row>
    <row r="77" ht="15.75" customHeight="1">
      <c r="F77" s="20"/>
    </row>
    <row r="78" ht="15.75" customHeight="1">
      <c r="F78" s="20"/>
    </row>
    <row r="79" ht="15.75" customHeight="1">
      <c r="F79" s="20"/>
    </row>
    <row r="80" ht="15.75" customHeight="1">
      <c r="F80" s="20"/>
    </row>
    <row r="81" ht="15.75" customHeight="1">
      <c r="F81" s="20"/>
    </row>
    <row r="82" ht="15.75" customHeight="1">
      <c r="F82" s="20"/>
    </row>
    <row r="83" ht="15.75" customHeight="1">
      <c r="F83" s="20"/>
    </row>
    <row r="84" ht="15.75" customHeight="1">
      <c r="F84" s="20"/>
    </row>
    <row r="85" ht="15.75" customHeight="1">
      <c r="F85" s="20"/>
    </row>
    <row r="86" ht="15.75" customHeight="1">
      <c r="F86" s="20"/>
    </row>
    <row r="87" ht="15.75" customHeight="1">
      <c r="F87" s="20"/>
    </row>
    <row r="88" ht="15.75" customHeight="1">
      <c r="F88" s="20"/>
    </row>
    <row r="89" ht="15.75" customHeight="1">
      <c r="F89" s="20"/>
    </row>
    <row r="90" ht="15.75" customHeight="1">
      <c r="F90" s="20"/>
    </row>
    <row r="91" ht="15.75" customHeight="1">
      <c r="F91" s="20"/>
    </row>
    <row r="92" ht="15.75" customHeight="1">
      <c r="F92" s="20"/>
    </row>
    <row r="93" ht="15.75" customHeight="1">
      <c r="F93" s="20"/>
    </row>
    <row r="94" ht="15.75" customHeight="1">
      <c r="F94" s="20"/>
    </row>
    <row r="95" ht="15.75" customHeight="1">
      <c r="F95" s="20"/>
    </row>
    <row r="96" ht="15.75" customHeight="1">
      <c r="F96" s="20"/>
    </row>
    <row r="97" ht="15.75" customHeight="1">
      <c r="F97" s="20"/>
    </row>
    <row r="98" ht="15.75" customHeight="1">
      <c r="F98" s="20"/>
    </row>
    <row r="99" ht="15.75" customHeight="1">
      <c r="F99" s="20"/>
    </row>
    <row r="100" ht="15.75" customHeight="1">
      <c r="F100" s="20"/>
    </row>
    <row r="101" ht="15.75" customHeight="1">
      <c r="F101" s="20"/>
    </row>
    <row r="102" ht="15.75" customHeight="1">
      <c r="F102" s="20"/>
    </row>
    <row r="103" ht="15.75" customHeight="1">
      <c r="F103" s="20"/>
    </row>
    <row r="104" ht="15.75" customHeight="1">
      <c r="F104" s="20"/>
    </row>
    <row r="105" ht="15.75" customHeight="1">
      <c r="F105" s="20"/>
    </row>
    <row r="106" ht="15.75" customHeight="1">
      <c r="F106" s="20"/>
    </row>
    <row r="107" ht="15.75" customHeight="1">
      <c r="F107" s="20"/>
    </row>
    <row r="108" ht="15.75" customHeight="1">
      <c r="F108" s="20"/>
    </row>
    <row r="109" ht="15.75" customHeight="1">
      <c r="F109" s="20"/>
    </row>
    <row r="110" ht="15.75" customHeight="1">
      <c r="F110" s="20"/>
    </row>
    <row r="111" ht="15.75" customHeight="1">
      <c r="F111" s="20"/>
    </row>
    <row r="112" ht="15.75" customHeight="1">
      <c r="F112" s="20"/>
    </row>
    <row r="113" ht="15.75" customHeight="1">
      <c r="F113" s="20"/>
    </row>
    <row r="114" ht="15.75" customHeight="1">
      <c r="F114" s="20"/>
    </row>
    <row r="115" ht="15.75" customHeight="1">
      <c r="F115" s="20"/>
    </row>
    <row r="116" ht="15.75" customHeight="1">
      <c r="F116" s="20"/>
    </row>
    <row r="117" ht="15.75" customHeight="1">
      <c r="F117" s="20"/>
    </row>
    <row r="118" ht="15.75" customHeight="1">
      <c r="F118" s="20"/>
    </row>
    <row r="119" ht="15.75" customHeight="1">
      <c r="F119" s="20"/>
    </row>
    <row r="120" ht="15.75" customHeight="1">
      <c r="F120" s="20"/>
    </row>
    <row r="121" ht="15.75" customHeight="1">
      <c r="F121" s="20"/>
    </row>
    <row r="122" ht="15.75" customHeight="1">
      <c r="F122" s="20"/>
    </row>
    <row r="123" ht="15.75" customHeight="1">
      <c r="F123" s="20"/>
    </row>
    <row r="124" ht="15.75" customHeight="1">
      <c r="F124" s="20"/>
    </row>
    <row r="125" ht="15.75" customHeight="1">
      <c r="F125" s="20"/>
    </row>
    <row r="126" ht="15.75" customHeight="1">
      <c r="F126" s="20"/>
    </row>
    <row r="127" ht="15.75" customHeight="1">
      <c r="F127" s="20"/>
    </row>
    <row r="128" ht="15.75" customHeight="1">
      <c r="F128" s="20"/>
    </row>
    <row r="129" ht="15.75" customHeight="1">
      <c r="F129" s="20"/>
    </row>
    <row r="130" ht="15.75" customHeight="1">
      <c r="F130" s="20"/>
    </row>
    <row r="131" ht="15.75" customHeight="1">
      <c r="F131" s="20"/>
    </row>
    <row r="132" ht="15.75" customHeight="1">
      <c r="F132" s="20"/>
    </row>
    <row r="133" ht="15.75" customHeight="1">
      <c r="F133" s="20"/>
    </row>
    <row r="134" ht="15.75" customHeight="1">
      <c r="F134" s="20"/>
    </row>
    <row r="135" ht="15.75" customHeight="1">
      <c r="F135" s="20"/>
    </row>
    <row r="136" ht="15.75" customHeight="1">
      <c r="F136" s="20"/>
    </row>
    <row r="137" ht="15.75" customHeight="1">
      <c r="F137" s="20"/>
    </row>
    <row r="138" ht="15.75" customHeight="1">
      <c r="F138" s="20"/>
    </row>
    <row r="139" ht="15.75" customHeight="1">
      <c r="F139" s="20"/>
    </row>
    <row r="140" ht="15.75" customHeight="1">
      <c r="F140" s="20"/>
    </row>
    <row r="141" ht="15.75" customHeight="1">
      <c r="F141" s="20"/>
    </row>
    <row r="142" ht="15.75" customHeight="1">
      <c r="F142" s="20"/>
    </row>
    <row r="143" ht="15.75" customHeight="1">
      <c r="F143" s="20"/>
    </row>
    <row r="144" ht="15.75" customHeight="1">
      <c r="F144" s="20"/>
    </row>
    <row r="145" ht="15.75" customHeight="1">
      <c r="F145" s="20"/>
    </row>
    <row r="146" ht="15.75" customHeight="1">
      <c r="F146" s="20"/>
    </row>
    <row r="147" ht="15.75" customHeight="1">
      <c r="F147" s="20"/>
    </row>
    <row r="148" ht="15.75" customHeight="1">
      <c r="F148" s="20"/>
    </row>
    <row r="149" ht="15.75" customHeight="1">
      <c r="F149" s="20"/>
    </row>
    <row r="150" ht="15.75" customHeight="1">
      <c r="F150" s="20"/>
    </row>
    <row r="151" ht="15.75" customHeight="1">
      <c r="F151" s="20"/>
    </row>
    <row r="152" ht="15.75" customHeight="1">
      <c r="F152" s="20"/>
    </row>
    <row r="153" ht="15.75" customHeight="1">
      <c r="F153" s="20"/>
    </row>
    <row r="154" ht="15.75" customHeight="1">
      <c r="F154" s="20"/>
    </row>
    <row r="155" ht="15.75" customHeight="1">
      <c r="F155" s="20"/>
    </row>
    <row r="156" ht="15.75" customHeight="1">
      <c r="F156" s="20"/>
    </row>
    <row r="157" ht="15.75" customHeight="1">
      <c r="F157" s="20"/>
    </row>
    <row r="158" ht="15.75" customHeight="1">
      <c r="F158" s="20"/>
    </row>
    <row r="159" ht="15.75" customHeight="1">
      <c r="F159" s="20"/>
    </row>
    <row r="160" ht="15.75" customHeight="1">
      <c r="F160" s="20"/>
    </row>
    <row r="161" ht="15.75" customHeight="1">
      <c r="F161" s="20"/>
    </row>
    <row r="162" ht="15.75" customHeight="1">
      <c r="F162" s="20"/>
    </row>
    <row r="163" ht="15.75" customHeight="1">
      <c r="F163" s="20"/>
    </row>
    <row r="164" ht="15.75" customHeight="1">
      <c r="F164" s="20"/>
    </row>
    <row r="165" ht="15.75" customHeight="1">
      <c r="F165" s="20"/>
    </row>
    <row r="166" ht="15.75" customHeight="1">
      <c r="F166" s="20"/>
    </row>
    <row r="167" ht="15.75" customHeight="1">
      <c r="F167" s="20"/>
    </row>
    <row r="168" ht="15.75" customHeight="1">
      <c r="F168" s="20"/>
    </row>
    <row r="169" ht="15.75" customHeight="1">
      <c r="F169" s="20"/>
    </row>
    <row r="170" ht="15.75" customHeight="1">
      <c r="F170" s="20"/>
    </row>
    <row r="171" ht="15.75" customHeight="1">
      <c r="F171" s="20"/>
    </row>
    <row r="172" ht="15.75" customHeight="1">
      <c r="F172" s="20"/>
    </row>
    <row r="173" ht="15.75" customHeight="1">
      <c r="F173" s="20"/>
    </row>
    <row r="174" ht="15.75" customHeight="1">
      <c r="F174" s="20"/>
    </row>
    <row r="175" ht="15.75" customHeight="1">
      <c r="F175" s="20"/>
    </row>
    <row r="176" ht="15.75" customHeight="1">
      <c r="F176" s="20"/>
    </row>
    <row r="177" ht="15.75" customHeight="1">
      <c r="F177" s="20"/>
    </row>
    <row r="178" ht="15.75" customHeight="1">
      <c r="F178" s="20"/>
    </row>
    <row r="179" ht="15.75" customHeight="1">
      <c r="F179" s="20"/>
    </row>
    <row r="180" ht="15.75" customHeight="1">
      <c r="F180" s="20"/>
    </row>
    <row r="181" ht="15.75" customHeight="1">
      <c r="F181" s="20"/>
    </row>
    <row r="182" ht="15.75" customHeight="1">
      <c r="F182" s="20"/>
    </row>
    <row r="183" ht="15.75" customHeight="1">
      <c r="F183" s="20"/>
    </row>
    <row r="184" ht="15.75" customHeight="1">
      <c r="F184" s="20"/>
    </row>
    <row r="185" ht="15.75" customHeight="1">
      <c r="F185" s="20"/>
    </row>
    <row r="186" ht="15.75" customHeight="1">
      <c r="F186" s="20"/>
    </row>
    <row r="187" ht="15.75" customHeight="1">
      <c r="F187" s="20"/>
    </row>
    <row r="188" ht="15.75" customHeight="1">
      <c r="F188" s="20"/>
    </row>
    <row r="189" ht="15.75" customHeight="1">
      <c r="F189" s="20"/>
    </row>
    <row r="190" ht="15.75" customHeight="1">
      <c r="F190" s="20"/>
    </row>
    <row r="191" ht="15.75" customHeight="1">
      <c r="F191" s="20"/>
    </row>
    <row r="192" ht="15.75" customHeight="1">
      <c r="F192" s="20"/>
    </row>
    <row r="193" ht="15.75" customHeight="1">
      <c r="F193" s="20"/>
    </row>
    <row r="194" ht="15.75" customHeight="1">
      <c r="F194" s="20"/>
    </row>
    <row r="195" ht="15.75" customHeight="1">
      <c r="F195" s="20"/>
    </row>
    <row r="196" ht="15.75" customHeight="1">
      <c r="F196" s="20"/>
    </row>
    <row r="197" ht="15.75" customHeight="1">
      <c r="F197" s="20"/>
    </row>
    <row r="198" ht="15.75" customHeight="1">
      <c r="F198" s="20"/>
    </row>
    <row r="199" ht="15.75" customHeight="1">
      <c r="F199" s="20"/>
    </row>
    <row r="200" ht="15.75" customHeight="1">
      <c r="F200" s="20"/>
    </row>
    <row r="201" ht="15.75" customHeight="1">
      <c r="F201" s="20"/>
    </row>
    <row r="202" ht="15.75" customHeight="1">
      <c r="F202" s="20"/>
    </row>
    <row r="203" ht="15.75" customHeight="1">
      <c r="F203" s="20"/>
    </row>
    <row r="204" ht="15.75" customHeight="1">
      <c r="F204" s="20"/>
    </row>
    <row r="205" ht="15.75" customHeight="1">
      <c r="F205" s="20"/>
    </row>
    <row r="206" ht="15.75" customHeight="1">
      <c r="F206" s="20"/>
    </row>
    <row r="207" ht="15.75" customHeight="1">
      <c r="F207" s="20"/>
    </row>
    <row r="208" ht="15.75" customHeight="1">
      <c r="F208" s="20"/>
    </row>
    <row r="209" ht="15.75" customHeight="1">
      <c r="F209" s="20"/>
    </row>
    <row r="210" ht="15.75" customHeight="1">
      <c r="F210" s="20"/>
    </row>
    <row r="211" ht="15.75" customHeight="1">
      <c r="F211" s="20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9.0"/>
    <col customWidth="1" min="4" max="5" width="12.63"/>
    <col customWidth="1" min="6" max="6" width="24.25"/>
    <col customWidth="1" min="7" max="7" width="12.63"/>
    <col customWidth="1" min="8" max="8" width="23.5"/>
    <col customWidth="1" min="10" max="10" width="25.5"/>
    <col customWidth="1" min="11" max="11" width="11.5"/>
    <col customWidth="1" min="12" max="12" width="28.25"/>
  </cols>
  <sheetData>
    <row r="1" ht="15.75" customHeight="1">
      <c r="A1" s="33" t="s">
        <v>0</v>
      </c>
      <c r="B1" s="33" t="s">
        <v>1</v>
      </c>
      <c r="C1" s="2" t="s">
        <v>2</v>
      </c>
      <c r="D1" s="22" t="s">
        <v>878</v>
      </c>
      <c r="E1" s="22" t="s">
        <v>1</v>
      </c>
      <c r="F1" s="23" t="s">
        <v>879</v>
      </c>
      <c r="G1" s="34" t="s">
        <v>880</v>
      </c>
      <c r="H1" s="23" t="s">
        <v>881</v>
      </c>
      <c r="I1" s="34" t="s">
        <v>882</v>
      </c>
      <c r="J1" s="23" t="s">
        <v>883</v>
      </c>
      <c r="K1" s="34" t="s">
        <v>884</v>
      </c>
      <c r="L1" s="23" t="s">
        <v>885</v>
      </c>
      <c r="M1" s="34" t="s">
        <v>886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15.75" customHeight="1">
      <c r="A2" s="35">
        <v>1919.0</v>
      </c>
      <c r="B2" s="11" t="s">
        <v>32</v>
      </c>
      <c r="C2" s="11" t="str">
        <f t="shared" ref="C2:C5" si="1">CONCATENATE(D2,"_",E2)</f>
        <v>UPS-01_CR</v>
      </c>
      <c r="D2" s="11" t="s">
        <v>887</v>
      </c>
      <c r="E2" s="36" t="s">
        <v>888</v>
      </c>
      <c r="F2" s="20" t="s">
        <v>889</v>
      </c>
      <c r="G2" s="19">
        <v>0.0</v>
      </c>
      <c r="H2" s="20" t="s">
        <v>890</v>
      </c>
      <c r="I2" s="19">
        <v>0.0</v>
      </c>
      <c r="J2" s="16"/>
      <c r="K2" s="16"/>
      <c r="L2" s="20" t="s">
        <v>891</v>
      </c>
      <c r="M2" s="19">
        <v>0.0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5.75" customHeight="1">
      <c r="A3" s="35">
        <v>1919.0</v>
      </c>
      <c r="B3" s="11" t="s">
        <v>32</v>
      </c>
      <c r="C3" s="11" t="str">
        <f t="shared" si="1"/>
        <v>UPS-02_CR</v>
      </c>
      <c r="D3" s="11" t="s">
        <v>892</v>
      </c>
      <c r="E3" s="36" t="s">
        <v>888</v>
      </c>
      <c r="F3" s="20" t="s">
        <v>893</v>
      </c>
      <c r="G3" s="19">
        <v>0.0</v>
      </c>
      <c r="H3" s="20" t="s">
        <v>894</v>
      </c>
      <c r="I3" s="19">
        <v>0.0</v>
      </c>
      <c r="J3" s="16"/>
      <c r="K3" s="16"/>
      <c r="L3" s="20" t="s">
        <v>895</v>
      </c>
      <c r="M3" s="19">
        <v>0.0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5.75" customHeight="1">
      <c r="A4" s="35">
        <v>1919.0</v>
      </c>
      <c r="B4" s="11" t="s">
        <v>32</v>
      </c>
      <c r="C4" s="11" t="str">
        <f t="shared" si="1"/>
        <v>UPS-03_CR</v>
      </c>
      <c r="D4" s="11" t="s">
        <v>896</v>
      </c>
      <c r="E4" s="36" t="s">
        <v>888</v>
      </c>
      <c r="F4" s="20" t="s">
        <v>897</v>
      </c>
      <c r="G4" s="19">
        <v>0.0</v>
      </c>
      <c r="H4" s="20" t="s">
        <v>898</v>
      </c>
      <c r="I4" s="19">
        <v>0.0</v>
      </c>
      <c r="J4" s="20" t="s">
        <v>899</v>
      </c>
      <c r="K4" s="19">
        <v>0.0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15.75" customHeight="1">
      <c r="A5" s="35">
        <v>1919.0</v>
      </c>
      <c r="B5" s="11" t="s">
        <v>32</v>
      </c>
      <c r="C5" s="11" t="str">
        <f t="shared" si="1"/>
        <v>UPS-04_CR</v>
      </c>
      <c r="D5" s="11" t="s">
        <v>900</v>
      </c>
      <c r="E5" s="36" t="s">
        <v>888</v>
      </c>
      <c r="F5" s="20" t="s">
        <v>901</v>
      </c>
      <c r="G5" s="19">
        <v>0.0</v>
      </c>
      <c r="H5" s="20" t="s">
        <v>902</v>
      </c>
      <c r="I5" s="19">
        <v>0.0</v>
      </c>
      <c r="J5" s="20" t="s">
        <v>903</v>
      </c>
      <c r="K5" s="19">
        <v>0.0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15.7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6.25"/>
    <col customWidth="1" min="7" max="7" width="12.63"/>
    <col customWidth="1" min="8" max="8" width="26.25"/>
    <col customWidth="1" min="10" max="10" width="32.75"/>
    <col customWidth="1" min="11" max="11" width="14.5"/>
    <col customWidth="1" min="12" max="12" width="32.75"/>
    <col customWidth="1" min="14" max="14" width="27.63"/>
    <col customWidth="1" min="16" max="16" width="27.63"/>
  </cols>
  <sheetData>
    <row r="1" ht="15.75" customHeight="1">
      <c r="A1" s="33" t="s">
        <v>0</v>
      </c>
      <c r="B1" s="33" t="s">
        <v>1</v>
      </c>
      <c r="C1" s="2" t="s">
        <v>2</v>
      </c>
      <c r="D1" s="22" t="s">
        <v>904</v>
      </c>
      <c r="E1" s="22" t="s">
        <v>1</v>
      </c>
      <c r="F1" s="23" t="s">
        <v>905</v>
      </c>
      <c r="G1" s="34" t="s">
        <v>906</v>
      </c>
      <c r="H1" s="23" t="s">
        <v>907</v>
      </c>
      <c r="I1" s="34" t="s">
        <v>908</v>
      </c>
      <c r="J1" s="23" t="s">
        <v>909</v>
      </c>
      <c r="K1" s="34" t="s">
        <v>910</v>
      </c>
      <c r="L1" s="23" t="s">
        <v>911</v>
      </c>
      <c r="M1" s="34" t="s">
        <v>912</v>
      </c>
      <c r="N1" s="23" t="s">
        <v>913</v>
      </c>
      <c r="O1" s="34" t="s">
        <v>914</v>
      </c>
      <c r="P1" s="23" t="s">
        <v>915</v>
      </c>
      <c r="Q1" s="34" t="s">
        <v>916</v>
      </c>
    </row>
    <row r="2" ht="15.75" customHeight="1">
      <c r="A2" s="12">
        <v>1919.0</v>
      </c>
      <c r="B2" s="11" t="s">
        <v>32</v>
      </c>
      <c r="C2" s="11" t="str">
        <f t="shared" ref="C2:C3" si="1">CONCATENATE(D2,"_",E2)</f>
        <v>GEPLC_CR</v>
      </c>
      <c r="D2" s="11" t="s">
        <v>917</v>
      </c>
      <c r="E2" s="36" t="s">
        <v>888</v>
      </c>
      <c r="F2" s="20" t="s">
        <v>918</v>
      </c>
      <c r="G2" s="20">
        <v>1.0</v>
      </c>
      <c r="H2" s="20" t="s">
        <v>919</v>
      </c>
      <c r="I2" s="20">
        <v>1.0</v>
      </c>
      <c r="J2" s="20"/>
      <c r="K2" s="20"/>
      <c r="L2" s="20"/>
      <c r="M2" s="20"/>
      <c r="N2" s="20"/>
      <c r="O2" s="20"/>
      <c r="P2" s="20"/>
      <c r="Q2" s="20"/>
    </row>
    <row r="3" ht="15.75" customHeight="1">
      <c r="A3" s="12">
        <v>1919.0</v>
      </c>
      <c r="B3" s="11" t="s">
        <v>32</v>
      </c>
      <c r="C3" s="11" t="str">
        <f t="shared" si="1"/>
        <v>SFT PLC_CR</v>
      </c>
      <c r="D3" s="11" t="s">
        <v>920</v>
      </c>
      <c r="E3" s="36" t="s">
        <v>888</v>
      </c>
      <c r="F3" s="20" t="s">
        <v>921</v>
      </c>
      <c r="G3" s="20">
        <v>1.0</v>
      </c>
      <c r="H3" s="20" t="s">
        <v>922</v>
      </c>
      <c r="I3" s="20">
        <v>1.0</v>
      </c>
      <c r="J3" s="20" t="s">
        <v>923</v>
      </c>
      <c r="K3" s="20">
        <v>0.0</v>
      </c>
      <c r="L3" s="20" t="s">
        <v>924</v>
      </c>
      <c r="M3" s="20">
        <v>0.0</v>
      </c>
      <c r="N3" s="20" t="s">
        <v>925</v>
      </c>
      <c r="O3" s="20">
        <v>0.0</v>
      </c>
      <c r="P3" s="20" t="s">
        <v>926</v>
      </c>
      <c r="Q3" s="20">
        <v>0.0</v>
      </c>
    </row>
    <row r="4" ht="15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ht="15.7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3.5"/>
    <col customWidth="1" min="4" max="4" width="12.63"/>
    <col customWidth="1" min="5" max="5" width="26.38"/>
    <col customWidth="1" min="6" max="6" width="22.75"/>
    <col customWidth="1" min="7" max="7" width="35.5"/>
    <col customWidth="1" min="9" max="9" width="35.5"/>
    <col customWidth="1" min="10" max="10" width="11.5"/>
    <col customWidth="1" min="11" max="11" width="31.75"/>
    <col customWidth="1" min="13" max="13" width="36.75"/>
    <col customWidth="1" min="15" max="15" width="28.63"/>
  </cols>
  <sheetData>
    <row r="1" ht="15.75" customHeight="1">
      <c r="A1" s="33" t="s">
        <v>0</v>
      </c>
      <c r="B1" s="33" t="s">
        <v>1</v>
      </c>
      <c r="C1" s="2" t="s">
        <v>2</v>
      </c>
      <c r="D1" s="22" t="s">
        <v>927</v>
      </c>
      <c r="E1" s="22" t="s">
        <v>928</v>
      </c>
      <c r="F1" s="22" t="s">
        <v>1</v>
      </c>
      <c r="G1" s="23" t="s">
        <v>929</v>
      </c>
      <c r="H1" s="34" t="s">
        <v>930</v>
      </c>
      <c r="I1" s="23" t="s">
        <v>931</v>
      </c>
      <c r="J1" s="34" t="s">
        <v>932</v>
      </c>
      <c r="K1" s="23" t="s">
        <v>933</v>
      </c>
      <c r="L1" s="34" t="s">
        <v>934</v>
      </c>
      <c r="M1" s="23" t="s">
        <v>935</v>
      </c>
      <c r="N1" s="34" t="s">
        <v>936</v>
      </c>
      <c r="O1" s="23" t="s">
        <v>937</v>
      </c>
      <c r="P1" s="34" t="s">
        <v>938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15.75" customHeight="1">
      <c r="A2" s="12">
        <v>1919.0</v>
      </c>
      <c r="B2" s="11" t="s">
        <v>32</v>
      </c>
      <c r="C2" s="11" t="str">
        <f t="shared" ref="C2:C20" si="1">CONCATENATE(D2,"_",E2,"_",F2)</f>
        <v>HDS-01_OPEN PATH_TANK1A TANK1B</v>
      </c>
      <c r="D2" s="37" t="s">
        <v>939</v>
      </c>
      <c r="E2" s="36" t="s">
        <v>940</v>
      </c>
      <c r="F2" s="37" t="s">
        <v>941</v>
      </c>
      <c r="G2" s="20" t="s">
        <v>942</v>
      </c>
      <c r="H2" s="19">
        <v>0.0</v>
      </c>
      <c r="I2" s="20" t="s">
        <v>943</v>
      </c>
      <c r="J2" s="19">
        <v>0.0</v>
      </c>
      <c r="K2" s="20" t="s">
        <v>944</v>
      </c>
      <c r="L2" s="19">
        <v>0.0</v>
      </c>
      <c r="M2" s="20" t="s">
        <v>945</v>
      </c>
      <c r="N2" s="19">
        <v>0.0</v>
      </c>
      <c r="O2" s="20" t="s">
        <v>946</v>
      </c>
      <c r="P2" s="19">
        <v>0.0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5.75" customHeight="1">
      <c r="A3" s="12">
        <v>1919.0</v>
      </c>
      <c r="B3" s="11" t="s">
        <v>32</v>
      </c>
      <c r="C3" s="11" t="str">
        <f t="shared" si="1"/>
        <v>HDS-02_OPEN PATH_TANK1C</v>
      </c>
      <c r="D3" s="37" t="s">
        <v>947</v>
      </c>
      <c r="E3" s="36" t="s">
        <v>940</v>
      </c>
      <c r="F3" s="37" t="s">
        <v>948</v>
      </c>
      <c r="G3" s="20" t="s">
        <v>949</v>
      </c>
      <c r="H3" s="19">
        <v>0.0</v>
      </c>
      <c r="I3" s="20" t="s">
        <v>950</v>
      </c>
      <c r="J3" s="19">
        <v>0.0</v>
      </c>
      <c r="K3" s="20" t="s">
        <v>951</v>
      </c>
      <c r="L3" s="19">
        <v>0.0</v>
      </c>
      <c r="M3" s="20" t="s">
        <v>952</v>
      </c>
      <c r="N3" s="19">
        <v>0.0</v>
      </c>
      <c r="O3" s="20" t="s">
        <v>953</v>
      </c>
      <c r="P3" s="19">
        <v>0.0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5.75" customHeight="1">
      <c r="A4" s="12">
        <v>1919.0</v>
      </c>
      <c r="B4" s="11" t="s">
        <v>32</v>
      </c>
      <c r="C4" s="11" t="str">
        <f t="shared" si="1"/>
        <v>HDS-03_OPEN PATH_PRODUCT PUMP HOUSE</v>
      </c>
      <c r="D4" s="37" t="s">
        <v>954</v>
      </c>
      <c r="E4" s="36" t="s">
        <v>940</v>
      </c>
      <c r="F4" s="37" t="s">
        <v>955</v>
      </c>
      <c r="G4" s="20" t="s">
        <v>956</v>
      </c>
      <c r="H4" s="19">
        <v>0.0</v>
      </c>
      <c r="I4" s="20" t="s">
        <v>957</v>
      </c>
      <c r="J4" s="19">
        <v>0.0</v>
      </c>
      <c r="K4" s="20" t="s">
        <v>958</v>
      </c>
      <c r="L4" s="19">
        <v>0.0</v>
      </c>
      <c r="M4" s="20" t="s">
        <v>959</v>
      </c>
      <c r="N4" s="19">
        <v>0.0</v>
      </c>
      <c r="O4" s="20" t="s">
        <v>960</v>
      </c>
      <c r="P4" s="19">
        <v>0.0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15.75" customHeight="1">
      <c r="A5" s="12">
        <v>1919.0</v>
      </c>
      <c r="B5" s="11" t="s">
        <v>32</v>
      </c>
      <c r="C5" s="11" t="str">
        <f t="shared" si="1"/>
        <v>HDS-04_OPEN PATH_TANK5C</v>
      </c>
      <c r="D5" s="37" t="s">
        <v>961</v>
      </c>
      <c r="E5" s="36" t="s">
        <v>940</v>
      </c>
      <c r="F5" s="37" t="s">
        <v>962</v>
      </c>
      <c r="G5" s="20" t="s">
        <v>963</v>
      </c>
      <c r="H5" s="19">
        <v>0.0</v>
      </c>
      <c r="I5" s="20" t="s">
        <v>964</v>
      </c>
      <c r="J5" s="19">
        <v>0.0</v>
      </c>
      <c r="K5" s="20" t="s">
        <v>965</v>
      </c>
      <c r="L5" s="19">
        <v>0.0</v>
      </c>
      <c r="M5" s="20" t="s">
        <v>966</v>
      </c>
      <c r="N5" s="19">
        <v>0.0</v>
      </c>
      <c r="O5" s="20" t="s">
        <v>967</v>
      </c>
      <c r="P5" s="19">
        <v>0.0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15.75" customHeight="1">
      <c r="A6" s="12">
        <v>1919.0</v>
      </c>
      <c r="B6" s="11" t="s">
        <v>32</v>
      </c>
      <c r="C6" s="11" t="str">
        <f t="shared" si="1"/>
        <v>HDS-05_POINT TYPE_TANK5A</v>
      </c>
      <c r="D6" s="37" t="s">
        <v>968</v>
      </c>
      <c r="E6" s="36" t="s">
        <v>969</v>
      </c>
      <c r="F6" s="37" t="s">
        <v>970</v>
      </c>
      <c r="G6" s="20" t="s">
        <v>971</v>
      </c>
      <c r="H6" s="19">
        <v>0.0</v>
      </c>
      <c r="I6" s="20" t="s">
        <v>972</v>
      </c>
      <c r="J6" s="19">
        <v>0.0</v>
      </c>
      <c r="K6" s="20" t="s">
        <v>973</v>
      </c>
      <c r="L6" s="19">
        <v>0.0</v>
      </c>
      <c r="M6" s="20" t="s">
        <v>974</v>
      </c>
      <c r="N6" s="19">
        <v>0.0</v>
      </c>
      <c r="O6" s="20" t="s">
        <v>975</v>
      </c>
      <c r="P6" s="19">
        <v>0.0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15.75" customHeight="1">
      <c r="A7" s="12">
        <v>1919.0</v>
      </c>
      <c r="B7" s="11" t="s">
        <v>32</v>
      </c>
      <c r="C7" s="11" t="str">
        <f t="shared" si="1"/>
        <v>HDS-06_POINT TYPE_TANK3C</v>
      </c>
      <c r="D7" s="37" t="s">
        <v>976</v>
      </c>
      <c r="E7" s="36" t="s">
        <v>969</v>
      </c>
      <c r="F7" s="37" t="s">
        <v>977</v>
      </c>
      <c r="G7" s="20" t="s">
        <v>978</v>
      </c>
      <c r="H7" s="19">
        <v>0.0</v>
      </c>
      <c r="I7" s="20" t="s">
        <v>979</v>
      </c>
      <c r="J7" s="19">
        <v>0.0</v>
      </c>
      <c r="K7" s="20" t="s">
        <v>980</v>
      </c>
      <c r="L7" s="19">
        <v>0.0</v>
      </c>
      <c r="M7" s="20" t="s">
        <v>981</v>
      </c>
      <c r="N7" s="19">
        <v>0.0</v>
      </c>
      <c r="O7" s="20" t="s">
        <v>982</v>
      </c>
      <c r="P7" s="19">
        <v>0.0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15.75" customHeight="1">
      <c r="A8" s="12">
        <v>1919.0</v>
      </c>
      <c r="B8" s="11" t="s">
        <v>32</v>
      </c>
      <c r="C8" s="11" t="str">
        <f t="shared" si="1"/>
        <v>HDS-07_POINT TYPE_TANK4C</v>
      </c>
      <c r="D8" s="37" t="s">
        <v>983</v>
      </c>
      <c r="E8" s="36" t="s">
        <v>969</v>
      </c>
      <c r="F8" s="37" t="s">
        <v>984</v>
      </c>
      <c r="G8" s="20" t="s">
        <v>985</v>
      </c>
      <c r="H8" s="19">
        <v>0.0</v>
      </c>
      <c r="I8" s="20" t="s">
        <v>986</v>
      </c>
      <c r="J8" s="19">
        <v>0.0</v>
      </c>
      <c r="K8" s="20" t="s">
        <v>987</v>
      </c>
      <c r="L8" s="19">
        <v>0.0</v>
      </c>
      <c r="M8" s="20" t="s">
        <v>988</v>
      </c>
      <c r="N8" s="19">
        <v>0.0</v>
      </c>
      <c r="O8" s="20" t="s">
        <v>989</v>
      </c>
      <c r="P8" s="19">
        <v>0.0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15.75" customHeight="1">
      <c r="A9" s="12">
        <v>1919.0</v>
      </c>
      <c r="B9" s="11" t="s">
        <v>32</v>
      </c>
      <c r="C9" s="11" t="str">
        <f t="shared" si="1"/>
        <v>HDS-08_POINT TYPE_TANK1B</v>
      </c>
      <c r="D9" s="37" t="s">
        <v>990</v>
      </c>
      <c r="E9" s="36" t="s">
        <v>969</v>
      </c>
      <c r="F9" s="37" t="s">
        <v>991</v>
      </c>
      <c r="G9" s="20" t="s">
        <v>992</v>
      </c>
      <c r="H9" s="19">
        <v>0.0</v>
      </c>
      <c r="I9" s="20" t="s">
        <v>993</v>
      </c>
      <c r="J9" s="19">
        <v>0.0</v>
      </c>
      <c r="K9" s="20" t="s">
        <v>994</v>
      </c>
      <c r="L9" s="19">
        <v>0.0</v>
      </c>
      <c r="M9" s="20" t="s">
        <v>995</v>
      </c>
      <c r="N9" s="19">
        <v>0.0</v>
      </c>
      <c r="O9" s="20" t="s">
        <v>996</v>
      </c>
      <c r="P9" s="19">
        <v>0.0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15.75" customHeight="1">
      <c r="A10" s="12">
        <v>1919.0</v>
      </c>
      <c r="B10" s="11" t="s">
        <v>32</v>
      </c>
      <c r="C10" s="11" t="str">
        <f t="shared" si="1"/>
        <v>HDS-09_POINT TYPE_TANK1C</v>
      </c>
      <c r="D10" s="37" t="s">
        <v>997</v>
      </c>
      <c r="E10" s="36" t="s">
        <v>969</v>
      </c>
      <c r="F10" s="37" t="s">
        <v>948</v>
      </c>
      <c r="G10" s="20" t="s">
        <v>998</v>
      </c>
      <c r="H10" s="19">
        <v>0.0</v>
      </c>
      <c r="I10" s="20" t="s">
        <v>999</v>
      </c>
      <c r="J10" s="19">
        <v>0.0</v>
      </c>
      <c r="K10" s="20" t="s">
        <v>1000</v>
      </c>
      <c r="L10" s="19">
        <v>0.0</v>
      </c>
      <c r="M10" s="20" t="s">
        <v>1001</v>
      </c>
      <c r="N10" s="19">
        <v>0.0</v>
      </c>
      <c r="O10" s="20" t="s">
        <v>1002</v>
      </c>
      <c r="P10" s="19">
        <v>0.0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15.75" customHeight="1">
      <c r="A11" s="12">
        <v>1919.0</v>
      </c>
      <c r="B11" s="11" t="s">
        <v>32</v>
      </c>
      <c r="C11" s="11" t="str">
        <f t="shared" si="1"/>
        <v>HDS-10_POINT TYPE_TANK 1A</v>
      </c>
      <c r="D11" s="37" t="s">
        <v>1003</v>
      </c>
      <c r="E11" s="36" t="s">
        <v>969</v>
      </c>
      <c r="F11" s="37" t="s">
        <v>1004</v>
      </c>
      <c r="G11" s="20" t="s">
        <v>1005</v>
      </c>
      <c r="H11" s="19">
        <v>0.0</v>
      </c>
      <c r="I11" s="20" t="s">
        <v>1006</v>
      </c>
      <c r="J11" s="19">
        <v>0.0</v>
      </c>
      <c r="K11" s="20" t="s">
        <v>1007</v>
      </c>
      <c r="L11" s="19">
        <v>0.0</v>
      </c>
      <c r="M11" s="20" t="s">
        <v>1008</v>
      </c>
      <c r="N11" s="19">
        <v>0.0</v>
      </c>
      <c r="O11" s="20" t="s">
        <v>1009</v>
      </c>
      <c r="P11" s="19">
        <v>0.0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5.75" customHeight="1">
      <c r="A12" s="12">
        <v>1919.0</v>
      </c>
      <c r="B12" s="11" t="s">
        <v>32</v>
      </c>
      <c r="C12" s="11" t="str">
        <f t="shared" si="1"/>
        <v>HDS-11_POINT TYPE_TANK5B</v>
      </c>
      <c r="D12" s="37" t="s">
        <v>1010</v>
      </c>
      <c r="E12" s="36" t="s">
        <v>969</v>
      </c>
      <c r="F12" s="37" t="s">
        <v>1011</v>
      </c>
      <c r="G12" s="20" t="s">
        <v>1012</v>
      </c>
      <c r="H12" s="19">
        <v>0.0</v>
      </c>
      <c r="I12" s="20" t="s">
        <v>1013</v>
      </c>
      <c r="J12" s="19">
        <v>0.0</v>
      </c>
      <c r="K12" s="20" t="s">
        <v>1014</v>
      </c>
      <c r="L12" s="19">
        <v>0.0</v>
      </c>
      <c r="M12" s="20" t="s">
        <v>1015</v>
      </c>
      <c r="N12" s="19">
        <v>0.0</v>
      </c>
      <c r="O12" s="20" t="s">
        <v>1016</v>
      </c>
      <c r="P12" s="19">
        <v>0.0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5.75" customHeight="1">
      <c r="A13" s="12">
        <v>1919.0</v>
      </c>
      <c r="B13" s="11" t="s">
        <v>32</v>
      </c>
      <c r="C13" s="11" t="str">
        <f t="shared" si="1"/>
        <v>HDS-12_OPEN PATH_TANK3C</v>
      </c>
      <c r="D13" s="37" t="s">
        <v>1017</v>
      </c>
      <c r="E13" s="36" t="s">
        <v>940</v>
      </c>
      <c r="F13" s="37" t="s">
        <v>977</v>
      </c>
      <c r="G13" s="20" t="s">
        <v>1018</v>
      </c>
      <c r="H13" s="19">
        <v>0.0</v>
      </c>
      <c r="I13" s="20" t="s">
        <v>1019</v>
      </c>
      <c r="J13" s="19">
        <v>0.0</v>
      </c>
      <c r="K13" s="20" t="s">
        <v>1020</v>
      </c>
      <c r="L13" s="19">
        <v>0.0</v>
      </c>
      <c r="M13" s="20" t="s">
        <v>1021</v>
      </c>
      <c r="N13" s="19">
        <v>0.0</v>
      </c>
      <c r="O13" s="20" t="s">
        <v>1022</v>
      </c>
      <c r="P13" s="19">
        <v>0.0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15.75" customHeight="1">
      <c r="A14" s="12">
        <v>1919.0</v>
      </c>
      <c r="B14" s="11" t="s">
        <v>32</v>
      </c>
      <c r="C14" s="11" t="str">
        <f t="shared" si="1"/>
        <v>HDS-13_POINT TYPE_TANK4C</v>
      </c>
      <c r="D14" s="37" t="s">
        <v>1023</v>
      </c>
      <c r="E14" s="36" t="s">
        <v>969</v>
      </c>
      <c r="F14" s="37" t="s">
        <v>984</v>
      </c>
      <c r="G14" s="20" t="s">
        <v>1024</v>
      </c>
      <c r="H14" s="19">
        <v>0.0</v>
      </c>
      <c r="I14" s="20" t="s">
        <v>1025</v>
      </c>
      <c r="J14" s="19">
        <v>0.0</v>
      </c>
      <c r="K14" s="20" t="s">
        <v>1026</v>
      </c>
      <c r="L14" s="19">
        <v>0.0</v>
      </c>
      <c r="M14" s="20" t="s">
        <v>1027</v>
      </c>
      <c r="N14" s="19">
        <v>0.0</v>
      </c>
      <c r="O14" s="20" t="s">
        <v>1028</v>
      </c>
      <c r="P14" s="19">
        <v>0.0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ht="15.75" customHeight="1">
      <c r="A15" s="12">
        <v>1919.0</v>
      </c>
      <c r="B15" s="11" t="s">
        <v>32</v>
      </c>
      <c r="C15" s="11" t="str">
        <f t="shared" si="1"/>
        <v>HDS-14_HCD-BPCL PLT MFM AREA_BPCL PLT MFM AREA</v>
      </c>
      <c r="D15" s="37" t="s">
        <v>1029</v>
      </c>
      <c r="E15" s="37" t="s">
        <v>1030</v>
      </c>
      <c r="F15" s="37" t="s">
        <v>1031</v>
      </c>
      <c r="G15" s="20" t="s">
        <v>1032</v>
      </c>
      <c r="H15" s="19">
        <v>0.0</v>
      </c>
      <c r="I15" s="20" t="s">
        <v>1033</v>
      </c>
      <c r="J15" s="19">
        <v>0.0</v>
      </c>
      <c r="K15" s="20" t="s">
        <v>1034</v>
      </c>
      <c r="L15" s="19">
        <v>0.0</v>
      </c>
      <c r="M15" s="20" t="s">
        <v>1035</v>
      </c>
      <c r="N15" s="19">
        <v>0.0</v>
      </c>
      <c r="O15" s="20" t="s">
        <v>1036</v>
      </c>
      <c r="P15" s="19">
        <v>0.0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ht="15.75" customHeight="1">
      <c r="A16" s="12">
        <v>1919.0</v>
      </c>
      <c r="B16" s="11" t="s">
        <v>32</v>
      </c>
      <c r="C16" s="11" t="str">
        <f t="shared" si="1"/>
        <v>HDS-15_POINT TYPE_HCD-15</v>
      </c>
      <c r="D16" s="37" t="s">
        <v>1037</v>
      </c>
      <c r="E16" s="36" t="s">
        <v>969</v>
      </c>
      <c r="F16" s="37" t="s">
        <v>1038</v>
      </c>
      <c r="G16" s="20" t="s">
        <v>1039</v>
      </c>
      <c r="H16" s="19">
        <v>0.0</v>
      </c>
      <c r="I16" s="20" t="s">
        <v>1040</v>
      </c>
      <c r="J16" s="19">
        <v>0.0</v>
      </c>
      <c r="K16" s="20" t="s">
        <v>1041</v>
      </c>
      <c r="L16" s="19">
        <v>0.0</v>
      </c>
      <c r="M16" s="20" t="s">
        <v>1042</v>
      </c>
      <c r="N16" s="19">
        <v>0.0</v>
      </c>
      <c r="O16" s="20" t="s">
        <v>1043</v>
      </c>
      <c r="P16" s="19">
        <v>0.0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ht="15.75" customHeight="1">
      <c r="A17" s="12">
        <v>1919.0</v>
      </c>
      <c r="B17" s="11" t="s">
        <v>32</v>
      </c>
      <c r="C17" s="11" t="str">
        <f t="shared" si="1"/>
        <v>HDS-16_POINT TYPE_HCD-16</v>
      </c>
      <c r="D17" s="37" t="s">
        <v>1044</v>
      </c>
      <c r="E17" s="36" t="s">
        <v>969</v>
      </c>
      <c r="F17" s="37" t="s">
        <v>1045</v>
      </c>
      <c r="G17" s="20" t="s">
        <v>1046</v>
      </c>
      <c r="H17" s="19">
        <v>0.0</v>
      </c>
      <c r="I17" s="20" t="s">
        <v>1047</v>
      </c>
      <c r="J17" s="19">
        <v>0.0</v>
      </c>
      <c r="K17" s="20" t="s">
        <v>1048</v>
      </c>
      <c r="L17" s="19">
        <v>0.0</v>
      </c>
      <c r="M17" s="20" t="s">
        <v>1049</v>
      </c>
      <c r="N17" s="19">
        <v>0.0</v>
      </c>
      <c r="O17" s="20" t="s">
        <v>1050</v>
      </c>
      <c r="P17" s="19">
        <v>0.0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ht="15.75" customHeight="1">
      <c r="A18" s="12">
        <v>1919.0</v>
      </c>
      <c r="B18" s="11" t="s">
        <v>32</v>
      </c>
      <c r="C18" s="11" t="str">
        <f t="shared" si="1"/>
        <v>HDS-17_POINT TYPE_HCD-17</v>
      </c>
      <c r="D18" s="37" t="s">
        <v>1051</v>
      </c>
      <c r="E18" s="36" t="s">
        <v>969</v>
      </c>
      <c r="F18" s="37" t="s">
        <v>1052</v>
      </c>
      <c r="G18" s="20" t="s">
        <v>1053</v>
      </c>
      <c r="H18" s="19">
        <v>0.0</v>
      </c>
      <c r="I18" s="20" t="s">
        <v>1054</v>
      </c>
      <c r="J18" s="19">
        <v>0.0</v>
      </c>
      <c r="K18" s="20" t="s">
        <v>1055</v>
      </c>
      <c r="L18" s="19">
        <v>0.0</v>
      </c>
      <c r="M18" s="20" t="s">
        <v>1056</v>
      </c>
      <c r="N18" s="19">
        <v>0.0</v>
      </c>
      <c r="O18" s="20" t="s">
        <v>1057</v>
      </c>
      <c r="P18" s="19">
        <v>0.0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15.75" customHeight="1">
      <c r="A19" s="12">
        <v>1919.0</v>
      </c>
      <c r="B19" s="11" t="s">
        <v>32</v>
      </c>
      <c r="C19" s="11" t="str">
        <f t="shared" si="1"/>
        <v>HDS-18_POINT TYPE_HCD-18</v>
      </c>
      <c r="D19" s="37" t="s">
        <v>1058</v>
      </c>
      <c r="E19" s="36" t="s">
        <v>969</v>
      </c>
      <c r="F19" s="37" t="s">
        <v>1059</v>
      </c>
      <c r="G19" s="20" t="s">
        <v>1060</v>
      </c>
      <c r="H19" s="19">
        <v>0.0</v>
      </c>
      <c r="I19" s="20" t="s">
        <v>1061</v>
      </c>
      <c r="J19" s="19">
        <v>0.0</v>
      </c>
      <c r="K19" s="20" t="s">
        <v>1062</v>
      </c>
      <c r="L19" s="19">
        <v>0.0</v>
      </c>
      <c r="M19" s="20" t="s">
        <v>1063</v>
      </c>
      <c r="N19" s="19">
        <v>0.0</v>
      </c>
      <c r="O19" s="20" t="s">
        <v>1064</v>
      </c>
      <c r="P19" s="19">
        <v>0.0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12">
        <v>1919.0</v>
      </c>
      <c r="B20" s="11" t="s">
        <v>32</v>
      </c>
      <c r="C20" s="11" t="str">
        <f t="shared" si="1"/>
        <v>HDS-19_POINT TYPE_HCD-19</v>
      </c>
      <c r="D20" s="37" t="s">
        <v>1065</v>
      </c>
      <c r="E20" s="36" t="s">
        <v>969</v>
      </c>
      <c r="F20" s="37" t="s">
        <v>1066</v>
      </c>
      <c r="G20" s="20" t="s">
        <v>1067</v>
      </c>
      <c r="H20" s="19">
        <v>0.0</v>
      </c>
      <c r="I20" s="20" t="s">
        <v>1068</v>
      </c>
      <c r="J20" s="19">
        <v>0.0</v>
      </c>
      <c r="K20" s="20" t="s">
        <v>1069</v>
      </c>
      <c r="L20" s="19">
        <v>0.0</v>
      </c>
      <c r="M20" s="20" t="s">
        <v>1070</v>
      </c>
      <c r="N20" s="19">
        <v>0.0</v>
      </c>
      <c r="O20" s="20" t="s">
        <v>1071</v>
      </c>
      <c r="P20" s="19">
        <v>0.0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5.38"/>
    <col customWidth="1" min="5" max="6" width="12.63"/>
  </cols>
  <sheetData>
    <row r="1" ht="15.75" customHeight="1">
      <c r="A1" s="22" t="s">
        <v>0</v>
      </c>
      <c r="B1" s="22" t="s">
        <v>1</v>
      </c>
      <c r="C1" s="22" t="s">
        <v>1072</v>
      </c>
      <c r="D1" s="23" t="s">
        <v>1073</v>
      </c>
      <c r="E1" s="34" t="s">
        <v>1074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2">
        <v>1919.0</v>
      </c>
      <c r="B2" s="11" t="s">
        <v>32</v>
      </c>
      <c r="C2" s="11" t="s">
        <v>1075</v>
      </c>
      <c r="D2" s="20" t="s">
        <v>1076</v>
      </c>
      <c r="E2" s="19">
        <v>0.0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2">
        <v>1919.0</v>
      </c>
      <c r="B3" s="11" t="s">
        <v>32</v>
      </c>
      <c r="C3" s="11" t="s">
        <v>1077</v>
      </c>
      <c r="D3" s="20" t="s">
        <v>1078</v>
      </c>
      <c r="E3" s="19">
        <v>0.0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2">
        <v>1919.0</v>
      </c>
      <c r="B4" s="11" t="s">
        <v>32</v>
      </c>
      <c r="C4" s="11" t="s">
        <v>1079</v>
      </c>
      <c r="D4" s="20" t="s">
        <v>1080</v>
      </c>
      <c r="E4" s="19">
        <v>0.0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2">
        <v>1919.0</v>
      </c>
      <c r="B5" s="11" t="s">
        <v>32</v>
      </c>
      <c r="C5" s="11" t="s">
        <v>1081</v>
      </c>
      <c r="D5" s="20" t="s">
        <v>1082</v>
      </c>
      <c r="E5" s="19">
        <v>0.0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2">
        <v>1919.0</v>
      </c>
      <c r="B6" s="11" t="s">
        <v>32</v>
      </c>
      <c r="C6" s="11" t="s">
        <v>1083</v>
      </c>
      <c r="D6" s="20" t="s">
        <v>1084</v>
      </c>
      <c r="E6" s="19">
        <v>0.0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2">
        <v>1919.0</v>
      </c>
      <c r="B7" s="11" t="s">
        <v>32</v>
      </c>
      <c r="C7" s="11" t="s">
        <v>1085</v>
      </c>
      <c r="D7" s="20" t="s">
        <v>1086</v>
      </c>
      <c r="E7" s="19">
        <v>0.0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12">
        <v>1919.0</v>
      </c>
      <c r="B8" s="11" t="s">
        <v>32</v>
      </c>
      <c r="C8" s="11" t="s">
        <v>1087</v>
      </c>
      <c r="D8" s="20" t="s">
        <v>1088</v>
      </c>
      <c r="E8" s="19">
        <v>0.0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12">
        <v>1919.0</v>
      </c>
      <c r="B9" s="11" t="s">
        <v>32</v>
      </c>
      <c r="C9" s="11" t="s">
        <v>1089</v>
      </c>
      <c r="D9" s="20" t="s">
        <v>1090</v>
      </c>
      <c r="E9" s="19">
        <v>0.0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2">
        <v>1919.0</v>
      </c>
      <c r="B10" s="11" t="s">
        <v>32</v>
      </c>
      <c r="C10" s="11" t="s">
        <v>1091</v>
      </c>
      <c r="D10" s="20" t="s">
        <v>1092</v>
      </c>
      <c r="E10" s="19">
        <v>0.0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2">
        <v>1919.0</v>
      </c>
      <c r="B11" s="11" t="s">
        <v>32</v>
      </c>
      <c r="C11" s="11" t="s">
        <v>1093</v>
      </c>
      <c r="D11" s="20" t="s">
        <v>1094</v>
      </c>
      <c r="E11" s="19">
        <v>0.0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2">
        <v>1919.0</v>
      </c>
      <c r="B12" s="11" t="s">
        <v>32</v>
      </c>
      <c r="C12" s="11" t="s">
        <v>1095</v>
      </c>
      <c r="D12" s="20" t="s">
        <v>1096</v>
      </c>
      <c r="E12" s="19">
        <v>0.0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2">
        <v>1919.0</v>
      </c>
      <c r="B13" s="11" t="s">
        <v>32</v>
      </c>
      <c r="C13" s="11" t="s">
        <v>1097</v>
      </c>
      <c r="D13" s="20" t="s">
        <v>1098</v>
      </c>
      <c r="E13" s="19">
        <v>0.0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2">
        <v>1919.0</v>
      </c>
      <c r="B14" s="11" t="s">
        <v>32</v>
      </c>
      <c r="C14" s="11" t="s">
        <v>1099</v>
      </c>
      <c r="D14" s="20" t="s">
        <v>1100</v>
      </c>
      <c r="E14" s="19">
        <v>0.0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2">
        <v>1919.0</v>
      </c>
      <c r="B15" s="11" t="s">
        <v>32</v>
      </c>
      <c r="C15" s="11" t="s">
        <v>1101</v>
      </c>
      <c r="D15" s="20" t="s">
        <v>1102</v>
      </c>
      <c r="E15" s="19">
        <v>0.0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12">
        <v>1919.0</v>
      </c>
      <c r="B16" s="11" t="s">
        <v>32</v>
      </c>
      <c r="C16" s="11" t="s">
        <v>1103</v>
      </c>
      <c r="D16" s="20" t="s">
        <v>1104</v>
      </c>
      <c r="E16" s="19">
        <v>0.0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2">
        <v>1919.0</v>
      </c>
      <c r="B17" s="11" t="s">
        <v>32</v>
      </c>
      <c r="C17" s="11" t="s">
        <v>1105</v>
      </c>
      <c r="D17" s="20" t="s">
        <v>1106</v>
      </c>
      <c r="E17" s="19">
        <v>0.0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12">
        <v>1919.0</v>
      </c>
      <c r="B18" s="11" t="s">
        <v>32</v>
      </c>
      <c r="C18" s="11" t="s">
        <v>1107</v>
      </c>
      <c r="D18" s="20" t="s">
        <v>1108</v>
      </c>
      <c r="E18" s="19">
        <v>0.0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12">
        <v>1919.0</v>
      </c>
      <c r="B19" s="11" t="s">
        <v>32</v>
      </c>
      <c r="C19" s="11" t="s">
        <v>1109</v>
      </c>
      <c r="D19" s="20" t="s">
        <v>1110</v>
      </c>
      <c r="E19" s="19">
        <v>0.0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12">
        <v>1919.0</v>
      </c>
      <c r="B20" s="11" t="s">
        <v>32</v>
      </c>
      <c r="C20" s="11" t="s">
        <v>1111</v>
      </c>
      <c r="D20" s="20" t="s">
        <v>1112</v>
      </c>
      <c r="E20" s="19">
        <v>0.0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2">
        <v>1919.0</v>
      </c>
      <c r="B21" s="11" t="s">
        <v>32</v>
      </c>
      <c r="C21" s="11" t="s">
        <v>1113</v>
      </c>
      <c r="D21" s="20" t="s">
        <v>1114</v>
      </c>
      <c r="E21" s="19">
        <v>0.0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2">
        <v>1919.0</v>
      </c>
      <c r="B22" s="11" t="s">
        <v>32</v>
      </c>
      <c r="C22" s="11" t="s">
        <v>1115</v>
      </c>
      <c r="D22" s="20" t="s">
        <v>1116</v>
      </c>
      <c r="E22" s="19">
        <v>0.0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2">
        <v>1919.0</v>
      </c>
      <c r="B23" s="11" t="s">
        <v>32</v>
      </c>
      <c r="C23" s="11" t="s">
        <v>1117</v>
      </c>
      <c r="D23" s="20" t="s">
        <v>1118</v>
      </c>
      <c r="E23" s="19">
        <v>0.0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2">
        <v>1919.0</v>
      </c>
      <c r="B24" s="11" t="s">
        <v>32</v>
      </c>
      <c r="C24" s="11" t="s">
        <v>1119</v>
      </c>
      <c r="D24" s="20" t="s">
        <v>1120</v>
      </c>
      <c r="E24" s="19">
        <v>0.0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2">
        <v>1919.0</v>
      </c>
      <c r="B25" s="11" t="s">
        <v>32</v>
      </c>
      <c r="C25" s="11" t="s">
        <v>1121</v>
      </c>
      <c r="D25" s="20" t="s">
        <v>1122</v>
      </c>
      <c r="E25" s="19">
        <v>0.0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2">
        <v>1919.0</v>
      </c>
      <c r="B26" s="11" t="s">
        <v>32</v>
      </c>
      <c r="C26" s="11" t="s">
        <v>1123</v>
      </c>
      <c r="D26" s="20" t="s">
        <v>1124</v>
      </c>
      <c r="E26" s="19">
        <v>0.0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2">
        <v>1919.0</v>
      </c>
      <c r="B27" s="11" t="s">
        <v>32</v>
      </c>
      <c r="C27" s="11" t="s">
        <v>1125</v>
      </c>
      <c r="D27" s="20" t="s">
        <v>1126</v>
      </c>
      <c r="E27" s="19">
        <v>0.0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2">
        <v>1919.0</v>
      </c>
      <c r="B28" s="11" t="s">
        <v>32</v>
      </c>
      <c r="C28" s="11" t="s">
        <v>1127</v>
      </c>
      <c r="D28" s="20" t="s">
        <v>1128</v>
      </c>
      <c r="E28" s="19">
        <v>0.0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2">
        <v>1919.0</v>
      </c>
      <c r="B29" s="11" t="s">
        <v>32</v>
      </c>
      <c r="C29" s="11" t="s">
        <v>1129</v>
      </c>
      <c r="D29" s="20" t="s">
        <v>1130</v>
      </c>
      <c r="E29" s="19">
        <v>0.0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2">
        <v>1919.0</v>
      </c>
      <c r="B30" s="11" t="s">
        <v>32</v>
      </c>
      <c r="C30" s="11" t="s">
        <v>1131</v>
      </c>
      <c r="D30" s="20" t="s">
        <v>1132</v>
      </c>
      <c r="E30" s="19">
        <v>0.0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2">
        <v>1919.0</v>
      </c>
      <c r="B31" s="11" t="s">
        <v>32</v>
      </c>
      <c r="C31" s="11" t="s">
        <v>1133</v>
      </c>
      <c r="D31" s="20" t="s">
        <v>1134</v>
      </c>
      <c r="E31" s="19">
        <v>0.0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2">
        <v>1919.0</v>
      </c>
      <c r="B32" s="11" t="s">
        <v>32</v>
      </c>
      <c r="C32" s="11" t="s">
        <v>1135</v>
      </c>
      <c r="D32" s="20" t="s">
        <v>1136</v>
      </c>
      <c r="E32" s="19">
        <v>0.0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2">
        <v>1919.0</v>
      </c>
      <c r="B33" s="11" t="s">
        <v>32</v>
      </c>
      <c r="C33" s="11" t="s">
        <v>1137</v>
      </c>
      <c r="D33" s="20" t="s">
        <v>1138</v>
      </c>
      <c r="E33" s="19">
        <v>0.0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2">
        <v>1919.0</v>
      </c>
      <c r="B34" s="11" t="s">
        <v>32</v>
      </c>
      <c r="C34" s="11" t="s">
        <v>1139</v>
      </c>
      <c r="D34" s="20" t="s">
        <v>1140</v>
      </c>
      <c r="E34" s="19">
        <v>0.0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2">
        <v>1919.0</v>
      </c>
      <c r="B35" s="11" t="s">
        <v>32</v>
      </c>
      <c r="C35" s="11" t="s">
        <v>1141</v>
      </c>
      <c r="D35" s="20" t="s">
        <v>1142</v>
      </c>
      <c r="E35" s="19">
        <v>0.0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2">
        <v>1919.0</v>
      </c>
      <c r="B36" s="11" t="s">
        <v>32</v>
      </c>
      <c r="C36" s="11" t="s">
        <v>1143</v>
      </c>
      <c r="D36" s="20" t="s">
        <v>1144</v>
      </c>
      <c r="E36" s="19">
        <v>0.0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2">
        <v>1919.0</v>
      </c>
      <c r="B37" s="11" t="s">
        <v>32</v>
      </c>
      <c r="C37" s="11" t="s">
        <v>1145</v>
      </c>
      <c r="D37" s="20" t="s">
        <v>1146</v>
      </c>
      <c r="E37" s="19">
        <v>0.0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.75"/>
    <col customWidth="1" min="4" max="4" width="25.88"/>
    <col customWidth="1" min="5" max="5" width="12.63"/>
    <col customWidth="1" min="6" max="6" width="26.75"/>
    <col customWidth="1" min="8" max="8" width="28.25"/>
  </cols>
  <sheetData>
    <row r="1" ht="15.75" customHeight="1">
      <c r="A1" s="22" t="s">
        <v>0</v>
      </c>
      <c r="B1" s="22" t="s">
        <v>1</v>
      </c>
      <c r="C1" s="22" t="s">
        <v>1147</v>
      </c>
      <c r="D1" s="23" t="s">
        <v>1148</v>
      </c>
      <c r="E1" s="34" t="s">
        <v>1149</v>
      </c>
      <c r="F1" s="23" t="s">
        <v>1150</v>
      </c>
      <c r="G1" s="34" t="s">
        <v>1151</v>
      </c>
      <c r="H1" s="23" t="s">
        <v>1152</v>
      </c>
      <c r="I1" s="34" t="s">
        <v>7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ht="15.75" customHeight="1">
      <c r="A2" s="12">
        <v>1919.0</v>
      </c>
      <c r="B2" s="11" t="s">
        <v>32</v>
      </c>
      <c r="C2" s="11" t="s">
        <v>1153</v>
      </c>
      <c r="D2" s="20" t="s">
        <v>1154</v>
      </c>
      <c r="E2" s="19">
        <v>0.0</v>
      </c>
      <c r="F2" s="20" t="s">
        <v>1155</v>
      </c>
      <c r="G2" s="19">
        <v>0.0</v>
      </c>
      <c r="H2" s="20" t="s">
        <v>1156</v>
      </c>
      <c r="I2" s="19">
        <v>1.0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ht="15.75" customHeight="1">
      <c r="A3" s="12">
        <v>1919.0</v>
      </c>
      <c r="B3" s="11" t="s">
        <v>32</v>
      </c>
      <c r="C3" s="11" t="s">
        <v>1157</v>
      </c>
      <c r="D3" s="20" t="s">
        <v>1158</v>
      </c>
      <c r="E3" s="19">
        <v>0.0</v>
      </c>
      <c r="F3" s="20" t="s">
        <v>1159</v>
      </c>
      <c r="G3" s="19">
        <v>0.0</v>
      </c>
      <c r="H3" s="20" t="s">
        <v>1160</v>
      </c>
      <c r="I3" s="19">
        <v>1.0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ht="15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ht="15.7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6.0"/>
    <col customWidth="1" min="4" max="4" width="12.63"/>
    <col customWidth="1" min="5" max="5" width="44.0"/>
    <col customWidth="1" min="6" max="6" width="11.5"/>
  </cols>
  <sheetData>
    <row r="1" ht="15.75" customHeight="1">
      <c r="A1" s="22" t="s">
        <v>0</v>
      </c>
      <c r="B1" s="22" t="s">
        <v>1</v>
      </c>
      <c r="C1" s="22" t="s">
        <v>1161</v>
      </c>
      <c r="D1" s="22" t="s">
        <v>1162</v>
      </c>
      <c r="E1" s="23" t="s">
        <v>1163</v>
      </c>
      <c r="F1" s="34" t="s">
        <v>1164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5.75" customHeight="1">
      <c r="A2" s="12">
        <v>1919.0</v>
      </c>
      <c r="B2" s="11" t="s">
        <v>32</v>
      </c>
      <c r="C2" s="11" t="s">
        <v>1165</v>
      </c>
      <c r="D2" s="11">
        <v>1.0</v>
      </c>
      <c r="E2" s="39" t="s">
        <v>1166</v>
      </c>
      <c r="F2" s="19">
        <v>0.0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12">
        <v>1919.0</v>
      </c>
      <c r="B3" s="11" t="s">
        <v>32</v>
      </c>
      <c r="C3" s="11" t="s">
        <v>1167</v>
      </c>
      <c r="D3" s="11">
        <v>2.0</v>
      </c>
      <c r="E3" s="39" t="s">
        <v>1168</v>
      </c>
      <c r="F3" s="19">
        <v>0.0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12">
        <v>1919.0</v>
      </c>
      <c r="B4" s="11" t="s">
        <v>32</v>
      </c>
      <c r="C4" s="11" t="s">
        <v>1169</v>
      </c>
      <c r="D4" s="11">
        <v>3.0</v>
      </c>
      <c r="E4" s="39" t="s">
        <v>1170</v>
      </c>
      <c r="F4" s="19">
        <v>0.0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12">
        <v>1919.0</v>
      </c>
      <c r="B5" s="11" t="s">
        <v>32</v>
      </c>
      <c r="C5" s="11" t="s">
        <v>1171</v>
      </c>
      <c r="D5" s="11">
        <v>4.0</v>
      </c>
      <c r="E5" s="39" t="s">
        <v>1172</v>
      </c>
      <c r="F5" s="19">
        <v>0.0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75" customHeight="1">
      <c r="A6" s="12">
        <v>1919.0</v>
      </c>
      <c r="B6" s="11" t="s">
        <v>32</v>
      </c>
      <c r="C6" s="11" t="s">
        <v>1173</v>
      </c>
      <c r="D6" s="11">
        <v>5.0</v>
      </c>
      <c r="E6" s="39" t="s">
        <v>1174</v>
      </c>
      <c r="F6" s="19">
        <v>0.0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5.75" customHeight="1">
      <c r="A7" s="12">
        <v>1919.0</v>
      </c>
      <c r="B7" s="11" t="s">
        <v>32</v>
      </c>
      <c r="C7" s="11" t="s">
        <v>1175</v>
      </c>
      <c r="D7" s="11">
        <v>6.0</v>
      </c>
      <c r="E7" s="39" t="s">
        <v>1176</v>
      </c>
      <c r="F7" s="19">
        <v>0.0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5.75" customHeight="1">
      <c r="A8" s="12">
        <v>1919.0</v>
      </c>
      <c r="B8" s="11" t="s">
        <v>32</v>
      </c>
      <c r="C8" s="11" t="s">
        <v>1177</v>
      </c>
      <c r="D8" s="11">
        <v>7.0</v>
      </c>
      <c r="E8" s="39" t="s">
        <v>1178</v>
      </c>
      <c r="F8" s="19">
        <v>0.0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5.75" customHeight="1">
      <c r="A9" s="12">
        <v>1919.0</v>
      </c>
      <c r="B9" s="11" t="s">
        <v>32</v>
      </c>
      <c r="C9" s="11" t="s">
        <v>1179</v>
      </c>
      <c r="D9" s="11">
        <v>8.0</v>
      </c>
      <c r="E9" s="39" t="s">
        <v>1180</v>
      </c>
      <c r="F9" s="19">
        <v>0.0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75" customHeight="1">
      <c r="A10" s="12">
        <v>1919.0</v>
      </c>
      <c r="B10" s="11" t="s">
        <v>32</v>
      </c>
      <c r="C10" s="11" t="s">
        <v>1181</v>
      </c>
      <c r="D10" s="11">
        <v>9.0</v>
      </c>
      <c r="E10" s="39" t="s">
        <v>1182</v>
      </c>
      <c r="F10" s="19">
        <v>0.0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75" customHeight="1">
      <c r="A11" s="12">
        <v>1919.0</v>
      </c>
      <c r="B11" s="11" t="s">
        <v>32</v>
      </c>
      <c r="C11" s="11" t="s">
        <v>1183</v>
      </c>
      <c r="D11" s="11">
        <v>10.0</v>
      </c>
      <c r="E11" s="39" t="s">
        <v>1184</v>
      </c>
      <c r="F11" s="19">
        <v>0.0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75" customHeight="1">
      <c r="A12" s="38"/>
      <c r="B12" s="38"/>
      <c r="C12" s="38"/>
      <c r="D12" s="38"/>
      <c r="E12" s="16"/>
      <c r="F12" s="16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75" customHeight="1">
      <c r="A13" s="38"/>
      <c r="B13" s="38"/>
      <c r="C13" s="38"/>
      <c r="D13" s="38"/>
      <c r="E13" s="16"/>
      <c r="F13" s="16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75" customHeight="1">
      <c r="A14" s="38"/>
      <c r="B14" s="38"/>
      <c r="C14" s="38"/>
      <c r="D14" s="38"/>
      <c r="E14" s="16"/>
      <c r="F14" s="16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75" customHeight="1">
      <c r="A15" s="38"/>
      <c r="B15" s="38"/>
      <c r="C15" s="38"/>
      <c r="D15" s="38"/>
      <c r="E15" s="16"/>
      <c r="F15" s="16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75" customHeight="1">
      <c r="A16" s="38"/>
      <c r="B16" s="38"/>
      <c r="C16" s="38"/>
      <c r="D16" s="38"/>
      <c r="E16" s="16"/>
      <c r="F16" s="16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75" customHeight="1">
      <c r="A17" s="38"/>
      <c r="B17" s="38"/>
      <c r="C17" s="38"/>
      <c r="D17" s="38"/>
      <c r="E17" s="16"/>
      <c r="F17" s="16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75" customHeight="1">
      <c r="A18" s="38"/>
      <c r="B18" s="38"/>
      <c r="C18" s="38"/>
      <c r="D18" s="38"/>
      <c r="E18" s="16"/>
      <c r="F18" s="16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38"/>
      <c r="B19" s="38"/>
      <c r="C19" s="38"/>
      <c r="D19" s="38"/>
      <c r="E19" s="16"/>
      <c r="F19" s="16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38"/>
      <c r="B20" s="38"/>
      <c r="C20" s="38"/>
      <c r="D20" s="38"/>
      <c r="E20" s="16"/>
      <c r="F20" s="16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38"/>
      <c r="B21" s="38"/>
      <c r="C21" s="38"/>
      <c r="D21" s="38"/>
      <c r="E21" s="16"/>
      <c r="F21" s="16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38"/>
      <c r="B22" s="38"/>
      <c r="C22" s="38"/>
      <c r="D22" s="38"/>
      <c r="E22" s="16"/>
      <c r="F22" s="16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38"/>
      <c r="B23" s="38"/>
      <c r="C23" s="38"/>
      <c r="D23" s="38"/>
      <c r="E23" s="16"/>
      <c r="F23" s="16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38"/>
      <c r="B24" s="38"/>
      <c r="C24" s="38"/>
      <c r="D24" s="38"/>
      <c r="E24" s="16"/>
      <c r="F24" s="16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38"/>
      <c r="B25" s="38"/>
      <c r="C25" s="38"/>
      <c r="D25" s="38"/>
      <c r="E25" s="16"/>
      <c r="F25" s="16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38"/>
      <c r="B26" s="38"/>
      <c r="C26" s="38"/>
      <c r="D26" s="38"/>
      <c r="E26" s="16"/>
      <c r="F26" s="16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38"/>
      <c r="B27" s="38"/>
      <c r="C27" s="38"/>
      <c r="D27" s="38"/>
      <c r="E27" s="16"/>
      <c r="F27" s="16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38"/>
      <c r="B28" s="38"/>
      <c r="C28" s="38"/>
      <c r="D28" s="38"/>
      <c r="E28" s="16"/>
      <c r="F28" s="16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38"/>
      <c r="B29" s="38"/>
      <c r="C29" s="38"/>
      <c r="D29" s="38"/>
      <c r="E29" s="16"/>
      <c r="F29" s="16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38"/>
      <c r="B30" s="38"/>
      <c r="C30" s="38"/>
      <c r="D30" s="38"/>
      <c r="E30" s="16"/>
      <c r="F30" s="16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38"/>
      <c r="B31" s="38"/>
      <c r="C31" s="38"/>
      <c r="D31" s="38"/>
      <c r="E31" s="16"/>
      <c r="F31" s="16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38"/>
      <c r="B32" s="38"/>
      <c r="C32" s="38"/>
      <c r="D32" s="38"/>
      <c r="E32" s="16"/>
      <c r="F32" s="16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38"/>
      <c r="B33" s="38"/>
      <c r="C33" s="38"/>
      <c r="D33" s="38"/>
      <c r="E33" s="16"/>
      <c r="F33" s="16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38"/>
      <c r="B34" s="38"/>
      <c r="C34" s="38"/>
      <c r="D34" s="38"/>
      <c r="E34" s="16"/>
      <c r="F34" s="16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8"/>
      <c r="B35" s="38"/>
      <c r="C35" s="38"/>
      <c r="D35" s="38"/>
      <c r="E35" s="16"/>
      <c r="F35" s="16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38"/>
      <c r="B36" s="38"/>
      <c r="C36" s="38"/>
      <c r="D36" s="38"/>
      <c r="E36" s="16"/>
      <c r="F36" s="16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8"/>
      <c r="B37" s="38"/>
      <c r="C37" s="38"/>
      <c r="D37" s="38"/>
      <c r="E37" s="16"/>
      <c r="F37" s="16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8"/>
      <c r="B38" s="38"/>
      <c r="C38" s="38"/>
      <c r="D38" s="38"/>
      <c r="E38" s="16"/>
      <c r="F38" s="16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/>
      <c r="B39" s="38"/>
      <c r="C39" s="38"/>
      <c r="D39" s="38"/>
      <c r="E39" s="16"/>
      <c r="F39" s="16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/>
      <c r="B40" s="38"/>
      <c r="C40" s="38"/>
      <c r="D40" s="38"/>
      <c r="E40" s="16"/>
      <c r="F40" s="16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/>
      <c r="B41" s="38"/>
      <c r="C41" s="38"/>
      <c r="D41" s="38"/>
      <c r="E41" s="16"/>
      <c r="F41" s="16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/>
      <c r="B42" s="38"/>
      <c r="C42" s="38"/>
      <c r="D42" s="38"/>
      <c r="E42" s="16"/>
      <c r="F42" s="16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/>
      <c r="B43" s="38"/>
      <c r="C43" s="38"/>
      <c r="D43" s="38"/>
      <c r="E43" s="16"/>
      <c r="F43" s="16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/>
      <c r="B44" s="38"/>
      <c r="C44" s="38"/>
      <c r="D44" s="38"/>
      <c r="E44" s="16"/>
      <c r="F44" s="16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/>
      <c r="B45" s="38"/>
      <c r="C45" s="38"/>
      <c r="D45" s="38"/>
      <c r="E45" s="16"/>
      <c r="F45" s="16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/>
      <c r="B46" s="38"/>
      <c r="C46" s="38"/>
      <c r="D46" s="38"/>
      <c r="E46" s="16"/>
      <c r="F46" s="16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/>
      <c r="B47" s="38"/>
      <c r="C47" s="38"/>
      <c r="D47" s="38"/>
      <c r="E47" s="16"/>
      <c r="F47" s="16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/>
      <c r="B48" s="38"/>
      <c r="C48" s="38"/>
      <c r="D48" s="38"/>
      <c r="E48" s="16"/>
      <c r="F48" s="16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/>
      <c r="B49" s="38"/>
      <c r="C49" s="38"/>
      <c r="D49" s="38"/>
      <c r="E49" s="16"/>
      <c r="F49" s="16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/>
      <c r="B50" s="38"/>
      <c r="C50" s="38"/>
      <c r="D50" s="38"/>
      <c r="E50" s="16"/>
      <c r="F50" s="16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/>
      <c r="B51" s="38"/>
      <c r="C51" s="38"/>
      <c r="D51" s="38"/>
      <c r="E51" s="16"/>
      <c r="F51" s="16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/>
      <c r="B52" s="38"/>
      <c r="C52" s="38"/>
      <c r="D52" s="38"/>
      <c r="E52" s="16"/>
      <c r="F52" s="16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/>
      <c r="B53" s="38"/>
      <c r="C53" s="38"/>
      <c r="D53" s="38"/>
      <c r="E53" s="16"/>
      <c r="F53" s="16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/>
      <c r="B54" s="38"/>
      <c r="C54" s="38"/>
      <c r="D54" s="38"/>
      <c r="E54" s="16"/>
      <c r="F54" s="16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/>
      <c r="B55" s="38"/>
      <c r="C55" s="38"/>
      <c r="D55" s="38"/>
      <c r="E55" s="16"/>
      <c r="F55" s="16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/>
      <c r="B56" s="38"/>
      <c r="C56" s="38"/>
      <c r="D56" s="38"/>
      <c r="E56" s="16"/>
      <c r="F56" s="16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/>
      <c r="B57" s="38"/>
      <c r="C57" s="38"/>
      <c r="D57" s="38"/>
      <c r="E57" s="16"/>
      <c r="F57" s="16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/>
      <c r="B58" s="38"/>
      <c r="C58" s="38"/>
      <c r="D58" s="38"/>
      <c r="E58" s="16"/>
      <c r="F58" s="16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/>
      <c r="B59" s="38"/>
      <c r="C59" s="38"/>
      <c r="D59" s="38"/>
      <c r="E59" s="16"/>
      <c r="F59" s="16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/>
      <c r="B60" s="38"/>
      <c r="C60" s="38"/>
      <c r="D60" s="38"/>
      <c r="E60" s="16"/>
      <c r="F60" s="16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/>
      <c r="B61" s="38"/>
      <c r="C61" s="38"/>
      <c r="D61" s="38"/>
      <c r="E61" s="16"/>
      <c r="F61" s="16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/>
      <c r="B62" s="38"/>
      <c r="C62" s="38"/>
      <c r="D62" s="38"/>
      <c r="E62" s="16"/>
      <c r="F62" s="16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/>
      <c r="B63" s="38"/>
      <c r="C63" s="38"/>
      <c r="D63" s="38"/>
      <c r="E63" s="16"/>
      <c r="F63" s="16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/>
      <c r="B64" s="38"/>
      <c r="C64" s="38"/>
      <c r="D64" s="38"/>
      <c r="E64" s="16"/>
      <c r="F64" s="16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/>
      <c r="B65" s="38"/>
      <c r="C65" s="38"/>
      <c r="D65" s="38"/>
      <c r="E65" s="16"/>
      <c r="F65" s="16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/>
      <c r="B66" s="38"/>
      <c r="C66" s="38"/>
      <c r="D66" s="38"/>
      <c r="E66" s="16"/>
      <c r="F66" s="16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16"/>
      <c r="F67" s="16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16"/>
      <c r="F68" s="16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16"/>
      <c r="F69" s="16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16"/>
      <c r="F70" s="16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16"/>
      <c r="F71" s="16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16"/>
      <c r="F72" s="16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16"/>
      <c r="F73" s="16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16"/>
      <c r="F74" s="16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16"/>
      <c r="F75" s="16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16"/>
      <c r="F76" s="16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16"/>
      <c r="F77" s="16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16"/>
      <c r="F78" s="16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16"/>
      <c r="F79" s="16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16"/>
      <c r="F80" s="16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16"/>
      <c r="F81" s="16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16"/>
      <c r="F82" s="16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16"/>
      <c r="F83" s="16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16"/>
      <c r="F84" s="16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16"/>
      <c r="F85" s="16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16"/>
      <c r="F86" s="16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16"/>
      <c r="F87" s="16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16"/>
      <c r="F88" s="16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16"/>
      <c r="F89" s="16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16"/>
      <c r="F90" s="16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16"/>
      <c r="F91" s="16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16"/>
      <c r="F92" s="16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16"/>
      <c r="F93" s="16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16"/>
      <c r="F94" s="16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16"/>
      <c r="F95" s="16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16"/>
      <c r="F96" s="16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16"/>
      <c r="F97" s="16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16"/>
      <c r="F98" s="16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16"/>
      <c r="F99" s="16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16"/>
      <c r="F100" s="16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16"/>
      <c r="F101" s="16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16"/>
      <c r="F102" s="16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16"/>
      <c r="F103" s="16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16"/>
      <c r="F104" s="16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16"/>
      <c r="F105" s="16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16"/>
      <c r="F106" s="16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16"/>
      <c r="F107" s="16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16"/>
      <c r="F108" s="16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16"/>
      <c r="F109" s="16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16"/>
      <c r="F110" s="16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16"/>
      <c r="F111" s="16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16"/>
      <c r="F112" s="16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16"/>
      <c r="F113" s="16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16"/>
      <c r="F114" s="16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16"/>
      <c r="F115" s="16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16"/>
      <c r="F116" s="16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16"/>
      <c r="F117" s="16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16"/>
      <c r="F118" s="16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16"/>
      <c r="F119" s="16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16"/>
      <c r="F120" s="16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16"/>
      <c r="F121" s="16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16"/>
      <c r="F122" s="16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16"/>
      <c r="F123" s="16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16"/>
      <c r="F124" s="16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16"/>
      <c r="F125" s="16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16"/>
      <c r="F126" s="16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16"/>
      <c r="F127" s="16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16"/>
      <c r="F128" s="16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16"/>
      <c r="F129" s="16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16"/>
      <c r="F130" s="16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16"/>
      <c r="F131" s="16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16"/>
      <c r="F132" s="16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16"/>
      <c r="F133" s="16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16"/>
      <c r="F134" s="16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16"/>
      <c r="F135" s="16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16"/>
      <c r="F136" s="16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16"/>
      <c r="F137" s="16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16"/>
      <c r="F138" s="16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16"/>
      <c r="F139" s="16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16"/>
      <c r="F140" s="16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16"/>
      <c r="F141" s="16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16"/>
      <c r="F142" s="16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16"/>
      <c r="F143" s="16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16"/>
      <c r="F144" s="16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16"/>
      <c r="F145" s="16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16"/>
      <c r="F146" s="16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16"/>
      <c r="F147" s="16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16"/>
      <c r="F148" s="16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16"/>
      <c r="F149" s="16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16"/>
      <c r="F150" s="16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16"/>
      <c r="F151" s="16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16"/>
      <c r="F152" s="16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16"/>
      <c r="F153" s="16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16"/>
      <c r="F154" s="16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16"/>
      <c r="F155" s="16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16"/>
      <c r="F156" s="16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16"/>
      <c r="F157" s="16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16"/>
      <c r="F158" s="16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16"/>
      <c r="F159" s="16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16"/>
      <c r="F160" s="16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16"/>
      <c r="F161" s="16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16"/>
      <c r="F162" s="16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16"/>
      <c r="F163" s="16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16"/>
      <c r="F164" s="16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16"/>
      <c r="F165" s="16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16"/>
      <c r="F166" s="16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16"/>
      <c r="F167" s="16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16"/>
      <c r="F168" s="16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16"/>
      <c r="F169" s="16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16"/>
      <c r="F170" s="16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16"/>
      <c r="F171" s="16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16"/>
      <c r="F172" s="16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16"/>
      <c r="F173" s="16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16"/>
      <c r="F174" s="16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16"/>
      <c r="F175" s="16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16"/>
      <c r="F176" s="16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16"/>
      <c r="F177" s="16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16"/>
      <c r="F178" s="16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16"/>
      <c r="F179" s="16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16"/>
      <c r="F180" s="16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16"/>
      <c r="F181" s="16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16"/>
      <c r="F182" s="16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16"/>
      <c r="F183" s="16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16"/>
      <c r="F184" s="16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16"/>
      <c r="F185" s="16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16"/>
      <c r="F186" s="16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16"/>
      <c r="F187" s="16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16"/>
      <c r="F188" s="16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16"/>
      <c r="F189" s="16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16"/>
      <c r="F190" s="16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16"/>
      <c r="F191" s="16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16"/>
      <c r="F192" s="16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16"/>
      <c r="F193" s="16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16"/>
      <c r="F194" s="16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16"/>
      <c r="F195" s="16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16"/>
      <c r="F196" s="16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16"/>
      <c r="F197" s="16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16"/>
      <c r="F198" s="16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16"/>
      <c r="F199" s="16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16"/>
      <c r="F200" s="16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16"/>
      <c r="F201" s="16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16"/>
      <c r="F202" s="16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16"/>
      <c r="F203" s="16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16"/>
      <c r="F204" s="16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16"/>
      <c r="F205" s="16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16"/>
      <c r="F206" s="16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16"/>
      <c r="F207" s="16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16"/>
      <c r="F208" s="16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16"/>
      <c r="F209" s="16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16"/>
      <c r="F210" s="16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16"/>
      <c r="F211" s="16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16"/>
      <c r="F212" s="16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16"/>
      <c r="F213" s="16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16"/>
      <c r="F214" s="16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16"/>
      <c r="F215" s="16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16"/>
      <c r="F216" s="16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2.5"/>
    <col customWidth="1" min="4" max="4" width="12.63"/>
    <col customWidth="1" min="5" max="5" width="15.88"/>
    <col customWidth="1" min="6" max="6" width="34.63"/>
    <col customWidth="1" min="7" max="7" width="24.25"/>
    <col customWidth="1" min="9" max="9" width="30.63"/>
  </cols>
  <sheetData>
    <row r="1" ht="15.75" customHeight="1">
      <c r="A1" s="22" t="s">
        <v>0</v>
      </c>
      <c r="B1" s="22" t="s">
        <v>1</v>
      </c>
      <c r="C1" s="40" t="s">
        <v>2</v>
      </c>
      <c r="D1" s="22" t="s">
        <v>1185</v>
      </c>
      <c r="E1" s="22" t="s">
        <v>1186</v>
      </c>
      <c r="F1" s="22" t="s">
        <v>1</v>
      </c>
      <c r="G1" s="41" t="s">
        <v>1187</v>
      </c>
      <c r="H1" s="42" t="s">
        <v>1188</v>
      </c>
      <c r="I1" s="41" t="s">
        <v>1189</v>
      </c>
      <c r="J1" s="42" t="s">
        <v>1190</v>
      </c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ht="15.75" customHeight="1">
      <c r="A2" s="12">
        <v>1919.0</v>
      </c>
      <c r="B2" s="11" t="s">
        <v>32</v>
      </c>
      <c r="C2" s="11" t="str">
        <f t="shared" ref="C2:C26" si="1">CONCATENATE(E2,"-",F2)</f>
        <v>ESD-PB-01-Control Room</v>
      </c>
      <c r="D2" s="11" t="s">
        <v>1191</v>
      </c>
      <c r="E2" s="11" t="s">
        <v>1192</v>
      </c>
      <c r="F2" s="11" t="s">
        <v>1193</v>
      </c>
      <c r="G2" s="20" t="s">
        <v>1194</v>
      </c>
      <c r="H2" s="19">
        <v>0.0</v>
      </c>
      <c r="I2" s="20" t="s">
        <v>1195</v>
      </c>
      <c r="J2" s="19">
        <v>0.0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ht="15.75" customHeight="1">
      <c r="A3" s="12">
        <v>1919.0</v>
      </c>
      <c r="B3" s="11" t="s">
        <v>32</v>
      </c>
      <c r="C3" s="11" t="str">
        <f t="shared" si="1"/>
        <v>ESD-PB-02-Gantry - 01</v>
      </c>
      <c r="D3" s="11" t="s">
        <v>1196</v>
      </c>
      <c r="E3" s="11" t="s">
        <v>1197</v>
      </c>
      <c r="F3" s="11" t="s">
        <v>1198</v>
      </c>
      <c r="G3" s="20" t="s">
        <v>1199</v>
      </c>
      <c r="H3" s="19">
        <v>0.0</v>
      </c>
      <c r="I3" s="20" t="s">
        <v>1200</v>
      </c>
      <c r="J3" s="19">
        <v>0.0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ht="15.75" customHeight="1">
      <c r="A4" s="12">
        <v>1919.0</v>
      </c>
      <c r="B4" s="11" t="s">
        <v>32</v>
      </c>
      <c r="C4" s="11" t="str">
        <f t="shared" si="1"/>
        <v>ESD-PB-03-BETWEEN GANTRY 1 AND 2</v>
      </c>
      <c r="D4" s="11" t="s">
        <v>1201</v>
      </c>
      <c r="E4" s="11" t="s">
        <v>1202</v>
      </c>
      <c r="F4" s="11" t="s">
        <v>1203</v>
      </c>
      <c r="G4" s="20" t="s">
        <v>1204</v>
      </c>
      <c r="H4" s="19">
        <v>0.0</v>
      </c>
      <c r="I4" s="20" t="s">
        <v>1205</v>
      </c>
      <c r="J4" s="19">
        <v>0.0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ht="15.75" customHeight="1">
      <c r="A5" s="12">
        <v>1919.0</v>
      </c>
      <c r="B5" s="11" t="s">
        <v>32</v>
      </c>
      <c r="C5" s="11" t="str">
        <f t="shared" si="1"/>
        <v>ESD-PB-04-Gantry - 02</v>
      </c>
      <c r="D5" s="11" t="s">
        <v>1206</v>
      </c>
      <c r="E5" s="11" t="s">
        <v>1207</v>
      </c>
      <c r="F5" s="11" t="s">
        <v>1208</v>
      </c>
      <c r="G5" s="20" t="s">
        <v>1209</v>
      </c>
      <c r="H5" s="19">
        <v>0.0</v>
      </c>
      <c r="I5" s="20" t="s">
        <v>1210</v>
      </c>
      <c r="J5" s="19">
        <v>0.0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ht="15.75" customHeight="1">
      <c r="A6" s="12">
        <v>1919.0</v>
      </c>
      <c r="B6" s="11" t="s">
        <v>32</v>
      </c>
      <c r="C6" s="11" t="str">
        <f t="shared" si="1"/>
        <v>ESD-PB-05-NEAR TANK-1B</v>
      </c>
      <c r="D6" s="11" t="s">
        <v>1211</v>
      </c>
      <c r="E6" s="11" t="s">
        <v>1212</v>
      </c>
      <c r="F6" s="11" t="s">
        <v>1213</v>
      </c>
      <c r="G6" s="20" t="s">
        <v>1214</v>
      </c>
      <c r="H6" s="19">
        <v>0.0</v>
      </c>
      <c r="I6" s="20" t="s">
        <v>1215</v>
      </c>
      <c r="J6" s="19">
        <v>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ht="15.75" customHeight="1">
      <c r="A7" s="12">
        <v>1919.0</v>
      </c>
      <c r="B7" s="11" t="s">
        <v>32</v>
      </c>
      <c r="C7" s="11" t="str">
        <f t="shared" si="1"/>
        <v>ESD-CENTRAL-CENTRAL ESD</v>
      </c>
      <c r="D7" s="11" t="s">
        <v>1216</v>
      </c>
      <c r="E7" s="11" t="s">
        <v>1217</v>
      </c>
      <c r="F7" s="11" t="s">
        <v>1218</v>
      </c>
      <c r="G7" s="20" t="s">
        <v>1219</v>
      </c>
      <c r="H7" s="19">
        <v>0.0</v>
      </c>
      <c r="I7" s="16"/>
      <c r="J7" s="16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ht="15.75" customHeight="1">
      <c r="A8" s="12">
        <v>1919.0</v>
      </c>
      <c r="B8" s="11" t="s">
        <v>32</v>
      </c>
      <c r="C8" s="11" t="str">
        <f t="shared" si="1"/>
        <v>ESD-RDR-ESD Due to Radar Relay</v>
      </c>
      <c r="D8" s="11" t="s">
        <v>1220</v>
      </c>
      <c r="E8" s="11" t="s">
        <v>1221</v>
      </c>
      <c r="F8" s="11" t="s">
        <v>1222</v>
      </c>
      <c r="G8" s="20" t="s">
        <v>1223</v>
      </c>
      <c r="H8" s="19">
        <v>0.0</v>
      </c>
      <c r="I8" s="16"/>
      <c r="J8" s="16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ht="15.75" customHeight="1">
      <c r="A9" s="12">
        <v>1919.0</v>
      </c>
      <c r="B9" s="11" t="s">
        <v>32</v>
      </c>
      <c r="C9" s="11" t="str">
        <f t="shared" si="1"/>
        <v>ESD-VFT-ESD Due to Vibrating Fork</v>
      </c>
      <c r="D9" s="11" t="s">
        <v>1224</v>
      </c>
      <c r="E9" s="11" t="s">
        <v>1225</v>
      </c>
      <c r="F9" s="11" t="s">
        <v>1226</v>
      </c>
      <c r="G9" s="20" t="s">
        <v>1227</v>
      </c>
      <c r="H9" s="19">
        <v>0.0</v>
      </c>
      <c r="I9" s="16"/>
      <c r="J9" s="16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ht="15.75" customHeight="1">
      <c r="A10" s="12">
        <v>1919.0</v>
      </c>
      <c r="B10" s="11" t="s">
        <v>32</v>
      </c>
      <c r="C10" s="11" t="str">
        <f t="shared" si="1"/>
        <v>ESD-PB-06-WEST OF TK3C</v>
      </c>
      <c r="D10" s="11" t="s">
        <v>1228</v>
      </c>
      <c r="E10" s="11" t="s">
        <v>1229</v>
      </c>
      <c r="F10" s="11" t="s">
        <v>1230</v>
      </c>
      <c r="G10" s="20" t="s">
        <v>1231</v>
      </c>
      <c r="H10" s="19">
        <v>0.0</v>
      </c>
      <c r="I10" s="20" t="s">
        <v>1232</v>
      </c>
      <c r="J10" s="19">
        <v>0.0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ht="15.75" customHeight="1">
      <c r="A11" s="12">
        <v>1919.0</v>
      </c>
      <c r="B11" s="11" t="s">
        <v>32</v>
      </c>
      <c r="C11" s="11" t="str">
        <f t="shared" si="1"/>
        <v>ESD-PB-07-NEAR TANK-4A</v>
      </c>
      <c r="D11" s="11" t="s">
        <v>1233</v>
      </c>
      <c r="E11" s="11" t="s">
        <v>1234</v>
      </c>
      <c r="F11" s="11" t="s">
        <v>1235</v>
      </c>
      <c r="G11" s="20" t="s">
        <v>1236</v>
      </c>
      <c r="H11" s="19">
        <v>0.0</v>
      </c>
      <c r="I11" s="20" t="s">
        <v>1237</v>
      </c>
      <c r="J11" s="19">
        <v>0.0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ht="15.75" customHeight="1">
      <c r="A12" s="12">
        <v>1919.0</v>
      </c>
      <c r="B12" s="11" t="s">
        <v>32</v>
      </c>
      <c r="C12" s="11" t="str">
        <f t="shared" si="1"/>
        <v>ESD-PB-08-NEAR TANK 5B</v>
      </c>
      <c r="D12" s="11" t="s">
        <v>1238</v>
      </c>
      <c r="E12" s="11" t="s">
        <v>1239</v>
      </c>
      <c r="F12" s="11" t="s">
        <v>1240</v>
      </c>
      <c r="G12" s="20" t="s">
        <v>1241</v>
      </c>
      <c r="H12" s="19">
        <v>0.0</v>
      </c>
      <c r="I12" s="20" t="s">
        <v>1242</v>
      </c>
      <c r="J12" s="19">
        <v>0.0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ht="15.75" customHeight="1">
      <c r="A13" s="12">
        <v>1919.0</v>
      </c>
      <c r="B13" s="11" t="s">
        <v>32</v>
      </c>
      <c r="C13" s="11" t="str">
        <f t="shared" si="1"/>
        <v>ESD-PB-09-NEAR TANK-1C</v>
      </c>
      <c r="D13" s="11" t="s">
        <v>1243</v>
      </c>
      <c r="E13" s="11" t="s">
        <v>1244</v>
      </c>
      <c r="F13" s="11" t="s">
        <v>1245</v>
      </c>
      <c r="G13" s="20" t="s">
        <v>1246</v>
      </c>
      <c r="H13" s="19">
        <v>0.0</v>
      </c>
      <c r="I13" s="20" t="s">
        <v>1247</v>
      </c>
      <c r="J13" s="19">
        <v>0.0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ht="15.75" customHeight="1">
      <c r="A14" s="12">
        <v>1919.0</v>
      </c>
      <c r="B14" s="11" t="s">
        <v>32</v>
      </c>
      <c r="C14" s="11" t="str">
        <f t="shared" si="1"/>
        <v>ESD-13-PIPELINE PLC</v>
      </c>
      <c r="D14" s="11" t="s">
        <v>1248</v>
      </c>
      <c r="E14" s="11" t="s">
        <v>1248</v>
      </c>
      <c r="F14" s="11" t="s">
        <v>1249</v>
      </c>
      <c r="G14" s="20" t="s">
        <v>1250</v>
      </c>
      <c r="H14" s="19">
        <v>0.0</v>
      </c>
      <c r="I14" s="16"/>
      <c r="J14" s="19">
        <v>0.0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ht="15.75" customHeight="1">
      <c r="A15" s="12">
        <v>1919.0</v>
      </c>
      <c r="B15" s="11" t="s">
        <v>32</v>
      </c>
      <c r="C15" s="11" t="str">
        <f t="shared" si="1"/>
        <v>ESD-PB-10-TLF PPH</v>
      </c>
      <c r="D15" s="11" t="s">
        <v>1251</v>
      </c>
      <c r="E15" s="11" t="s">
        <v>1252</v>
      </c>
      <c r="F15" s="11" t="s">
        <v>1253</v>
      </c>
      <c r="G15" s="20" t="s">
        <v>1254</v>
      </c>
      <c r="H15" s="19">
        <v>0.0</v>
      </c>
      <c r="I15" s="20" t="s">
        <v>1255</v>
      </c>
      <c r="J15" s="19">
        <v>0.0</v>
      </c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ht="15.75" customHeight="1">
      <c r="A16" s="12">
        <v>1919.0</v>
      </c>
      <c r="B16" s="11" t="s">
        <v>32</v>
      </c>
      <c r="C16" s="11" t="str">
        <f t="shared" si="1"/>
        <v>ESD-PB-16-NEAR TANK-3B</v>
      </c>
      <c r="D16" s="11" t="s">
        <v>1256</v>
      </c>
      <c r="E16" s="11" t="s">
        <v>1257</v>
      </c>
      <c r="F16" s="11" t="s">
        <v>1258</v>
      </c>
      <c r="G16" s="20" t="s">
        <v>1259</v>
      </c>
      <c r="H16" s="19">
        <v>0.0</v>
      </c>
      <c r="I16" s="20" t="s">
        <v>1260</v>
      </c>
      <c r="J16" s="16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ht="15.75" customHeight="1">
      <c r="A17" s="12">
        <v>1919.0</v>
      </c>
      <c r="B17" s="11" t="s">
        <v>32</v>
      </c>
      <c r="C17" s="11" t="str">
        <f t="shared" si="1"/>
        <v>ESD-PB-17-NEAR TANK-5C</v>
      </c>
      <c r="D17" s="11" t="s">
        <v>1261</v>
      </c>
      <c r="E17" s="11" t="s">
        <v>1262</v>
      </c>
      <c r="F17" s="11" t="s">
        <v>1263</v>
      </c>
      <c r="G17" s="20" t="s">
        <v>1264</v>
      </c>
      <c r="H17" s="19">
        <v>0.0</v>
      </c>
      <c r="I17" s="20" t="s">
        <v>1265</v>
      </c>
      <c r="J17" s="19">
        <v>0.0</v>
      </c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ht="15.75" customHeight="1">
      <c r="A18" s="12">
        <v>1919.0</v>
      </c>
      <c r="B18" s="11" t="s">
        <v>32</v>
      </c>
      <c r="C18" s="11" t="str">
        <f t="shared" si="1"/>
        <v>ESD-PB-18-TLF GANTRY BAY 0</v>
      </c>
      <c r="D18" s="11" t="s">
        <v>1266</v>
      </c>
      <c r="E18" s="11" t="s">
        <v>1267</v>
      </c>
      <c r="F18" s="11" t="s">
        <v>1268</v>
      </c>
      <c r="G18" s="20" t="s">
        <v>1269</v>
      </c>
      <c r="H18" s="19">
        <v>0.0</v>
      </c>
      <c r="I18" s="20" t="s">
        <v>1270</v>
      </c>
      <c r="J18" s="19">
        <v>0.0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ht="15.75" customHeight="1">
      <c r="A19" s="12">
        <v>1919.0</v>
      </c>
      <c r="B19" s="11" t="s">
        <v>32</v>
      </c>
      <c r="C19" s="11" t="str">
        <f t="shared" si="1"/>
        <v>ESD-PB-19-LIC ROOM</v>
      </c>
      <c r="D19" s="11" t="s">
        <v>1271</v>
      </c>
      <c r="E19" s="11" t="s">
        <v>1272</v>
      </c>
      <c r="F19" s="11" t="s">
        <v>1273</v>
      </c>
      <c r="G19" s="20" t="s">
        <v>1274</v>
      </c>
      <c r="H19" s="19">
        <v>0.0</v>
      </c>
      <c r="I19" s="20" t="s">
        <v>1275</v>
      </c>
      <c r="J19" s="19">
        <v>0.0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ht="15.75" customHeight="1">
      <c r="A20" s="12">
        <v>1919.0</v>
      </c>
      <c r="B20" s="11" t="s">
        <v>32</v>
      </c>
      <c r="C20" s="11" t="str">
        <f t="shared" si="1"/>
        <v>ESD-PB-20-SECURITY MAIN GATE</v>
      </c>
      <c r="D20" s="11" t="s">
        <v>1276</v>
      </c>
      <c r="E20" s="11" t="s">
        <v>1277</v>
      </c>
      <c r="F20" s="11" t="s">
        <v>1278</v>
      </c>
      <c r="G20" s="20" t="s">
        <v>1279</v>
      </c>
      <c r="H20" s="19">
        <v>0.0</v>
      </c>
      <c r="I20" s="20" t="s">
        <v>1280</v>
      </c>
      <c r="J20" s="19">
        <v>0.0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ht="15.75" customHeight="1">
      <c r="A21" s="12">
        <v>1919.0</v>
      </c>
      <c r="B21" s="11" t="s">
        <v>32</v>
      </c>
      <c r="C21" s="11" t="str">
        <f t="shared" si="1"/>
        <v>ESD-PB-21-UNLOADING GANTRY</v>
      </c>
      <c r="D21" s="11" t="s">
        <v>1281</v>
      </c>
      <c r="E21" s="11" t="s">
        <v>1282</v>
      </c>
      <c r="F21" s="11" t="s">
        <v>1283</v>
      </c>
      <c r="G21" s="20" t="s">
        <v>1284</v>
      </c>
      <c r="H21" s="19">
        <v>0.0</v>
      </c>
      <c r="I21" s="20" t="s">
        <v>1285</v>
      </c>
      <c r="J21" s="19">
        <v>0.0</v>
      </c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ht="15.75" customHeight="1">
      <c r="A22" s="12">
        <v>1919.0</v>
      </c>
      <c r="B22" s="11" t="s">
        <v>32</v>
      </c>
      <c r="C22" s="11" t="str">
        <f t="shared" si="1"/>
        <v>ESD-PB-22-TLF GANTRY BAY 15</v>
      </c>
      <c r="D22" s="11" t="s">
        <v>1286</v>
      </c>
      <c r="E22" s="11" t="s">
        <v>1287</v>
      </c>
      <c r="F22" s="11" t="s">
        <v>1288</v>
      </c>
      <c r="G22" s="20" t="s">
        <v>1289</v>
      </c>
      <c r="H22" s="19">
        <v>0.0</v>
      </c>
      <c r="I22" s="20" t="s">
        <v>1290</v>
      </c>
      <c r="J22" s="19">
        <v>0.0</v>
      </c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ht="15.75" customHeight="1">
      <c r="A23" s="12">
        <v>1919.0</v>
      </c>
      <c r="B23" s="11" t="s">
        <v>32</v>
      </c>
      <c r="C23" s="11" t="str">
        <f t="shared" si="1"/>
        <v>ESD-PB-24-ESD TO BPCL PH ACB</v>
      </c>
      <c r="D23" s="11" t="s">
        <v>1291</v>
      </c>
      <c r="E23" s="11" t="s">
        <v>1292</v>
      </c>
      <c r="F23" s="11" t="s">
        <v>1293</v>
      </c>
      <c r="G23" s="20" t="s">
        <v>1294</v>
      </c>
      <c r="H23" s="19">
        <v>0.0</v>
      </c>
      <c r="I23" s="20" t="s">
        <v>1295</v>
      </c>
      <c r="J23" s="19">
        <v>0.0</v>
      </c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ht="15.75" customHeight="1">
      <c r="A24" s="12">
        <v>1919.0</v>
      </c>
      <c r="B24" s="11" t="s">
        <v>32</v>
      </c>
      <c r="C24" s="11" t="str">
        <f t="shared" si="1"/>
        <v>ESD-BPCL-Common ESD BPCL</v>
      </c>
      <c r="D24" s="11" t="s">
        <v>1296</v>
      </c>
      <c r="E24" s="11" t="s">
        <v>1296</v>
      </c>
      <c r="F24" s="11" t="s">
        <v>1297</v>
      </c>
      <c r="G24" s="20" t="s">
        <v>1298</v>
      </c>
      <c r="H24" s="19">
        <v>0.0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ht="15.75" customHeight="1">
      <c r="A25" s="12">
        <v>1919.0</v>
      </c>
      <c r="B25" s="11" t="s">
        <v>32</v>
      </c>
      <c r="C25" s="11" t="str">
        <f t="shared" si="1"/>
        <v>ESD-IOCL-Common ESD IOCL</v>
      </c>
      <c r="D25" s="11" t="s">
        <v>1299</v>
      </c>
      <c r="E25" s="11" t="s">
        <v>1299</v>
      </c>
      <c r="F25" s="11" t="s">
        <v>1300</v>
      </c>
      <c r="G25" s="20" t="s">
        <v>1301</v>
      </c>
      <c r="H25" s="19">
        <v>0.0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ht="15.75" customHeight="1">
      <c r="A26" s="12">
        <v>1919.0</v>
      </c>
      <c r="B26" s="11" t="s">
        <v>32</v>
      </c>
      <c r="C26" s="11" t="str">
        <f t="shared" si="1"/>
        <v>ESD-SOFT-SOFT FROM OIC</v>
      </c>
      <c r="D26" s="11" t="s">
        <v>1302</v>
      </c>
      <c r="E26" s="11" t="s">
        <v>1302</v>
      </c>
      <c r="F26" s="11" t="s">
        <v>1303</v>
      </c>
      <c r="G26" s="20" t="s">
        <v>1304</v>
      </c>
      <c r="H26" s="19">
        <v>0.0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ht="15.75" customHeight="1">
      <c r="A27" s="38"/>
      <c r="B27" s="38"/>
      <c r="C27" s="38"/>
      <c r="D27" s="38"/>
      <c r="E27" s="38"/>
      <c r="F27" s="38"/>
      <c r="G27" s="16"/>
      <c r="H27" s="16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ht="15.75" customHeight="1">
      <c r="A28" s="38"/>
      <c r="B28" s="38"/>
      <c r="C28" s="38"/>
      <c r="D28" s="38"/>
      <c r="E28" s="38"/>
      <c r="F28" s="38"/>
      <c r="G28" s="16"/>
      <c r="H28" s="16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ht="15.75" customHeight="1">
      <c r="A29" s="38"/>
      <c r="B29" s="38"/>
      <c r="C29" s="38"/>
      <c r="D29" s="38"/>
      <c r="E29" s="38"/>
      <c r="F29" s="38"/>
      <c r="G29" s="16"/>
      <c r="H29" s="16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ht="15.75" customHeight="1">
      <c r="A30" s="38"/>
      <c r="B30" s="38"/>
      <c r="C30" s="38"/>
      <c r="D30" s="38"/>
      <c r="E30" s="38"/>
      <c r="F30" s="38"/>
      <c r="G30" s="16"/>
      <c r="H30" s="16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ht="15.75" customHeight="1">
      <c r="A31" s="38"/>
      <c r="B31" s="38"/>
      <c r="C31" s="38"/>
      <c r="D31" s="38"/>
      <c r="E31" s="38"/>
      <c r="F31" s="38"/>
      <c r="G31" s="16"/>
      <c r="H31" s="16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ht="15.75" customHeight="1">
      <c r="A32" s="38"/>
      <c r="B32" s="38"/>
      <c r="C32" s="38"/>
      <c r="D32" s="38"/>
      <c r="E32" s="38"/>
      <c r="F32" s="38"/>
      <c r="G32" s="16"/>
      <c r="H32" s="16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ht="15.75" customHeight="1">
      <c r="A33" s="38"/>
      <c r="B33" s="38"/>
      <c r="C33" s="38"/>
      <c r="D33" s="38"/>
      <c r="E33" s="38"/>
      <c r="F33" s="38"/>
      <c r="G33" s="16"/>
      <c r="H33" s="16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ht="15.75" customHeight="1">
      <c r="A34" s="38"/>
      <c r="B34" s="38"/>
      <c r="C34" s="38"/>
      <c r="D34" s="38"/>
      <c r="E34" s="38"/>
      <c r="F34" s="38"/>
      <c r="G34" s="16"/>
      <c r="H34" s="16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ht="15.75" customHeight="1">
      <c r="A35" s="38"/>
      <c r="B35" s="38"/>
      <c r="C35" s="38"/>
      <c r="D35" s="38"/>
      <c r="E35" s="38"/>
      <c r="F35" s="38"/>
      <c r="G35" s="16"/>
      <c r="H35" s="16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ht="15.75" customHeight="1">
      <c r="A36" s="38"/>
      <c r="B36" s="38"/>
      <c r="C36" s="38"/>
      <c r="D36" s="38"/>
      <c r="E36" s="38"/>
      <c r="F36" s="38"/>
      <c r="G36" s="16"/>
      <c r="H36" s="16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ht="15.75" customHeight="1">
      <c r="A37" s="38"/>
      <c r="B37" s="38"/>
      <c r="C37" s="38"/>
      <c r="D37" s="38"/>
      <c r="E37" s="38"/>
      <c r="F37" s="38"/>
      <c r="G37" s="16"/>
      <c r="H37" s="16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ht="15.75" customHeight="1">
      <c r="A38" s="38"/>
      <c r="B38" s="38"/>
      <c r="C38" s="38"/>
      <c r="D38" s="38"/>
      <c r="E38" s="38"/>
      <c r="F38" s="38"/>
      <c r="G38" s="16"/>
      <c r="H38" s="16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ht="15.75" customHeight="1">
      <c r="A39" s="38"/>
      <c r="B39" s="38"/>
      <c r="C39" s="38"/>
      <c r="D39" s="38"/>
      <c r="E39" s="38"/>
      <c r="F39" s="38"/>
      <c r="G39" s="16"/>
      <c r="H39" s="16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ht="15.75" customHeight="1">
      <c r="A40" s="38"/>
      <c r="B40" s="38"/>
      <c r="C40" s="38"/>
      <c r="D40" s="38"/>
      <c r="E40" s="38"/>
      <c r="F40" s="38"/>
      <c r="G40" s="16"/>
      <c r="H40" s="16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ht="15.75" customHeight="1">
      <c r="A41" s="38"/>
      <c r="B41" s="38"/>
      <c r="C41" s="38"/>
      <c r="D41" s="38"/>
      <c r="E41" s="38"/>
      <c r="F41" s="38"/>
      <c r="G41" s="16"/>
      <c r="H41" s="16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ht="15.75" customHeight="1">
      <c r="A42" s="38"/>
      <c r="B42" s="38"/>
      <c r="C42" s="38"/>
      <c r="D42" s="38"/>
      <c r="E42" s="38"/>
      <c r="F42" s="38"/>
      <c r="G42" s="16"/>
      <c r="H42" s="16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ht="15.75" customHeight="1">
      <c r="A43" s="38"/>
      <c r="B43" s="38"/>
      <c r="C43" s="38"/>
      <c r="D43" s="38"/>
      <c r="E43" s="38"/>
      <c r="F43" s="38"/>
      <c r="G43" s="16"/>
      <c r="H43" s="16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ht="15.75" customHeight="1">
      <c r="A44" s="38"/>
      <c r="B44" s="38"/>
      <c r="C44" s="38"/>
      <c r="D44" s="38"/>
      <c r="E44" s="38"/>
      <c r="F44" s="38"/>
      <c r="G44" s="16"/>
      <c r="H44" s="16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ht="15.75" customHeight="1">
      <c r="A45" s="38"/>
      <c r="B45" s="38"/>
      <c r="C45" s="38"/>
      <c r="D45" s="38"/>
      <c r="E45" s="38"/>
      <c r="F45" s="38"/>
      <c r="G45" s="16"/>
      <c r="H45" s="16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ht="15.75" customHeight="1">
      <c r="A46" s="38"/>
      <c r="B46" s="38"/>
      <c r="C46" s="38"/>
      <c r="D46" s="38"/>
      <c r="E46" s="38"/>
      <c r="F46" s="38"/>
      <c r="G46" s="16"/>
      <c r="H46" s="16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ht="15.75" customHeight="1">
      <c r="A47" s="38"/>
      <c r="B47" s="38"/>
      <c r="C47" s="38"/>
      <c r="D47" s="38"/>
      <c r="E47" s="38"/>
      <c r="F47" s="38"/>
      <c r="G47" s="16"/>
      <c r="H47" s="16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ht="15.75" customHeight="1">
      <c r="A48" s="38"/>
      <c r="B48" s="38"/>
      <c r="C48" s="38"/>
      <c r="D48" s="38"/>
      <c r="E48" s="38"/>
      <c r="F48" s="38"/>
      <c r="G48" s="16"/>
      <c r="H48" s="16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ht="15.75" customHeight="1">
      <c r="A49" s="38"/>
      <c r="B49" s="38"/>
      <c r="C49" s="38"/>
      <c r="D49" s="38"/>
      <c r="E49" s="38"/>
      <c r="F49" s="38"/>
      <c r="G49" s="16"/>
      <c r="H49" s="16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ht="15.75" customHeight="1">
      <c r="A50" s="38"/>
      <c r="B50" s="38"/>
      <c r="C50" s="38"/>
      <c r="D50" s="38"/>
      <c r="E50" s="38"/>
      <c r="F50" s="38"/>
      <c r="G50" s="16"/>
      <c r="H50" s="16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ht="15.75" customHeight="1">
      <c r="A51" s="38"/>
      <c r="B51" s="38"/>
      <c r="C51" s="38"/>
      <c r="D51" s="38"/>
      <c r="E51" s="38"/>
      <c r="F51" s="38"/>
      <c r="G51" s="16"/>
      <c r="H51" s="16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ht="15.75" customHeight="1">
      <c r="A52" s="38"/>
      <c r="B52" s="38"/>
      <c r="C52" s="38"/>
      <c r="D52" s="38"/>
      <c r="E52" s="38"/>
      <c r="F52" s="38"/>
      <c r="G52" s="16"/>
      <c r="H52" s="16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ht="15.75" customHeight="1">
      <c r="A53" s="38"/>
      <c r="B53" s="38"/>
      <c r="C53" s="38"/>
      <c r="D53" s="38"/>
      <c r="E53" s="38"/>
      <c r="F53" s="38"/>
      <c r="G53" s="16"/>
      <c r="H53" s="16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ht="15.75" customHeight="1">
      <c r="A54" s="38"/>
      <c r="B54" s="38"/>
      <c r="C54" s="38"/>
      <c r="D54" s="38"/>
      <c r="E54" s="38"/>
      <c r="F54" s="38"/>
      <c r="G54" s="16"/>
      <c r="H54" s="16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ht="15.75" customHeight="1">
      <c r="A55" s="38"/>
      <c r="B55" s="38"/>
      <c r="C55" s="38"/>
      <c r="D55" s="38"/>
      <c r="E55" s="38"/>
      <c r="F55" s="38"/>
      <c r="G55" s="16"/>
      <c r="H55" s="16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ht="15.75" customHeight="1">
      <c r="A56" s="38"/>
      <c r="B56" s="38"/>
      <c r="C56" s="38"/>
      <c r="D56" s="38"/>
      <c r="E56" s="38"/>
      <c r="F56" s="38"/>
      <c r="G56" s="16"/>
      <c r="H56" s="16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ht="15.75" customHeight="1">
      <c r="A57" s="38"/>
      <c r="B57" s="38"/>
      <c r="C57" s="38"/>
      <c r="D57" s="38"/>
      <c r="E57" s="38"/>
      <c r="F57" s="38"/>
      <c r="G57" s="16"/>
      <c r="H57" s="16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ht="15.75" customHeight="1">
      <c r="A58" s="38"/>
      <c r="B58" s="38"/>
      <c r="C58" s="38"/>
      <c r="D58" s="38"/>
      <c r="E58" s="38"/>
      <c r="F58" s="38"/>
      <c r="G58" s="16"/>
      <c r="H58" s="16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ht="15.75" customHeight="1">
      <c r="A59" s="38"/>
      <c r="B59" s="38"/>
      <c r="C59" s="38"/>
      <c r="D59" s="38"/>
      <c r="E59" s="38"/>
      <c r="F59" s="38"/>
      <c r="G59" s="16"/>
      <c r="H59" s="16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ht="15.75" customHeight="1">
      <c r="A60" s="38"/>
      <c r="B60" s="38"/>
      <c r="C60" s="38"/>
      <c r="D60" s="38"/>
      <c r="E60" s="38"/>
      <c r="F60" s="38"/>
      <c r="G60" s="16"/>
      <c r="H60" s="16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ht="15.75" customHeight="1">
      <c r="A61" s="38"/>
      <c r="B61" s="38"/>
      <c r="C61" s="38"/>
      <c r="D61" s="38"/>
      <c r="E61" s="38"/>
      <c r="F61" s="38"/>
      <c r="G61" s="16"/>
      <c r="H61" s="16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ht="15.75" customHeight="1">
      <c r="A62" s="38"/>
      <c r="B62" s="38"/>
      <c r="C62" s="38"/>
      <c r="D62" s="38"/>
      <c r="E62" s="38"/>
      <c r="F62" s="38"/>
      <c r="G62" s="16"/>
      <c r="H62" s="16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ht="15.75" customHeight="1">
      <c r="A63" s="38"/>
      <c r="B63" s="38"/>
      <c r="C63" s="38"/>
      <c r="D63" s="38"/>
      <c r="E63" s="38"/>
      <c r="F63" s="38"/>
      <c r="G63" s="16"/>
      <c r="H63" s="16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ht="15.75" customHeight="1">
      <c r="A64" s="38"/>
      <c r="B64" s="38"/>
      <c r="C64" s="38"/>
      <c r="D64" s="38"/>
      <c r="E64" s="38"/>
      <c r="F64" s="38"/>
      <c r="G64" s="16"/>
      <c r="H64" s="16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ht="15.75" customHeight="1">
      <c r="A65" s="38"/>
      <c r="B65" s="38"/>
      <c r="C65" s="38"/>
      <c r="D65" s="38"/>
      <c r="E65" s="38"/>
      <c r="F65" s="38"/>
      <c r="G65" s="16"/>
      <c r="H65" s="16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ht="15.75" customHeight="1">
      <c r="A66" s="38"/>
      <c r="B66" s="38"/>
      <c r="C66" s="38"/>
      <c r="D66" s="38"/>
      <c r="E66" s="38"/>
      <c r="F66" s="38"/>
      <c r="G66" s="16"/>
      <c r="H66" s="16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ht="15.75" customHeight="1">
      <c r="A67" s="38"/>
      <c r="B67" s="38"/>
      <c r="C67" s="38"/>
      <c r="D67" s="38"/>
      <c r="E67" s="38"/>
      <c r="F67" s="38"/>
      <c r="G67" s="16"/>
      <c r="H67" s="16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ht="15.75" customHeight="1">
      <c r="A68" s="38"/>
      <c r="B68" s="38"/>
      <c r="C68" s="38"/>
      <c r="D68" s="38"/>
      <c r="E68" s="38"/>
      <c r="F68" s="38"/>
      <c r="G68" s="16"/>
      <c r="H68" s="16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ht="15.75" customHeight="1">
      <c r="A69" s="38"/>
      <c r="B69" s="38"/>
      <c r="C69" s="38"/>
      <c r="D69" s="38"/>
      <c r="E69" s="38"/>
      <c r="F69" s="38"/>
      <c r="G69" s="16"/>
      <c r="H69" s="16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ht="15.75" customHeight="1">
      <c r="A70" s="38"/>
      <c r="B70" s="38"/>
      <c r="C70" s="38"/>
      <c r="D70" s="38"/>
      <c r="E70" s="38"/>
      <c r="F70" s="38"/>
      <c r="G70" s="16"/>
      <c r="H70" s="16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ht="15.75" customHeight="1">
      <c r="A71" s="38"/>
      <c r="B71" s="38"/>
      <c r="C71" s="38"/>
      <c r="D71" s="38"/>
      <c r="E71" s="38"/>
      <c r="F71" s="38"/>
      <c r="G71" s="16"/>
      <c r="H71" s="16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ht="15.75" customHeight="1">
      <c r="A72" s="38"/>
      <c r="B72" s="38"/>
      <c r="C72" s="38"/>
      <c r="D72" s="38"/>
      <c r="E72" s="38"/>
      <c r="F72" s="38"/>
      <c r="G72" s="16"/>
      <c r="H72" s="16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ht="15.75" customHeight="1">
      <c r="A73" s="38"/>
      <c r="B73" s="38"/>
      <c r="C73" s="38"/>
      <c r="D73" s="38"/>
      <c r="E73" s="38"/>
      <c r="F73" s="38"/>
      <c r="G73" s="16"/>
      <c r="H73" s="16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ht="15.75" customHeight="1">
      <c r="A74" s="38"/>
      <c r="B74" s="38"/>
      <c r="C74" s="38"/>
      <c r="D74" s="38"/>
      <c r="E74" s="38"/>
      <c r="F74" s="38"/>
      <c r="G74" s="16"/>
      <c r="H74" s="16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ht="15.75" customHeight="1">
      <c r="A75" s="38"/>
      <c r="B75" s="38"/>
      <c r="C75" s="38"/>
      <c r="D75" s="38"/>
      <c r="E75" s="38"/>
      <c r="F75" s="38"/>
      <c r="G75" s="16"/>
      <c r="H75" s="16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ht="15.75" customHeight="1">
      <c r="A76" s="38"/>
      <c r="B76" s="38"/>
      <c r="C76" s="38"/>
      <c r="D76" s="38"/>
      <c r="E76" s="38"/>
      <c r="F76" s="38"/>
      <c r="G76" s="16"/>
      <c r="H76" s="16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ht="15.75" customHeight="1">
      <c r="A77" s="38"/>
      <c r="B77" s="38"/>
      <c r="C77" s="38"/>
      <c r="D77" s="38"/>
      <c r="E77" s="38"/>
      <c r="F77" s="38"/>
      <c r="G77" s="16"/>
      <c r="H77" s="16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ht="15.75" customHeight="1">
      <c r="A78" s="38"/>
      <c r="B78" s="38"/>
      <c r="C78" s="38"/>
      <c r="D78" s="38"/>
      <c r="E78" s="38"/>
      <c r="F78" s="38"/>
      <c r="G78" s="16"/>
      <c r="H78" s="16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ht="15.75" customHeight="1">
      <c r="A79" s="38"/>
      <c r="B79" s="38"/>
      <c r="C79" s="38"/>
      <c r="D79" s="38"/>
      <c r="E79" s="38"/>
      <c r="F79" s="38"/>
      <c r="G79" s="16"/>
      <c r="H79" s="16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ht="15.75" customHeight="1">
      <c r="A80" s="38"/>
      <c r="B80" s="38"/>
      <c r="C80" s="38"/>
      <c r="D80" s="38"/>
      <c r="E80" s="38"/>
      <c r="F80" s="38"/>
      <c r="G80" s="16"/>
      <c r="H80" s="16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ht="15.75" customHeight="1">
      <c r="A81" s="38"/>
      <c r="B81" s="38"/>
      <c r="C81" s="38"/>
      <c r="D81" s="38"/>
      <c r="E81" s="38"/>
      <c r="F81" s="38"/>
      <c r="G81" s="16"/>
      <c r="H81" s="16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ht="15.75" customHeight="1">
      <c r="A82" s="38"/>
      <c r="B82" s="38"/>
      <c r="C82" s="38"/>
      <c r="D82" s="38"/>
      <c r="E82" s="38"/>
      <c r="F82" s="38"/>
      <c r="G82" s="16"/>
      <c r="H82" s="16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ht="15.75" customHeight="1">
      <c r="A83" s="38"/>
      <c r="B83" s="38"/>
      <c r="C83" s="38"/>
      <c r="D83" s="38"/>
      <c r="E83" s="38"/>
      <c r="F83" s="38"/>
      <c r="G83" s="16"/>
      <c r="H83" s="16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ht="15.75" customHeight="1">
      <c r="A84" s="38"/>
      <c r="B84" s="38"/>
      <c r="C84" s="38"/>
      <c r="D84" s="38"/>
      <c r="E84" s="38"/>
      <c r="F84" s="38"/>
      <c r="G84" s="16"/>
      <c r="H84" s="16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ht="15.75" customHeight="1">
      <c r="A85" s="38"/>
      <c r="B85" s="38"/>
      <c r="C85" s="38"/>
      <c r="D85" s="38"/>
      <c r="E85" s="38"/>
      <c r="F85" s="38"/>
      <c r="G85" s="16"/>
      <c r="H85" s="16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ht="15.75" customHeight="1">
      <c r="A86" s="38"/>
      <c r="B86" s="38"/>
      <c r="C86" s="38"/>
      <c r="D86" s="38"/>
      <c r="E86" s="38"/>
      <c r="F86" s="38"/>
      <c r="G86" s="16"/>
      <c r="H86" s="16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ht="15.75" customHeight="1">
      <c r="A87" s="38"/>
      <c r="B87" s="38"/>
      <c r="C87" s="38"/>
      <c r="D87" s="38"/>
      <c r="E87" s="38"/>
      <c r="F87" s="38"/>
      <c r="G87" s="16"/>
      <c r="H87" s="16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ht="15.75" customHeight="1">
      <c r="A88" s="38"/>
      <c r="B88" s="38"/>
      <c r="C88" s="38"/>
      <c r="D88" s="38"/>
      <c r="E88" s="38"/>
      <c r="F88" s="38"/>
      <c r="G88" s="16"/>
      <c r="H88" s="16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ht="15.75" customHeight="1">
      <c r="A89" s="38"/>
      <c r="B89" s="38"/>
      <c r="C89" s="38"/>
      <c r="D89" s="38"/>
      <c r="E89" s="38"/>
      <c r="F89" s="38"/>
      <c r="G89" s="16"/>
      <c r="H89" s="16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ht="15.75" customHeight="1">
      <c r="A90" s="38"/>
      <c r="B90" s="38"/>
      <c r="C90" s="38"/>
      <c r="D90" s="38"/>
      <c r="E90" s="38"/>
      <c r="F90" s="38"/>
      <c r="G90" s="16"/>
      <c r="H90" s="16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ht="15.75" customHeight="1">
      <c r="A91" s="38"/>
      <c r="B91" s="38"/>
      <c r="C91" s="38"/>
      <c r="D91" s="38"/>
      <c r="E91" s="38"/>
      <c r="F91" s="38"/>
      <c r="G91" s="16"/>
      <c r="H91" s="16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ht="15.75" customHeight="1">
      <c r="A92" s="38"/>
      <c r="B92" s="38"/>
      <c r="C92" s="38"/>
      <c r="D92" s="38"/>
      <c r="E92" s="38"/>
      <c r="F92" s="38"/>
      <c r="G92" s="16"/>
      <c r="H92" s="16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ht="15.75" customHeight="1">
      <c r="A93" s="38"/>
      <c r="B93" s="38"/>
      <c r="C93" s="38"/>
      <c r="D93" s="38"/>
      <c r="E93" s="38"/>
      <c r="F93" s="38"/>
      <c r="G93" s="16"/>
      <c r="H93" s="16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ht="15.75" customHeight="1">
      <c r="A94" s="38"/>
      <c r="B94" s="38"/>
      <c r="C94" s="38"/>
      <c r="D94" s="38"/>
      <c r="E94" s="38"/>
      <c r="F94" s="38"/>
      <c r="G94" s="16"/>
      <c r="H94" s="16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ht="15.75" customHeight="1">
      <c r="A95" s="38"/>
      <c r="B95" s="38"/>
      <c r="C95" s="38"/>
      <c r="D95" s="38"/>
      <c r="E95" s="38"/>
      <c r="F95" s="38"/>
      <c r="G95" s="16"/>
      <c r="H95" s="16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ht="15.75" customHeight="1">
      <c r="A96" s="38"/>
      <c r="B96" s="38"/>
      <c r="C96" s="38"/>
      <c r="D96" s="38"/>
      <c r="E96" s="38"/>
      <c r="F96" s="38"/>
      <c r="G96" s="16"/>
      <c r="H96" s="16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ht="15.75" customHeight="1">
      <c r="A97" s="38"/>
      <c r="B97" s="38"/>
      <c r="C97" s="38"/>
      <c r="D97" s="38"/>
      <c r="E97" s="38"/>
      <c r="F97" s="38"/>
      <c r="G97" s="16"/>
      <c r="H97" s="16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ht="15.75" customHeight="1">
      <c r="A98" s="38"/>
      <c r="B98" s="38"/>
      <c r="C98" s="38"/>
      <c r="D98" s="38"/>
      <c r="E98" s="38"/>
      <c r="F98" s="38"/>
      <c r="G98" s="16"/>
      <c r="H98" s="16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ht="15.75" customHeight="1">
      <c r="A99" s="38"/>
      <c r="B99" s="38"/>
      <c r="C99" s="38"/>
      <c r="D99" s="38"/>
      <c r="E99" s="38"/>
      <c r="F99" s="38"/>
      <c r="G99" s="16"/>
      <c r="H99" s="16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ht="15.75" customHeight="1">
      <c r="A100" s="38"/>
      <c r="B100" s="38"/>
      <c r="C100" s="38"/>
      <c r="D100" s="38"/>
      <c r="E100" s="38"/>
      <c r="F100" s="38"/>
      <c r="G100" s="16"/>
      <c r="H100" s="16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ht="15.75" customHeight="1">
      <c r="A101" s="38"/>
      <c r="B101" s="38"/>
      <c r="C101" s="38"/>
      <c r="D101" s="38"/>
      <c r="E101" s="38"/>
      <c r="F101" s="38"/>
      <c r="G101" s="16"/>
      <c r="H101" s="16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ht="15.75" customHeight="1">
      <c r="A102" s="38"/>
      <c r="B102" s="38"/>
      <c r="C102" s="38"/>
      <c r="D102" s="38"/>
      <c r="E102" s="38"/>
      <c r="F102" s="38"/>
      <c r="G102" s="16"/>
      <c r="H102" s="16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ht="15.75" customHeight="1">
      <c r="A103" s="38"/>
      <c r="B103" s="38"/>
      <c r="C103" s="38"/>
      <c r="D103" s="38"/>
      <c r="E103" s="38"/>
      <c r="F103" s="38"/>
      <c r="G103" s="16"/>
      <c r="H103" s="16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ht="15.75" customHeight="1">
      <c r="A104" s="38"/>
      <c r="B104" s="38"/>
      <c r="C104" s="38"/>
      <c r="D104" s="38"/>
      <c r="E104" s="38"/>
      <c r="F104" s="38"/>
      <c r="G104" s="16"/>
      <c r="H104" s="16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ht="15.75" customHeight="1">
      <c r="A105" s="38"/>
      <c r="B105" s="38"/>
      <c r="C105" s="38"/>
      <c r="D105" s="38"/>
      <c r="E105" s="38"/>
      <c r="F105" s="38"/>
      <c r="G105" s="16"/>
      <c r="H105" s="16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ht="15.75" customHeight="1">
      <c r="A106" s="38"/>
      <c r="B106" s="38"/>
      <c r="C106" s="38"/>
      <c r="D106" s="38"/>
      <c r="E106" s="38"/>
      <c r="F106" s="38"/>
      <c r="G106" s="16"/>
      <c r="H106" s="16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ht="15.75" customHeight="1">
      <c r="A107" s="38"/>
      <c r="B107" s="38"/>
      <c r="C107" s="38"/>
      <c r="D107" s="38"/>
      <c r="E107" s="38"/>
      <c r="F107" s="38"/>
      <c r="G107" s="16"/>
      <c r="H107" s="16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ht="15.75" customHeight="1">
      <c r="A108" s="38"/>
      <c r="B108" s="38"/>
      <c r="C108" s="38"/>
      <c r="D108" s="38"/>
      <c r="E108" s="38"/>
      <c r="F108" s="38"/>
      <c r="G108" s="16"/>
      <c r="H108" s="16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ht="15.75" customHeight="1">
      <c r="A109" s="38"/>
      <c r="B109" s="38"/>
      <c r="C109" s="38"/>
      <c r="D109" s="38"/>
      <c r="E109" s="38"/>
      <c r="F109" s="38"/>
      <c r="G109" s="16"/>
      <c r="H109" s="16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ht="15.75" customHeight="1">
      <c r="A110" s="38"/>
      <c r="B110" s="38"/>
      <c r="C110" s="38"/>
      <c r="D110" s="38"/>
      <c r="E110" s="38"/>
      <c r="F110" s="38"/>
      <c r="G110" s="16"/>
      <c r="H110" s="16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ht="15.75" customHeight="1">
      <c r="A111" s="38"/>
      <c r="B111" s="38"/>
      <c r="C111" s="38"/>
      <c r="D111" s="38"/>
      <c r="E111" s="38"/>
      <c r="F111" s="38"/>
      <c r="G111" s="16"/>
      <c r="H111" s="16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ht="15.75" customHeight="1">
      <c r="A112" s="38"/>
      <c r="B112" s="38"/>
      <c r="C112" s="38"/>
      <c r="D112" s="38"/>
      <c r="E112" s="38"/>
      <c r="F112" s="38"/>
      <c r="G112" s="16"/>
      <c r="H112" s="16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ht="15.75" customHeight="1">
      <c r="A113" s="38"/>
      <c r="B113" s="38"/>
      <c r="C113" s="38"/>
      <c r="D113" s="38"/>
      <c r="E113" s="38"/>
      <c r="F113" s="38"/>
      <c r="G113" s="16"/>
      <c r="H113" s="16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ht="15.75" customHeight="1">
      <c r="A114" s="38"/>
      <c r="B114" s="38"/>
      <c r="C114" s="38"/>
      <c r="D114" s="38"/>
      <c r="E114" s="38"/>
      <c r="F114" s="38"/>
      <c r="G114" s="16"/>
      <c r="H114" s="16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ht="15.75" customHeight="1">
      <c r="A115" s="38"/>
      <c r="B115" s="38"/>
      <c r="C115" s="38"/>
      <c r="D115" s="38"/>
      <c r="E115" s="38"/>
      <c r="F115" s="38"/>
      <c r="G115" s="16"/>
      <c r="H115" s="16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ht="15.75" customHeight="1">
      <c r="A116" s="38"/>
      <c r="B116" s="38"/>
      <c r="C116" s="38"/>
      <c r="D116" s="38"/>
      <c r="E116" s="38"/>
      <c r="F116" s="38"/>
      <c r="G116" s="16"/>
      <c r="H116" s="16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ht="15.75" customHeight="1">
      <c r="A117" s="38"/>
      <c r="B117" s="38"/>
      <c r="C117" s="38"/>
      <c r="D117" s="38"/>
      <c r="E117" s="38"/>
      <c r="F117" s="38"/>
      <c r="G117" s="16"/>
      <c r="H117" s="16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ht="15.75" customHeight="1">
      <c r="A118" s="38"/>
      <c r="B118" s="38"/>
      <c r="C118" s="38"/>
      <c r="D118" s="38"/>
      <c r="E118" s="38"/>
      <c r="F118" s="38"/>
      <c r="G118" s="16"/>
      <c r="H118" s="16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ht="15.75" customHeight="1">
      <c r="A119" s="38"/>
      <c r="B119" s="38"/>
      <c r="C119" s="38"/>
      <c r="D119" s="38"/>
      <c r="E119" s="38"/>
      <c r="F119" s="38"/>
      <c r="G119" s="16"/>
      <c r="H119" s="16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ht="15.75" customHeight="1">
      <c r="A120" s="38"/>
      <c r="B120" s="38"/>
      <c r="C120" s="38"/>
      <c r="D120" s="38"/>
      <c r="E120" s="38"/>
      <c r="F120" s="38"/>
      <c r="G120" s="16"/>
      <c r="H120" s="16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ht="15.75" customHeight="1">
      <c r="A121" s="38"/>
      <c r="B121" s="38"/>
      <c r="C121" s="38"/>
      <c r="D121" s="38"/>
      <c r="E121" s="38"/>
      <c r="F121" s="38"/>
      <c r="G121" s="16"/>
      <c r="H121" s="16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ht="15.75" customHeight="1">
      <c r="A122" s="38"/>
      <c r="B122" s="38"/>
      <c r="C122" s="38"/>
      <c r="D122" s="38"/>
      <c r="E122" s="38"/>
      <c r="F122" s="38"/>
      <c r="G122" s="16"/>
      <c r="H122" s="16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ht="15.75" customHeight="1">
      <c r="A123" s="38"/>
      <c r="B123" s="38"/>
      <c r="C123" s="38"/>
      <c r="D123" s="38"/>
      <c r="E123" s="38"/>
      <c r="F123" s="38"/>
      <c r="G123" s="16"/>
      <c r="H123" s="16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ht="15.75" customHeight="1">
      <c r="A124" s="38"/>
      <c r="B124" s="38"/>
      <c r="C124" s="38"/>
      <c r="D124" s="38"/>
      <c r="E124" s="38"/>
      <c r="F124" s="38"/>
      <c r="G124" s="16"/>
      <c r="H124" s="16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ht="15.75" customHeight="1">
      <c r="A125" s="38"/>
      <c r="B125" s="38"/>
      <c r="C125" s="38"/>
      <c r="D125" s="38"/>
      <c r="E125" s="38"/>
      <c r="F125" s="38"/>
      <c r="G125" s="16"/>
      <c r="H125" s="16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ht="15.75" customHeight="1">
      <c r="A126" s="38"/>
      <c r="B126" s="38"/>
      <c r="C126" s="38"/>
      <c r="D126" s="38"/>
      <c r="E126" s="38"/>
      <c r="F126" s="38"/>
      <c r="G126" s="16"/>
      <c r="H126" s="16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ht="15.75" customHeight="1">
      <c r="A127" s="38"/>
      <c r="B127" s="38"/>
      <c r="C127" s="38"/>
      <c r="D127" s="38"/>
      <c r="E127" s="38"/>
      <c r="F127" s="38"/>
      <c r="G127" s="16"/>
      <c r="H127" s="16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ht="15.75" customHeight="1">
      <c r="A128" s="38"/>
      <c r="B128" s="38"/>
      <c r="C128" s="38"/>
      <c r="D128" s="38"/>
      <c r="E128" s="38"/>
      <c r="F128" s="38"/>
      <c r="G128" s="16"/>
      <c r="H128" s="16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ht="15.75" customHeight="1">
      <c r="A129" s="38"/>
      <c r="B129" s="38"/>
      <c r="C129" s="38"/>
      <c r="D129" s="38"/>
      <c r="E129" s="38"/>
      <c r="F129" s="38"/>
      <c r="G129" s="16"/>
      <c r="H129" s="16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ht="15.75" customHeight="1">
      <c r="A130" s="38"/>
      <c r="B130" s="38"/>
      <c r="C130" s="38"/>
      <c r="D130" s="38"/>
      <c r="E130" s="38"/>
      <c r="F130" s="38"/>
      <c r="G130" s="16"/>
      <c r="H130" s="16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ht="15.75" customHeight="1">
      <c r="A131" s="38"/>
      <c r="B131" s="38"/>
      <c r="C131" s="38"/>
      <c r="D131" s="38"/>
      <c r="E131" s="38"/>
      <c r="F131" s="38"/>
      <c r="G131" s="16"/>
      <c r="H131" s="16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ht="15.75" customHeight="1">
      <c r="A132" s="38"/>
      <c r="B132" s="38"/>
      <c r="C132" s="38"/>
      <c r="D132" s="38"/>
      <c r="E132" s="38"/>
      <c r="F132" s="38"/>
      <c r="G132" s="16"/>
      <c r="H132" s="16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ht="15.75" customHeight="1">
      <c r="A133" s="38"/>
      <c r="B133" s="38"/>
      <c r="C133" s="38"/>
      <c r="D133" s="38"/>
      <c r="E133" s="38"/>
      <c r="F133" s="38"/>
      <c r="G133" s="16"/>
      <c r="H133" s="16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ht="15.75" customHeight="1">
      <c r="A134" s="38"/>
      <c r="B134" s="38"/>
      <c r="C134" s="38"/>
      <c r="D134" s="38"/>
      <c r="E134" s="38"/>
      <c r="F134" s="38"/>
      <c r="G134" s="16"/>
      <c r="H134" s="16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ht="15.75" customHeight="1">
      <c r="A135" s="38"/>
      <c r="B135" s="38"/>
      <c r="C135" s="38"/>
      <c r="D135" s="38"/>
      <c r="E135" s="38"/>
      <c r="F135" s="38"/>
      <c r="G135" s="16"/>
      <c r="H135" s="16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ht="15.75" customHeight="1">
      <c r="A136" s="38"/>
      <c r="B136" s="38"/>
      <c r="C136" s="38"/>
      <c r="D136" s="38"/>
      <c r="E136" s="38"/>
      <c r="F136" s="38"/>
      <c r="G136" s="16"/>
      <c r="H136" s="16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ht="15.75" customHeight="1">
      <c r="A137" s="38"/>
      <c r="B137" s="38"/>
      <c r="C137" s="38"/>
      <c r="D137" s="38"/>
      <c r="E137" s="38"/>
      <c r="F137" s="38"/>
      <c r="G137" s="16"/>
      <c r="H137" s="16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ht="15.75" customHeight="1">
      <c r="A138" s="38"/>
      <c r="B138" s="38"/>
      <c r="C138" s="38"/>
      <c r="D138" s="38"/>
      <c r="E138" s="38"/>
      <c r="F138" s="38"/>
      <c r="G138" s="16"/>
      <c r="H138" s="16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ht="15.75" customHeight="1">
      <c r="A139" s="38"/>
      <c r="B139" s="38"/>
      <c r="C139" s="38"/>
      <c r="D139" s="38"/>
      <c r="E139" s="38"/>
      <c r="F139" s="38"/>
      <c r="G139" s="16"/>
      <c r="H139" s="16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ht="15.75" customHeight="1">
      <c r="A140" s="38"/>
      <c r="B140" s="38"/>
      <c r="C140" s="38"/>
      <c r="D140" s="38"/>
      <c r="E140" s="38"/>
      <c r="F140" s="38"/>
      <c r="G140" s="16"/>
      <c r="H140" s="16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ht="15.75" customHeight="1">
      <c r="A141" s="38"/>
      <c r="B141" s="38"/>
      <c r="C141" s="38"/>
      <c r="D141" s="38"/>
      <c r="E141" s="38"/>
      <c r="F141" s="38"/>
      <c r="G141" s="16"/>
      <c r="H141" s="16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ht="15.75" customHeight="1">
      <c r="A142" s="38"/>
      <c r="B142" s="38"/>
      <c r="C142" s="38"/>
      <c r="D142" s="38"/>
      <c r="E142" s="38"/>
      <c r="F142" s="38"/>
      <c r="G142" s="16"/>
      <c r="H142" s="16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ht="15.75" customHeight="1">
      <c r="A143" s="38"/>
      <c r="B143" s="38"/>
      <c r="C143" s="38"/>
      <c r="D143" s="38"/>
      <c r="E143" s="38"/>
      <c r="F143" s="38"/>
      <c r="G143" s="16"/>
      <c r="H143" s="16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ht="15.75" customHeight="1">
      <c r="A144" s="38"/>
      <c r="B144" s="38"/>
      <c r="C144" s="38"/>
      <c r="D144" s="38"/>
      <c r="E144" s="38"/>
      <c r="F144" s="38"/>
      <c r="G144" s="16"/>
      <c r="H144" s="16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ht="15.75" customHeight="1">
      <c r="A145" s="38"/>
      <c r="B145" s="38"/>
      <c r="C145" s="38"/>
      <c r="D145" s="38"/>
      <c r="E145" s="38"/>
      <c r="F145" s="38"/>
      <c r="G145" s="16"/>
      <c r="H145" s="16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ht="15.75" customHeight="1">
      <c r="A146" s="38"/>
      <c r="B146" s="38"/>
      <c r="C146" s="38"/>
      <c r="D146" s="38"/>
      <c r="E146" s="38"/>
      <c r="F146" s="38"/>
      <c r="G146" s="16"/>
      <c r="H146" s="16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ht="15.75" customHeight="1">
      <c r="A147" s="38"/>
      <c r="B147" s="38"/>
      <c r="C147" s="38"/>
      <c r="D147" s="38"/>
      <c r="E147" s="38"/>
      <c r="F147" s="38"/>
      <c r="G147" s="16"/>
      <c r="H147" s="16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ht="15.75" customHeight="1">
      <c r="A148" s="38"/>
      <c r="B148" s="38"/>
      <c r="C148" s="38"/>
      <c r="D148" s="38"/>
      <c r="E148" s="38"/>
      <c r="F148" s="38"/>
      <c r="G148" s="16"/>
      <c r="H148" s="16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ht="15.75" customHeight="1">
      <c r="A149" s="38"/>
      <c r="B149" s="38"/>
      <c r="C149" s="38"/>
      <c r="D149" s="38"/>
      <c r="E149" s="38"/>
      <c r="F149" s="38"/>
      <c r="G149" s="16"/>
      <c r="H149" s="16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ht="15.75" customHeight="1">
      <c r="A150" s="38"/>
      <c r="B150" s="38"/>
      <c r="C150" s="38"/>
      <c r="D150" s="38"/>
      <c r="E150" s="38"/>
      <c r="F150" s="38"/>
      <c r="G150" s="16"/>
      <c r="H150" s="16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ht="15.75" customHeight="1">
      <c r="A151" s="38"/>
      <c r="B151" s="38"/>
      <c r="C151" s="38"/>
      <c r="D151" s="38"/>
      <c r="E151" s="38"/>
      <c r="F151" s="38"/>
      <c r="G151" s="16"/>
      <c r="H151" s="16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ht="15.75" customHeight="1">
      <c r="A152" s="38"/>
      <c r="B152" s="38"/>
      <c r="C152" s="38"/>
      <c r="D152" s="38"/>
      <c r="E152" s="38"/>
      <c r="F152" s="38"/>
      <c r="G152" s="16"/>
      <c r="H152" s="16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ht="15.75" customHeight="1">
      <c r="A153" s="38"/>
      <c r="B153" s="38"/>
      <c r="C153" s="38"/>
      <c r="D153" s="38"/>
      <c r="E153" s="38"/>
      <c r="F153" s="38"/>
      <c r="G153" s="16"/>
      <c r="H153" s="16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ht="15.75" customHeight="1">
      <c r="A154" s="38"/>
      <c r="B154" s="38"/>
      <c r="C154" s="38"/>
      <c r="D154" s="38"/>
      <c r="E154" s="38"/>
      <c r="F154" s="38"/>
      <c r="G154" s="16"/>
      <c r="H154" s="16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ht="15.75" customHeight="1">
      <c r="A155" s="38"/>
      <c r="B155" s="38"/>
      <c r="C155" s="38"/>
      <c r="D155" s="38"/>
      <c r="E155" s="38"/>
      <c r="F155" s="38"/>
      <c r="G155" s="16"/>
      <c r="H155" s="16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ht="15.75" customHeight="1">
      <c r="A156" s="38"/>
      <c r="B156" s="38"/>
      <c r="C156" s="38"/>
      <c r="D156" s="38"/>
      <c r="E156" s="38"/>
      <c r="F156" s="38"/>
      <c r="G156" s="16"/>
      <c r="H156" s="16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ht="15.75" customHeight="1">
      <c r="A157" s="38"/>
      <c r="B157" s="38"/>
      <c r="C157" s="38"/>
      <c r="D157" s="38"/>
      <c r="E157" s="38"/>
      <c r="F157" s="38"/>
      <c r="G157" s="16"/>
      <c r="H157" s="16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ht="15.75" customHeight="1">
      <c r="A158" s="38"/>
      <c r="B158" s="38"/>
      <c r="C158" s="38"/>
      <c r="D158" s="38"/>
      <c r="E158" s="38"/>
      <c r="F158" s="38"/>
      <c r="G158" s="16"/>
      <c r="H158" s="16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ht="15.75" customHeight="1">
      <c r="A159" s="38"/>
      <c r="B159" s="38"/>
      <c r="C159" s="38"/>
      <c r="D159" s="38"/>
      <c r="E159" s="38"/>
      <c r="F159" s="38"/>
      <c r="G159" s="16"/>
      <c r="H159" s="16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ht="15.75" customHeight="1">
      <c r="A160" s="38"/>
      <c r="B160" s="38"/>
      <c r="C160" s="38"/>
      <c r="D160" s="38"/>
      <c r="E160" s="38"/>
      <c r="F160" s="38"/>
      <c r="G160" s="16"/>
      <c r="H160" s="16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ht="15.75" customHeight="1">
      <c r="A161" s="38"/>
      <c r="B161" s="38"/>
      <c r="C161" s="38"/>
      <c r="D161" s="38"/>
      <c r="E161" s="38"/>
      <c r="F161" s="38"/>
      <c r="G161" s="16"/>
      <c r="H161" s="16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ht="15.75" customHeight="1">
      <c r="A162" s="38"/>
      <c r="B162" s="38"/>
      <c r="C162" s="38"/>
      <c r="D162" s="38"/>
      <c r="E162" s="38"/>
      <c r="F162" s="38"/>
      <c r="G162" s="16"/>
      <c r="H162" s="16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ht="15.75" customHeight="1">
      <c r="A163" s="38"/>
      <c r="B163" s="38"/>
      <c r="C163" s="38"/>
      <c r="D163" s="38"/>
      <c r="E163" s="38"/>
      <c r="F163" s="38"/>
      <c r="G163" s="16"/>
      <c r="H163" s="16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ht="15.75" customHeight="1">
      <c r="A164" s="38"/>
      <c r="B164" s="38"/>
      <c r="C164" s="38"/>
      <c r="D164" s="38"/>
      <c r="E164" s="38"/>
      <c r="F164" s="38"/>
      <c r="G164" s="16"/>
      <c r="H164" s="16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ht="15.75" customHeight="1">
      <c r="A165" s="38"/>
      <c r="B165" s="38"/>
      <c r="C165" s="38"/>
      <c r="D165" s="38"/>
      <c r="E165" s="38"/>
      <c r="F165" s="38"/>
      <c r="G165" s="16"/>
      <c r="H165" s="16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ht="15.75" customHeight="1">
      <c r="A166" s="38"/>
      <c r="B166" s="38"/>
      <c r="C166" s="38"/>
      <c r="D166" s="38"/>
      <c r="E166" s="38"/>
      <c r="F166" s="38"/>
      <c r="G166" s="16"/>
      <c r="H166" s="16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ht="15.75" customHeight="1">
      <c r="A167" s="38"/>
      <c r="B167" s="38"/>
      <c r="C167" s="38"/>
      <c r="D167" s="38"/>
      <c r="E167" s="38"/>
      <c r="F167" s="38"/>
      <c r="G167" s="16"/>
      <c r="H167" s="16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ht="15.75" customHeight="1">
      <c r="A168" s="38"/>
      <c r="B168" s="38"/>
      <c r="C168" s="38"/>
      <c r="D168" s="38"/>
      <c r="E168" s="38"/>
      <c r="F168" s="38"/>
      <c r="G168" s="16"/>
      <c r="H168" s="16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ht="15.75" customHeight="1">
      <c r="A169" s="38"/>
      <c r="B169" s="38"/>
      <c r="C169" s="38"/>
      <c r="D169" s="38"/>
      <c r="E169" s="38"/>
      <c r="F169" s="38"/>
      <c r="G169" s="16"/>
      <c r="H169" s="16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ht="15.75" customHeight="1">
      <c r="A170" s="38"/>
      <c r="B170" s="38"/>
      <c r="C170" s="38"/>
      <c r="D170" s="38"/>
      <c r="E170" s="38"/>
      <c r="F170" s="38"/>
      <c r="G170" s="16"/>
      <c r="H170" s="16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ht="15.75" customHeight="1">
      <c r="A171" s="38"/>
      <c r="B171" s="38"/>
      <c r="C171" s="38"/>
      <c r="D171" s="38"/>
      <c r="E171" s="38"/>
      <c r="F171" s="38"/>
      <c r="G171" s="16"/>
      <c r="H171" s="16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ht="15.75" customHeight="1">
      <c r="A172" s="38"/>
      <c r="B172" s="38"/>
      <c r="C172" s="38"/>
      <c r="D172" s="38"/>
      <c r="E172" s="38"/>
      <c r="F172" s="38"/>
      <c r="G172" s="16"/>
      <c r="H172" s="16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ht="15.75" customHeight="1">
      <c r="A173" s="38"/>
      <c r="B173" s="38"/>
      <c r="C173" s="38"/>
      <c r="D173" s="38"/>
      <c r="E173" s="38"/>
      <c r="F173" s="38"/>
      <c r="G173" s="16"/>
      <c r="H173" s="16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ht="15.75" customHeight="1">
      <c r="A174" s="38"/>
      <c r="B174" s="38"/>
      <c r="C174" s="38"/>
      <c r="D174" s="38"/>
      <c r="E174" s="38"/>
      <c r="F174" s="38"/>
      <c r="G174" s="16"/>
      <c r="H174" s="16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ht="15.75" customHeight="1">
      <c r="A175" s="38"/>
      <c r="B175" s="38"/>
      <c r="C175" s="38"/>
      <c r="D175" s="38"/>
      <c r="E175" s="38"/>
      <c r="F175" s="38"/>
      <c r="G175" s="16"/>
      <c r="H175" s="16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ht="15.75" customHeight="1">
      <c r="A176" s="38"/>
      <c r="B176" s="38"/>
      <c r="C176" s="38"/>
      <c r="D176" s="38"/>
      <c r="E176" s="38"/>
      <c r="F176" s="38"/>
      <c r="G176" s="16"/>
      <c r="H176" s="16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ht="15.75" customHeight="1">
      <c r="A177" s="38"/>
      <c r="B177" s="38"/>
      <c r="C177" s="38"/>
      <c r="D177" s="38"/>
      <c r="E177" s="38"/>
      <c r="F177" s="38"/>
      <c r="G177" s="16"/>
      <c r="H177" s="16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ht="15.75" customHeight="1">
      <c r="A178" s="38"/>
      <c r="B178" s="38"/>
      <c r="C178" s="38"/>
      <c r="D178" s="38"/>
      <c r="E178" s="38"/>
      <c r="F178" s="38"/>
      <c r="G178" s="16"/>
      <c r="H178" s="16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ht="15.75" customHeight="1">
      <c r="A179" s="38"/>
      <c r="B179" s="38"/>
      <c r="C179" s="38"/>
      <c r="D179" s="38"/>
      <c r="E179" s="38"/>
      <c r="F179" s="38"/>
      <c r="G179" s="16"/>
      <c r="H179" s="16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ht="15.75" customHeight="1">
      <c r="A180" s="38"/>
      <c r="B180" s="38"/>
      <c r="C180" s="38"/>
      <c r="D180" s="38"/>
      <c r="E180" s="38"/>
      <c r="F180" s="38"/>
      <c r="G180" s="16"/>
      <c r="H180" s="16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ht="15.75" customHeight="1">
      <c r="A181" s="38"/>
      <c r="B181" s="38"/>
      <c r="C181" s="38"/>
      <c r="D181" s="38"/>
      <c r="E181" s="38"/>
      <c r="F181" s="38"/>
      <c r="G181" s="16"/>
      <c r="H181" s="16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ht="15.75" customHeight="1">
      <c r="A182" s="38"/>
      <c r="B182" s="38"/>
      <c r="C182" s="38"/>
      <c r="D182" s="38"/>
      <c r="E182" s="38"/>
      <c r="F182" s="38"/>
      <c r="G182" s="16"/>
      <c r="H182" s="16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ht="15.75" customHeight="1">
      <c r="A183" s="38"/>
      <c r="B183" s="38"/>
      <c r="C183" s="38"/>
      <c r="D183" s="38"/>
      <c r="E183" s="38"/>
      <c r="F183" s="38"/>
      <c r="G183" s="16"/>
      <c r="H183" s="16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ht="15.75" customHeight="1">
      <c r="A184" s="38"/>
      <c r="B184" s="38"/>
      <c r="C184" s="38"/>
      <c r="D184" s="38"/>
      <c r="E184" s="38"/>
      <c r="F184" s="38"/>
      <c r="G184" s="16"/>
      <c r="H184" s="16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ht="15.75" customHeight="1">
      <c r="A185" s="38"/>
      <c r="B185" s="38"/>
      <c r="C185" s="38"/>
      <c r="D185" s="38"/>
      <c r="E185" s="38"/>
      <c r="F185" s="38"/>
      <c r="G185" s="16"/>
      <c r="H185" s="16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ht="15.75" customHeight="1">
      <c r="A186" s="38"/>
      <c r="B186" s="38"/>
      <c r="C186" s="38"/>
      <c r="D186" s="38"/>
      <c r="E186" s="38"/>
      <c r="F186" s="38"/>
      <c r="G186" s="16"/>
      <c r="H186" s="16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ht="15.75" customHeight="1">
      <c r="A187" s="38"/>
      <c r="B187" s="38"/>
      <c r="C187" s="38"/>
      <c r="D187" s="38"/>
      <c r="E187" s="38"/>
      <c r="F187" s="38"/>
      <c r="G187" s="16"/>
      <c r="H187" s="16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ht="15.75" customHeight="1">
      <c r="A188" s="38"/>
      <c r="B188" s="38"/>
      <c r="C188" s="38"/>
      <c r="D188" s="38"/>
      <c r="E188" s="38"/>
      <c r="F188" s="38"/>
      <c r="G188" s="16"/>
      <c r="H188" s="16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ht="15.75" customHeight="1">
      <c r="A189" s="38"/>
      <c r="B189" s="38"/>
      <c r="C189" s="38"/>
      <c r="D189" s="38"/>
      <c r="E189" s="38"/>
      <c r="F189" s="38"/>
      <c r="G189" s="16"/>
      <c r="H189" s="16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ht="15.75" customHeight="1">
      <c r="A190" s="38"/>
      <c r="B190" s="38"/>
      <c r="C190" s="38"/>
      <c r="D190" s="38"/>
      <c r="E190" s="38"/>
      <c r="F190" s="38"/>
      <c r="G190" s="16"/>
      <c r="H190" s="16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ht="15.75" customHeight="1">
      <c r="A191" s="38"/>
      <c r="B191" s="38"/>
      <c r="C191" s="38"/>
      <c r="D191" s="38"/>
      <c r="E191" s="38"/>
      <c r="F191" s="38"/>
      <c r="G191" s="16"/>
      <c r="H191" s="16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ht="15.75" customHeight="1">
      <c r="A192" s="38"/>
      <c r="B192" s="38"/>
      <c r="C192" s="38"/>
      <c r="D192" s="38"/>
      <c r="E192" s="38"/>
      <c r="F192" s="38"/>
      <c r="G192" s="16"/>
      <c r="H192" s="16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ht="15.75" customHeight="1">
      <c r="A193" s="38"/>
      <c r="B193" s="38"/>
      <c r="C193" s="38"/>
      <c r="D193" s="38"/>
      <c r="E193" s="38"/>
      <c r="F193" s="38"/>
      <c r="G193" s="16"/>
      <c r="H193" s="16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ht="15.75" customHeight="1">
      <c r="A194" s="38"/>
      <c r="B194" s="38"/>
      <c r="C194" s="38"/>
      <c r="D194" s="38"/>
      <c r="E194" s="38"/>
      <c r="F194" s="38"/>
      <c r="G194" s="16"/>
      <c r="H194" s="16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ht="15.75" customHeight="1">
      <c r="A195" s="38"/>
      <c r="B195" s="38"/>
      <c r="C195" s="38"/>
      <c r="D195" s="38"/>
      <c r="E195" s="38"/>
      <c r="F195" s="38"/>
      <c r="G195" s="16"/>
      <c r="H195" s="16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ht="15.75" customHeight="1">
      <c r="A196" s="38"/>
      <c r="B196" s="38"/>
      <c r="C196" s="38"/>
      <c r="D196" s="38"/>
      <c r="E196" s="38"/>
      <c r="F196" s="38"/>
      <c r="G196" s="16"/>
      <c r="H196" s="16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ht="15.75" customHeight="1">
      <c r="A197" s="38"/>
      <c r="B197" s="38"/>
      <c r="C197" s="38"/>
      <c r="D197" s="38"/>
      <c r="E197" s="38"/>
      <c r="F197" s="38"/>
      <c r="G197" s="16"/>
      <c r="H197" s="16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ht="15.75" customHeight="1">
      <c r="A198" s="38"/>
      <c r="B198" s="38"/>
      <c r="C198" s="38"/>
      <c r="D198" s="38"/>
      <c r="E198" s="38"/>
      <c r="F198" s="38"/>
      <c r="G198" s="16"/>
      <c r="H198" s="16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ht="15.75" customHeight="1">
      <c r="A199" s="38"/>
      <c r="B199" s="38"/>
      <c r="C199" s="38"/>
      <c r="D199" s="38"/>
      <c r="E199" s="38"/>
      <c r="F199" s="38"/>
      <c r="G199" s="16"/>
      <c r="H199" s="16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ht="15.75" customHeight="1">
      <c r="A200" s="38"/>
      <c r="B200" s="38"/>
      <c r="C200" s="38"/>
      <c r="D200" s="38"/>
      <c r="E200" s="38"/>
      <c r="F200" s="38"/>
      <c r="G200" s="16"/>
      <c r="H200" s="16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ht="15.75" customHeight="1">
      <c r="A201" s="38"/>
      <c r="B201" s="38"/>
      <c r="C201" s="38"/>
      <c r="D201" s="38"/>
      <c r="E201" s="38"/>
      <c r="F201" s="38"/>
      <c r="G201" s="16"/>
      <c r="H201" s="16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ht="15.75" customHeight="1">
      <c r="A202" s="38"/>
      <c r="B202" s="38"/>
      <c r="C202" s="38"/>
      <c r="D202" s="38"/>
      <c r="E202" s="38"/>
      <c r="F202" s="38"/>
      <c r="G202" s="16"/>
      <c r="H202" s="16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ht="15.75" customHeight="1">
      <c r="A203" s="38"/>
      <c r="B203" s="38"/>
      <c r="C203" s="38"/>
      <c r="D203" s="38"/>
      <c r="E203" s="38"/>
      <c r="F203" s="38"/>
      <c r="G203" s="16"/>
      <c r="H203" s="16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ht="15.75" customHeight="1">
      <c r="A204" s="38"/>
      <c r="B204" s="38"/>
      <c r="C204" s="38"/>
      <c r="D204" s="38"/>
      <c r="E204" s="38"/>
      <c r="F204" s="38"/>
      <c r="G204" s="16"/>
      <c r="H204" s="16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ht="15.75" customHeight="1">
      <c r="A205" s="38"/>
      <c r="B205" s="38"/>
      <c r="C205" s="38"/>
      <c r="D205" s="38"/>
      <c r="E205" s="38"/>
      <c r="F205" s="38"/>
      <c r="G205" s="16"/>
      <c r="H205" s="16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ht="15.75" customHeight="1">
      <c r="A206" s="38"/>
      <c r="B206" s="38"/>
      <c r="C206" s="38"/>
      <c r="D206" s="38"/>
      <c r="E206" s="38"/>
      <c r="F206" s="38"/>
      <c r="G206" s="16"/>
      <c r="H206" s="16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ht="15.75" customHeight="1">
      <c r="A207" s="38"/>
      <c r="B207" s="38"/>
      <c r="C207" s="38"/>
      <c r="D207" s="38"/>
      <c r="E207" s="38"/>
      <c r="F207" s="38"/>
      <c r="G207" s="16"/>
      <c r="H207" s="16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ht="15.75" customHeight="1">
      <c r="A208" s="38"/>
      <c r="B208" s="38"/>
      <c r="C208" s="38"/>
      <c r="D208" s="38"/>
      <c r="E208" s="38"/>
      <c r="F208" s="38"/>
      <c r="G208" s="16"/>
      <c r="H208" s="16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ht="15.75" customHeight="1">
      <c r="A209" s="38"/>
      <c r="B209" s="38"/>
      <c r="C209" s="38"/>
      <c r="D209" s="38"/>
      <c r="E209" s="38"/>
      <c r="F209" s="38"/>
      <c r="G209" s="16"/>
      <c r="H209" s="16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ht="15.75" customHeight="1">
      <c r="A210" s="38"/>
      <c r="B210" s="38"/>
      <c r="C210" s="38"/>
      <c r="D210" s="38"/>
      <c r="E210" s="38"/>
      <c r="F210" s="38"/>
      <c r="G210" s="16"/>
      <c r="H210" s="16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ht="15.75" customHeight="1">
      <c r="A211" s="38"/>
      <c r="B211" s="38"/>
      <c r="C211" s="38"/>
      <c r="D211" s="38"/>
      <c r="E211" s="38"/>
      <c r="F211" s="38"/>
      <c r="G211" s="16"/>
      <c r="H211" s="16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ht="15.75" customHeight="1">
      <c r="A212" s="38"/>
      <c r="B212" s="38"/>
      <c r="C212" s="38"/>
      <c r="D212" s="38"/>
      <c r="E212" s="38"/>
      <c r="F212" s="38"/>
      <c r="G212" s="16"/>
      <c r="H212" s="16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ht="15.75" customHeight="1">
      <c r="A213" s="38"/>
      <c r="B213" s="38"/>
      <c r="C213" s="38"/>
      <c r="D213" s="38"/>
      <c r="E213" s="38"/>
      <c r="F213" s="38"/>
      <c r="G213" s="16"/>
      <c r="H213" s="16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ht="15.75" customHeight="1">
      <c r="A214" s="38"/>
      <c r="B214" s="38"/>
      <c r="C214" s="38"/>
      <c r="D214" s="38"/>
      <c r="E214" s="38"/>
      <c r="F214" s="38"/>
      <c r="G214" s="16"/>
      <c r="H214" s="16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ht="15.75" customHeight="1">
      <c r="A215" s="38"/>
      <c r="B215" s="38"/>
      <c r="C215" s="38"/>
      <c r="D215" s="38"/>
      <c r="E215" s="38"/>
      <c r="F215" s="38"/>
      <c r="G215" s="16"/>
      <c r="H215" s="16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ht="15.75" customHeight="1">
      <c r="A216" s="38"/>
      <c r="B216" s="38"/>
      <c r="C216" s="38"/>
      <c r="D216" s="38"/>
      <c r="E216" s="38"/>
      <c r="F216" s="38"/>
      <c r="G216" s="16"/>
      <c r="H216" s="16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ht="15.75" customHeight="1">
      <c r="A217" s="38"/>
      <c r="B217" s="38"/>
      <c r="C217" s="38"/>
      <c r="D217" s="38"/>
      <c r="E217" s="38"/>
      <c r="F217" s="38"/>
      <c r="G217" s="16"/>
      <c r="H217" s="16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ht="15.75" customHeight="1">
      <c r="A218" s="38"/>
      <c r="B218" s="38"/>
      <c r="C218" s="38"/>
      <c r="D218" s="38"/>
      <c r="E218" s="38"/>
      <c r="F218" s="38"/>
      <c r="G218" s="16"/>
      <c r="H218" s="16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ht="15.75" customHeight="1">
      <c r="A219" s="38"/>
      <c r="B219" s="38"/>
      <c r="C219" s="38"/>
      <c r="D219" s="38"/>
      <c r="E219" s="38"/>
      <c r="F219" s="38"/>
      <c r="G219" s="16"/>
      <c r="H219" s="16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ht="15.75" customHeight="1">
      <c r="A220" s="38"/>
      <c r="B220" s="38"/>
      <c r="C220" s="38"/>
      <c r="D220" s="38"/>
      <c r="E220" s="38"/>
      <c r="F220" s="38"/>
      <c r="G220" s="16"/>
      <c r="H220" s="16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ht="15.75" customHeight="1">
      <c r="A221" s="38"/>
      <c r="B221" s="38"/>
      <c r="C221" s="38"/>
      <c r="D221" s="38"/>
      <c r="E221" s="38"/>
      <c r="F221" s="38"/>
      <c r="G221" s="16"/>
      <c r="H221" s="16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4" width="12.63"/>
    <col customWidth="1" min="5" max="5" width="13.75"/>
    <col customWidth="1" min="6" max="6" width="12.63"/>
    <col customWidth="1" min="7" max="7" width="9.25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1.5"/>
    <col customWidth="1" min="14" max="14" width="48.75"/>
    <col customWidth="1" min="15" max="15" width="11.5"/>
    <col customWidth="1" min="16" max="16" width="47.5"/>
    <col customWidth="1" min="17" max="17" width="11.5"/>
    <col customWidth="1" min="18" max="18" width="49.13"/>
    <col customWidth="1" min="19" max="19" width="11.5"/>
    <col customWidth="1" min="20" max="20" width="47.88"/>
    <col customWidth="1" min="21" max="21" width="11.5"/>
    <col customWidth="1" min="22" max="22" width="57.0"/>
    <col customWidth="1" min="23" max="23" width="11.5"/>
    <col customWidth="1" min="24" max="24" width="55.75"/>
    <col customWidth="1" min="25" max="25" width="11.5"/>
    <col customWidth="1" min="26" max="26" width="54.25"/>
    <col customWidth="1" min="27" max="27" width="11.5"/>
    <col customWidth="1" min="28" max="28" width="51.88"/>
    <col customWidth="1" min="29" max="29" width="11.5"/>
    <col customWidth="1" min="30" max="30" width="53.13"/>
    <col customWidth="1" min="31" max="31" width="11.5"/>
    <col customWidth="1" min="32" max="32" width="54.0"/>
    <col customWidth="1" min="33" max="33" width="40.13"/>
    <col customWidth="1" min="34" max="34" width="55.25"/>
    <col customWidth="1" min="35" max="35" width="11.5"/>
  </cols>
  <sheetData>
    <row r="1" ht="15.75" customHeight="1">
      <c r="A1" s="1" t="s">
        <v>0</v>
      </c>
      <c r="B1" s="1" t="s">
        <v>1</v>
      </c>
      <c r="C1" s="40" t="s">
        <v>2</v>
      </c>
      <c r="D1" s="1" t="s">
        <v>1305</v>
      </c>
      <c r="E1" s="1" t="s">
        <v>1306</v>
      </c>
      <c r="F1" s="1" t="s">
        <v>1307</v>
      </c>
      <c r="G1" s="1" t="s">
        <v>5</v>
      </c>
      <c r="H1" s="41" t="s">
        <v>1308</v>
      </c>
      <c r="I1" s="41" t="s">
        <v>7</v>
      </c>
      <c r="J1" s="41" t="s">
        <v>1309</v>
      </c>
      <c r="K1" s="41" t="s">
        <v>7</v>
      </c>
      <c r="L1" s="41" t="s">
        <v>1310</v>
      </c>
      <c r="M1" s="41" t="s">
        <v>7</v>
      </c>
      <c r="N1" s="41" t="s">
        <v>1311</v>
      </c>
      <c r="O1" s="41" t="s">
        <v>7</v>
      </c>
      <c r="P1" s="41" t="s">
        <v>1312</v>
      </c>
      <c r="Q1" s="41" t="s">
        <v>7</v>
      </c>
      <c r="R1" s="41" t="s">
        <v>1313</v>
      </c>
      <c r="S1" s="41" t="s">
        <v>7</v>
      </c>
      <c r="T1" s="41" t="s">
        <v>1314</v>
      </c>
      <c r="U1" s="41" t="s">
        <v>7</v>
      </c>
      <c r="V1" s="41" t="s">
        <v>1315</v>
      </c>
      <c r="W1" s="41" t="s">
        <v>7</v>
      </c>
      <c r="X1" s="41" t="s">
        <v>1316</v>
      </c>
      <c r="Y1" s="41" t="s">
        <v>7</v>
      </c>
      <c r="Z1" s="41" t="s">
        <v>1317</v>
      </c>
      <c r="AA1" s="41" t="s">
        <v>7</v>
      </c>
      <c r="AB1" s="43" t="s">
        <v>1318</v>
      </c>
      <c r="AC1" s="41" t="s">
        <v>7</v>
      </c>
      <c r="AD1" s="41" t="s">
        <v>1319</v>
      </c>
      <c r="AE1" s="41" t="s">
        <v>1320</v>
      </c>
      <c r="AF1" s="41" t="s">
        <v>1321</v>
      </c>
      <c r="AG1" s="41" t="s">
        <v>1322</v>
      </c>
      <c r="AH1" s="42" t="s">
        <v>1323</v>
      </c>
      <c r="AI1" s="42" t="s">
        <v>7</v>
      </c>
    </row>
    <row r="2" ht="15.75" customHeight="1">
      <c r="A2" s="12">
        <v>1919.0</v>
      </c>
      <c r="B2" s="11" t="s">
        <v>32</v>
      </c>
      <c r="C2" s="11" t="str">
        <f t="shared" ref="C2:C38" si="1">CONCATENATE(D2,"_",F2,"_",G2)</f>
        <v>LP 01_BC-01A_BS VI MS</v>
      </c>
      <c r="D2" s="11" t="s">
        <v>1324</v>
      </c>
      <c r="E2" s="11" t="s">
        <v>558</v>
      </c>
      <c r="F2" s="11" t="s">
        <v>1325</v>
      </c>
      <c r="G2" s="11" t="s">
        <v>99</v>
      </c>
      <c r="H2" s="16" t="s">
        <v>1326</v>
      </c>
      <c r="I2" s="19">
        <v>0.0</v>
      </c>
      <c r="J2" s="16" t="s">
        <v>1327</v>
      </c>
      <c r="K2" s="19">
        <v>0.0</v>
      </c>
      <c r="L2" s="16" t="s">
        <v>1328</v>
      </c>
      <c r="M2" s="19">
        <v>0.0</v>
      </c>
      <c r="N2" s="16" t="s">
        <v>1329</v>
      </c>
      <c r="O2" s="19">
        <v>0.0</v>
      </c>
      <c r="P2" s="16" t="s">
        <v>1330</v>
      </c>
      <c r="Q2" s="19">
        <v>0.0</v>
      </c>
      <c r="R2" s="16" t="s">
        <v>1331</v>
      </c>
      <c r="S2" s="19">
        <v>0.0</v>
      </c>
      <c r="T2" s="16" t="s">
        <v>1332</v>
      </c>
      <c r="U2" s="19">
        <v>1.0</v>
      </c>
      <c r="V2" s="16" t="s">
        <v>1333</v>
      </c>
      <c r="W2" s="19">
        <v>1.0</v>
      </c>
      <c r="X2" s="16" t="s">
        <v>1333</v>
      </c>
      <c r="Y2" s="19">
        <v>0.0</v>
      </c>
      <c r="Z2" s="16" t="s">
        <v>1334</v>
      </c>
      <c r="AA2" s="19">
        <v>0.0</v>
      </c>
      <c r="AB2" s="16" t="s">
        <v>1335</v>
      </c>
      <c r="AC2" s="19">
        <v>0.0</v>
      </c>
      <c r="AD2" s="16" t="s">
        <v>1336</v>
      </c>
      <c r="AE2" s="19">
        <v>0.0</v>
      </c>
      <c r="AF2" s="16" t="s">
        <v>1337</v>
      </c>
      <c r="AG2" s="19">
        <v>0.0</v>
      </c>
      <c r="AH2" s="16" t="s">
        <v>1338</v>
      </c>
      <c r="AI2" s="19">
        <v>0.0</v>
      </c>
    </row>
    <row r="3" ht="15.75" customHeight="1">
      <c r="A3" s="12">
        <v>1919.0</v>
      </c>
      <c r="B3" s="11" t="s">
        <v>32</v>
      </c>
      <c r="C3" s="11" t="str">
        <f t="shared" si="1"/>
        <v>LP 02_BC-01B_BS VI HSD</v>
      </c>
      <c r="D3" s="11" t="s">
        <v>1339</v>
      </c>
      <c r="E3" s="11" t="s">
        <v>558</v>
      </c>
      <c r="F3" s="11" t="s">
        <v>1340</v>
      </c>
      <c r="G3" s="11" t="s">
        <v>35</v>
      </c>
      <c r="H3" s="16" t="s">
        <v>1341</v>
      </c>
      <c r="I3" s="19">
        <v>0.0</v>
      </c>
      <c r="J3" s="16" t="s">
        <v>1342</v>
      </c>
      <c r="K3" s="19">
        <v>0.0</v>
      </c>
      <c r="L3" s="16" t="s">
        <v>1343</v>
      </c>
      <c r="M3" s="19">
        <v>0.0</v>
      </c>
      <c r="N3" s="16" t="s">
        <v>1344</v>
      </c>
      <c r="O3" s="19">
        <v>0.0</v>
      </c>
      <c r="P3" s="16" t="s">
        <v>1345</v>
      </c>
      <c r="Q3" s="19">
        <v>0.0</v>
      </c>
      <c r="R3" s="16" t="s">
        <v>1346</v>
      </c>
      <c r="S3" s="19">
        <v>0.0</v>
      </c>
      <c r="T3" s="16" t="s">
        <v>1347</v>
      </c>
      <c r="U3" s="19">
        <v>1.0</v>
      </c>
      <c r="V3" s="16" t="s">
        <v>1348</v>
      </c>
      <c r="W3" s="19">
        <v>1.0</v>
      </c>
      <c r="X3" s="16" t="s">
        <v>1348</v>
      </c>
      <c r="Y3" s="19">
        <v>0.0</v>
      </c>
      <c r="Z3" s="16" t="s">
        <v>1349</v>
      </c>
      <c r="AA3" s="19">
        <v>0.0</v>
      </c>
      <c r="AB3" s="16" t="s">
        <v>1350</v>
      </c>
      <c r="AC3" s="19">
        <v>0.0</v>
      </c>
      <c r="AD3" s="16" t="s">
        <v>1351</v>
      </c>
      <c r="AE3" s="19">
        <v>0.0</v>
      </c>
      <c r="AF3" s="16" t="s">
        <v>1352</v>
      </c>
      <c r="AG3" s="19">
        <v>0.0</v>
      </c>
      <c r="AH3" s="16" t="s">
        <v>1353</v>
      </c>
      <c r="AI3" s="19">
        <v>0.0</v>
      </c>
    </row>
    <row r="4" ht="15.75" customHeight="1">
      <c r="A4" s="12">
        <v>1919.0</v>
      </c>
      <c r="B4" s="11" t="s">
        <v>32</v>
      </c>
      <c r="C4" s="11" t="str">
        <f t="shared" si="1"/>
        <v>LP 03_BC-02A_BS VI MS</v>
      </c>
      <c r="D4" s="11" t="s">
        <v>1354</v>
      </c>
      <c r="E4" s="11" t="s">
        <v>558</v>
      </c>
      <c r="F4" s="11" t="s">
        <v>1355</v>
      </c>
      <c r="G4" s="11" t="s">
        <v>99</v>
      </c>
      <c r="H4" s="16" t="s">
        <v>1356</v>
      </c>
      <c r="I4" s="19">
        <v>0.0</v>
      </c>
      <c r="J4" s="16" t="s">
        <v>1357</v>
      </c>
      <c r="K4" s="19">
        <v>0.0</v>
      </c>
      <c r="L4" s="16" t="s">
        <v>1358</v>
      </c>
      <c r="M4" s="19">
        <v>0.0</v>
      </c>
      <c r="N4" s="16" t="s">
        <v>1359</v>
      </c>
      <c r="O4" s="19">
        <v>0.0</v>
      </c>
      <c r="P4" s="16" t="s">
        <v>1360</v>
      </c>
      <c r="Q4" s="19">
        <v>0.0</v>
      </c>
      <c r="R4" s="16" t="s">
        <v>1361</v>
      </c>
      <c r="S4" s="19">
        <v>0.0</v>
      </c>
      <c r="T4" s="16" t="s">
        <v>1362</v>
      </c>
      <c r="U4" s="19">
        <v>1.0</v>
      </c>
      <c r="V4" s="16" t="s">
        <v>1363</v>
      </c>
      <c r="W4" s="19">
        <v>1.0</v>
      </c>
      <c r="X4" s="16" t="s">
        <v>1363</v>
      </c>
      <c r="Y4" s="19">
        <v>0.0</v>
      </c>
      <c r="Z4" s="16" t="s">
        <v>1364</v>
      </c>
      <c r="AA4" s="19">
        <v>0.0</v>
      </c>
      <c r="AB4" s="16" t="s">
        <v>1365</v>
      </c>
      <c r="AC4" s="19">
        <v>0.0</v>
      </c>
      <c r="AD4" s="16" t="s">
        <v>1366</v>
      </c>
      <c r="AE4" s="19">
        <v>0.0</v>
      </c>
      <c r="AF4" s="16" t="s">
        <v>1367</v>
      </c>
      <c r="AG4" s="19">
        <v>0.0</v>
      </c>
      <c r="AH4" s="16" t="s">
        <v>1368</v>
      </c>
      <c r="AI4" s="19">
        <v>0.0</v>
      </c>
    </row>
    <row r="5" ht="15.75" customHeight="1">
      <c r="A5" s="12">
        <v>1919.0</v>
      </c>
      <c r="B5" s="11" t="s">
        <v>32</v>
      </c>
      <c r="C5" s="11" t="str">
        <f t="shared" si="1"/>
        <v>LP 04_BC-02B_BS VI HSD</v>
      </c>
      <c r="D5" s="11" t="s">
        <v>1369</v>
      </c>
      <c r="E5" s="11" t="s">
        <v>558</v>
      </c>
      <c r="F5" s="11" t="s">
        <v>1370</v>
      </c>
      <c r="G5" s="11" t="s">
        <v>35</v>
      </c>
      <c r="H5" s="16" t="s">
        <v>1371</v>
      </c>
      <c r="I5" s="19">
        <v>0.0</v>
      </c>
      <c r="J5" s="16" t="s">
        <v>1372</v>
      </c>
      <c r="K5" s="19">
        <v>0.0</v>
      </c>
      <c r="L5" s="16" t="s">
        <v>1373</v>
      </c>
      <c r="M5" s="19">
        <v>0.0</v>
      </c>
      <c r="N5" s="16" t="s">
        <v>1374</v>
      </c>
      <c r="O5" s="19">
        <v>0.0</v>
      </c>
      <c r="P5" s="16" t="s">
        <v>1375</v>
      </c>
      <c r="Q5" s="19">
        <v>0.0</v>
      </c>
      <c r="R5" s="16" t="s">
        <v>1376</v>
      </c>
      <c r="S5" s="19">
        <v>0.0</v>
      </c>
      <c r="T5" s="16" t="s">
        <v>1377</v>
      </c>
      <c r="U5" s="19">
        <v>1.0</v>
      </c>
      <c r="V5" s="16" t="s">
        <v>1378</v>
      </c>
      <c r="W5" s="19">
        <v>1.0</v>
      </c>
      <c r="X5" s="16" t="s">
        <v>1378</v>
      </c>
      <c r="Y5" s="19">
        <v>0.0</v>
      </c>
      <c r="Z5" s="16" t="s">
        <v>1379</v>
      </c>
      <c r="AA5" s="19">
        <v>0.0</v>
      </c>
      <c r="AB5" s="16" t="s">
        <v>1380</v>
      </c>
      <c r="AC5" s="19">
        <v>0.0</v>
      </c>
      <c r="AD5" s="16" t="s">
        <v>1381</v>
      </c>
      <c r="AE5" s="19">
        <v>0.0</v>
      </c>
      <c r="AF5" s="16" t="s">
        <v>1382</v>
      </c>
      <c r="AG5" s="19">
        <v>0.0</v>
      </c>
      <c r="AH5" s="16" t="s">
        <v>1383</v>
      </c>
      <c r="AI5" s="19">
        <v>0.0</v>
      </c>
    </row>
    <row r="6" ht="15.75" customHeight="1">
      <c r="A6" s="12">
        <v>1919.0</v>
      </c>
      <c r="B6" s="11" t="s">
        <v>32</v>
      </c>
      <c r="C6" s="11" t="str">
        <f t="shared" si="1"/>
        <v>LP 05_BC-03A_BS VI MS</v>
      </c>
      <c r="D6" s="11" t="s">
        <v>1384</v>
      </c>
      <c r="E6" s="11" t="s">
        <v>558</v>
      </c>
      <c r="F6" s="11" t="s">
        <v>1385</v>
      </c>
      <c r="G6" s="11" t="s">
        <v>99</v>
      </c>
      <c r="H6" s="16" t="s">
        <v>1386</v>
      </c>
      <c r="I6" s="19">
        <v>0.0</v>
      </c>
      <c r="J6" s="16" t="s">
        <v>1387</v>
      </c>
      <c r="K6" s="19">
        <v>0.0</v>
      </c>
      <c r="L6" s="16" t="s">
        <v>1388</v>
      </c>
      <c r="M6" s="19">
        <v>0.0</v>
      </c>
      <c r="N6" s="16" t="s">
        <v>1389</v>
      </c>
      <c r="O6" s="19">
        <v>0.0</v>
      </c>
      <c r="P6" s="16" t="s">
        <v>1390</v>
      </c>
      <c r="Q6" s="19">
        <v>0.0</v>
      </c>
      <c r="R6" s="16" t="s">
        <v>1391</v>
      </c>
      <c r="S6" s="19">
        <v>0.0</v>
      </c>
      <c r="T6" s="16" t="s">
        <v>1392</v>
      </c>
      <c r="U6" s="19">
        <v>1.0</v>
      </c>
      <c r="V6" s="16" t="s">
        <v>1393</v>
      </c>
      <c r="W6" s="19">
        <v>1.0</v>
      </c>
      <c r="X6" s="16" t="s">
        <v>1393</v>
      </c>
      <c r="Y6" s="19">
        <v>0.0</v>
      </c>
      <c r="Z6" s="16" t="s">
        <v>1394</v>
      </c>
      <c r="AA6" s="19">
        <v>0.0</v>
      </c>
      <c r="AB6" s="16" t="s">
        <v>1395</v>
      </c>
      <c r="AC6" s="19">
        <v>0.0</v>
      </c>
      <c r="AD6" s="16" t="s">
        <v>1396</v>
      </c>
      <c r="AE6" s="19">
        <v>0.0</v>
      </c>
      <c r="AF6" s="16" t="s">
        <v>1397</v>
      </c>
      <c r="AG6" s="19">
        <v>0.0</v>
      </c>
      <c r="AH6" s="16" t="s">
        <v>1398</v>
      </c>
      <c r="AI6" s="19">
        <v>0.0</v>
      </c>
    </row>
    <row r="7" ht="15.75" customHeight="1">
      <c r="A7" s="12">
        <v>1919.0</v>
      </c>
      <c r="B7" s="11" t="s">
        <v>32</v>
      </c>
      <c r="C7" s="11" t="str">
        <f t="shared" si="1"/>
        <v>LP 06_BC-03B_BS VI HSD</v>
      </c>
      <c r="D7" s="11" t="s">
        <v>1399</v>
      </c>
      <c r="E7" s="11" t="s">
        <v>558</v>
      </c>
      <c r="F7" s="11" t="s">
        <v>1400</v>
      </c>
      <c r="G7" s="11" t="s">
        <v>35</v>
      </c>
      <c r="H7" s="16" t="s">
        <v>1401</v>
      </c>
      <c r="I7" s="19">
        <v>0.0</v>
      </c>
      <c r="J7" s="16" t="s">
        <v>1402</v>
      </c>
      <c r="K7" s="19">
        <v>0.0</v>
      </c>
      <c r="L7" s="16" t="s">
        <v>1403</v>
      </c>
      <c r="M7" s="19">
        <v>0.0</v>
      </c>
      <c r="N7" s="16" t="s">
        <v>1404</v>
      </c>
      <c r="O7" s="19">
        <v>0.0</v>
      </c>
      <c r="P7" s="16" t="s">
        <v>1405</v>
      </c>
      <c r="Q7" s="19">
        <v>0.0</v>
      </c>
      <c r="R7" s="16" t="s">
        <v>1406</v>
      </c>
      <c r="S7" s="19">
        <v>0.0</v>
      </c>
      <c r="T7" s="16" t="s">
        <v>1407</v>
      </c>
      <c r="U7" s="19">
        <v>1.0</v>
      </c>
      <c r="V7" s="16" t="s">
        <v>1408</v>
      </c>
      <c r="W7" s="19">
        <v>1.0</v>
      </c>
      <c r="X7" s="16" t="s">
        <v>1408</v>
      </c>
      <c r="Y7" s="19">
        <v>0.0</v>
      </c>
      <c r="Z7" s="16" t="s">
        <v>1409</v>
      </c>
      <c r="AA7" s="19">
        <v>0.0</v>
      </c>
      <c r="AB7" s="16" t="s">
        <v>1410</v>
      </c>
      <c r="AC7" s="19">
        <v>0.0</v>
      </c>
      <c r="AD7" s="16" t="s">
        <v>1411</v>
      </c>
      <c r="AE7" s="19">
        <v>0.0</v>
      </c>
      <c r="AF7" s="16" t="s">
        <v>1412</v>
      </c>
      <c r="AG7" s="19">
        <v>0.0</v>
      </c>
      <c r="AH7" s="16" t="s">
        <v>1413</v>
      </c>
      <c r="AI7" s="19">
        <v>0.0</v>
      </c>
    </row>
    <row r="8" ht="15.75" customHeight="1">
      <c r="A8" s="12">
        <v>1919.0</v>
      </c>
      <c r="B8" s="11" t="s">
        <v>32</v>
      </c>
      <c r="C8" s="11" t="str">
        <f t="shared" si="1"/>
        <v>LP 07_BC-04A_BS VI MS</v>
      </c>
      <c r="D8" s="11" t="s">
        <v>1414</v>
      </c>
      <c r="E8" s="11" t="s">
        <v>558</v>
      </c>
      <c r="F8" s="11" t="s">
        <v>1415</v>
      </c>
      <c r="G8" s="11" t="s">
        <v>99</v>
      </c>
      <c r="H8" s="16" t="s">
        <v>1416</v>
      </c>
      <c r="I8" s="19">
        <v>0.0</v>
      </c>
      <c r="J8" s="16" t="s">
        <v>1417</v>
      </c>
      <c r="K8" s="19">
        <v>0.0</v>
      </c>
      <c r="L8" s="16" t="s">
        <v>1418</v>
      </c>
      <c r="M8" s="19">
        <v>0.0</v>
      </c>
      <c r="N8" s="16" t="s">
        <v>1419</v>
      </c>
      <c r="O8" s="19">
        <v>0.0</v>
      </c>
      <c r="P8" s="16" t="s">
        <v>1420</v>
      </c>
      <c r="Q8" s="19">
        <v>0.0</v>
      </c>
      <c r="R8" s="16" t="s">
        <v>1421</v>
      </c>
      <c r="S8" s="19">
        <v>0.0</v>
      </c>
      <c r="T8" s="16" t="s">
        <v>1422</v>
      </c>
      <c r="U8" s="19">
        <v>1.0</v>
      </c>
      <c r="V8" s="16" t="s">
        <v>1423</v>
      </c>
      <c r="W8" s="19">
        <v>1.0</v>
      </c>
      <c r="X8" s="16" t="s">
        <v>1423</v>
      </c>
      <c r="Y8" s="19">
        <v>0.0</v>
      </c>
      <c r="Z8" s="16" t="s">
        <v>1424</v>
      </c>
      <c r="AA8" s="19">
        <v>0.0</v>
      </c>
      <c r="AB8" s="16" t="s">
        <v>1425</v>
      </c>
      <c r="AC8" s="19">
        <v>0.0</v>
      </c>
      <c r="AD8" s="16" t="s">
        <v>1426</v>
      </c>
      <c r="AE8" s="19">
        <v>0.0</v>
      </c>
      <c r="AF8" s="16" t="s">
        <v>1427</v>
      </c>
      <c r="AG8" s="19">
        <v>0.0</v>
      </c>
      <c r="AH8" s="16" t="s">
        <v>1428</v>
      </c>
      <c r="AI8" s="19">
        <v>0.0</v>
      </c>
    </row>
    <row r="9" ht="15.75" customHeight="1">
      <c r="A9" s="12">
        <v>1919.0</v>
      </c>
      <c r="B9" s="11" t="s">
        <v>32</v>
      </c>
      <c r="C9" s="11" t="str">
        <f t="shared" si="1"/>
        <v>LP 08_BC-04B_BS VI HSD</v>
      </c>
      <c r="D9" s="11" t="s">
        <v>1429</v>
      </c>
      <c r="E9" s="11" t="s">
        <v>558</v>
      </c>
      <c r="F9" s="11" t="s">
        <v>1430</v>
      </c>
      <c r="G9" s="11" t="s">
        <v>35</v>
      </c>
      <c r="H9" s="16" t="s">
        <v>1431</v>
      </c>
      <c r="I9" s="19">
        <v>0.0</v>
      </c>
      <c r="J9" s="16" t="s">
        <v>1432</v>
      </c>
      <c r="K9" s="19">
        <v>0.0</v>
      </c>
      <c r="L9" s="16" t="s">
        <v>1433</v>
      </c>
      <c r="M9" s="19">
        <v>0.0</v>
      </c>
      <c r="N9" s="16" t="s">
        <v>1434</v>
      </c>
      <c r="O9" s="19">
        <v>0.0</v>
      </c>
      <c r="P9" s="16" t="s">
        <v>1435</v>
      </c>
      <c r="Q9" s="19">
        <v>0.0</v>
      </c>
      <c r="R9" s="16" t="s">
        <v>1436</v>
      </c>
      <c r="S9" s="19">
        <v>0.0</v>
      </c>
      <c r="T9" s="16" t="s">
        <v>1437</v>
      </c>
      <c r="U9" s="19">
        <v>1.0</v>
      </c>
      <c r="V9" s="16" t="s">
        <v>1438</v>
      </c>
      <c r="W9" s="19">
        <v>1.0</v>
      </c>
      <c r="X9" s="16" t="s">
        <v>1438</v>
      </c>
      <c r="Y9" s="19">
        <v>0.0</v>
      </c>
      <c r="Z9" s="16" t="s">
        <v>1439</v>
      </c>
      <c r="AA9" s="19">
        <v>0.0</v>
      </c>
      <c r="AB9" s="16" t="s">
        <v>1440</v>
      </c>
      <c r="AC9" s="19">
        <v>0.0</v>
      </c>
      <c r="AD9" s="16" t="s">
        <v>1441</v>
      </c>
      <c r="AE9" s="19">
        <v>0.0</v>
      </c>
      <c r="AF9" s="16" t="s">
        <v>1442</v>
      </c>
      <c r="AG9" s="19">
        <v>0.0</v>
      </c>
      <c r="AH9" s="16" t="s">
        <v>1443</v>
      </c>
      <c r="AI9" s="19">
        <v>0.0</v>
      </c>
    </row>
    <row r="10" ht="15.75" customHeight="1">
      <c r="A10" s="12">
        <v>1919.0</v>
      </c>
      <c r="B10" s="11" t="s">
        <v>32</v>
      </c>
      <c r="C10" s="11" t="str">
        <f t="shared" si="1"/>
        <v>LP 09_BC-05A_BS VI MS</v>
      </c>
      <c r="D10" s="11" t="s">
        <v>1444</v>
      </c>
      <c r="E10" s="11" t="s">
        <v>558</v>
      </c>
      <c r="F10" s="11" t="s">
        <v>1445</v>
      </c>
      <c r="G10" s="11" t="s">
        <v>99</v>
      </c>
      <c r="H10" s="16" t="s">
        <v>1446</v>
      </c>
      <c r="I10" s="19">
        <v>0.0</v>
      </c>
      <c r="J10" s="16" t="s">
        <v>1447</v>
      </c>
      <c r="K10" s="19">
        <v>0.0</v>
      </c>
      <c r="L10" s="16" t="s">
        <v>1448</v>
      </c>
      <c r="M10" s="19">
        <v>0.0</v>
      </c>
      <c r="N10" s="16" t="s">
        <v>1449</v>
      </c>
      <c r="O10" s="19">
        <v>0.0</v>
      </c>
      <c r="P10" s="16" t="s">
        <v>1450</v>
      </c>
      <c r="Q10" s="19">
        <v>0.0</v>
      </c>
      <c r="R10" s="16" t="s">
        <v>1451</v>
      </c>
      <c r="S10" s="19">
        <v>0.0</v>
      </c>
      <c r="T10" s="16" t="s">
        <v>1452</v>
      </c>
      <c r="U10" s="19">
        <v>1.0</v>
      </c>
      <c r="V10" s="16" t="s">
        <v>1453</v>
      </c>
      <c r="W10" s="19">
        <v>1.0</v>
      </c>
      <c r="X10" s="16" t="s">
        <v>1453</v>
      </c>
      <c r="Y10" s="19">
        <v>0.0</v>
      </c>
      <c r="Z10" s="16" t="s">
        <v>1454</v>
      </c>
      <c r="AA10" s="19">
        <v>0.0</v>
      </c>
      <c r="AB10" s="16" t="s">
        <v>1455</v>
      </c>
      <c r="AC10" s="19">
        <v>0.0</v>
      </c>
      <c r="AD10" s="16" t="s">
        <v>1456</v>
      </c>
      <c r="AE10" s="19">
        <v>0.0</v>
      </c>
      <c r="AF10" s="16" t="s">
        <v>1457</v>
      </c>
      <c r="AG10" s="19">
        <v>0.0</v>
      </c>
      <c r="AH10" s="16" t="s">
        <v>1458</v>
      </c>
      <c r="AI10" s="19">
        <v>0.0</v>
      </c>
    </row>
    <row r="11" ht="15.75" customHeight="1">
      <c r="A11" s="12">
        <v>1919.0</v>
      </c>
      <c r="B11" s="11" t="s">
        <v>32</v>
      </c>
      <c r="C11" s="11" t="str">
        <f t="shared" si="1"/>
        <v>LP 10_BC-05B_BS VI HSD</v>
      </c>
      <c r="D11" s="11" t="s">
        <v>1459</v>
      </c>
      <c r="E11" s="11" t="s">
        <v>558</v>
      </c>
      <c r="F11" s="11" t="s">
        <v>1460</v>
      </c>
      <c r="G11" s="11" t="s">
        <v>35</v>
      </c>
      <c r="H11" s="16" t="s">
        <v>1461</v>
      </c>
      <c r="I11" s="19">
        <v>0.0</v>
      </c>
      <c r="J11" s="16" t="s">
        <v>1462</v>
      </c>
      <c r="K11" s="19">
        <v>0.0</v>
      </c>
      <c r="L11" s="16" t="s">
        <v>1463</v>
      </c>
      <c r="M11" s="19">
        <v>0.0</v>
      </c>
      <c r="N11" s="16" t="s">
        <v>1464</v>
      </c>
      <c r="O11" s="19">
        <v>0.0</v>
      </c>
      <c r="P11" s="16" t="s">
        <v>1465</v>
      </c>
      <c r="Q11" s="19">
        <v>0.0</v>
      </c>
      <c r="R11" s="16" t="s">
        <v>1466</v>
      </c>
      <c r="S11" s="19">
        <v>0.0</v>
      </c>
      <c r="T11" s="16" t="s">
        <v>1467</v>
      </c>
      <c r="U11" s="19">
        <v>1.0</v>
      </c>
      <c r="V11" s="16" t="s">
        <v>1468</v>
      </c>
      <c r="W11" s="19">
        <v>1.0</v>
      </c>
      <c r="X11" s="16" t="s">
        <v>1468</v>
      </c>
      <c r="Y11" s="19">
        <v>0.0</v>
      </c>
      <c r="Z11" s="16" t="s">
        <v>1469</v>
      </c>
      <c r="AA11" s="19">
        <v>0.0</v>
      </c>
      <c r="AB11" s="16" t="s">
        <v>1470</v>
      </c>
      <c r="AC11" s="19">
        <v>0.0</v>
      </c>
      <c r="AD11" s="16" t="s">
        <v>1471</v>
      </c>
      <c r="AE11" s="19">
        <v>0.0</v>
      </c>
      <c r="AF11" s="16" t="s">
        <v>1472</v>
      </c>
      <c r="AG11" s="19">
        <v>0.0</v>
      </c>
      <c r="AH11" s="16" t="s">
        <v>1473</v>
      </c>
      <c r="AI11" s="19">
        <v>0.0</v>
      </c>
    </row>
    <row r="12" ht="15.75" customHeight="1">
      <c r="A12" s="12">
        <v>1919.0</v>
      </c>
      <c r="B12" s="11" t="s">
        <v>32</v>
      </c>
      <c r="C12" s="11" t="str">
        <f t="shared" si="1"/>
        <v>LP 11_BC-06A_BS VI MS</v>
      </c>
      <c r="D12" s="11" t="s">
        <v>1474</v>
      </c>
      <c r="E12" s="11" t="s">
        <v>558</v>
      </c>
      <c r="F12" s="11" t="s">
        <v>1475</v>
      </c>
      <c r="G12" s="11" t="s">
        <v>99</v>
      </c>
      <c r="H12" s="16" t="s">
        <v>1476</v>
      </c>
      <c r="I12" s="19">
        <v>0.0</v>
      </c>
      <c r="J12" s="16" t="s">
        <v>1477</v>
      </c>
      <c r="K12" s="19">
        <v>0.0</v>
      </c>
      <c r="L12" s="16" t="s">
        <v>1478</v>
      </c>
      <c r="M12" s="19">
        <v>0.0</v>
      </c>
      <c r="N12" s="16" t="s">
        <v>1479</v>
      </c>
      <c r="O12" s="19">
        <v>0.0</v>
      </c>
      <c r="P12" s="16" t="s">
        <v>1480</v>
      </c>
      <c r="Q12" s="19">
        <v>0.0</v>
      </c>
      <c r="R12" s="16" t="s">
        <v>1481</v>
      </c>
      <c r="S12" s="19">
        <v>0.0</v>
      </c>
      <c r="T12" s="16" t="s">
        <v>1482</v>
      </c>
      <c r="U12" s="19">
        <v>1.0</v>
      </c>
      <c r="V12" s="16" t="s">
        <v>1483</v>
      </c>
      <c r="W12" s="19">
        <v>1.0</v>
      </c>
      <c r="X12" s="16" t="s">
        <v>1483</v>
      </c>
      <c r="Y12" s="19">
        <v>0.0</v>
      </c>
      <c r="Z12" s="16" t="s">
        <v>1484</v>
      </c>
      <c r="AA12" s="19">
        <v>0.0</v>
      </c>
      <c r="AB12" s="16" t="s">
        <v>1485</v>
      </c>
      <c r="AC12" s="19">
        <v>0.0</v>
      </c>
      <c r="AD12" s="16" t="s">
        <v>1486</v>
      </c>
      <c r="AE12" s="19">
        <v>0.0</v>
      </c>
      <c r="AF12" s="16" t="s">
        <v>1487</v>
      </c>
      <c r="AG12" s="19">
        <v>0.0</v>
      </c>
      <c r="AH12" s="16" t="s">
        <v>1488</v>
      </c>
      <c r="AI12" s="19">
        <v>0.0</v>
      </c>
    </row>
    <row r="13" ht="15.75" customHeight="1">
      <c r="A13" s="12">
        <v>1919.0</v>
      </c>
      <c r="B13" s="11" t="s">
        <v>32</v>
      </c>
      <c r="C13" s="11" t="str">
        <f t="shared" si="1"/>
        <v>LP 12_BC-06B_BS VI HSD</v>
      </c>
      <c r="D13" s="11" t="s">
        <v>1489</v>
      </c>
      <c r="E13" s="11" t="s">
        <v>558</v>
      </c>
      <c r="F13" s="11" t="s">
        <v>1490</v>
      </c>
      <c r="G13" s="11" t="s">
        <v>35</v>
      </c>
      <c r="H13" s="16" t="s">
        <v>1491</v>
      </c>
      <c r="I13" s="19">
        <v>0.0</v>
      </c>
      <c r="J13" s="16" t="s">
        <v>1492</v>
      </c>
      <c r="K13" s="19">
        <v>0.0</v>
      </c>
      <c r="L13" s="16" t="s">
        <v>1493</v>
      </c>
      <c r="M13" s="19">
        <v>0.0</v>
      </c>
      <c r="N13" s="16" t="s">
        <v>1494</v>
      </c>
      <c r="O13" s="19">
        <v>0.0</v>
      </c>
      <c r="P13" s="16" t="s">
        <v>1495</v>
      </c>
      <c r="Q13" s="19">
        <v>0.0</v>
      </c>
      <c r="R13" s="16" t="s">
        <v>1496</v>
      </c>
      <c r="S13" s="19">
        <v>0.0</v>
      </c>
      <c r="T13" s="16" t="s">
        <v>1497</v>
      </c>
      <c r="U13" s="19">
        <v>1.0</v>
      </c>
      <c r="V13" s="16" t="s">
        <v>1498</v>
      </c>
      <c r="W13" s="19">
        <v>1.0</v>
      </c>
      <c r="X13" s="16" t="s">
        <v>1498</v>
      </c>
      <c r="Y13" s="19">
        <v>0.0</v>
      </c>
      <c r="Z13" s="16" t="s">
        <v>1499</v>
      </c>
      <c r="AA13" s="19">
        <v>0.0</v>
      </c>
      <c r="AB13" s="16" t="s">
        <v>1500</v>
      </c>
      <c r="AC13" s="19">
        <v>0.0</v>
      </c>
      <c r="AD13" s="16" t="s">
        <v>1501</v>
      </c>
      <c r="AE13" s="19">
        <v>0.0</v>
      </c>
      <c r="AF13" s="16" t="s">
        <v>1502</v>
      </c>
      <c r="AG13" s="19">
        <v>0.0</v>
      </c>
      <c r="AH13" s="16" t="s">
        <v>1503</v>
      </c>
      <c r="AI13" s="19">
        <v>0.0</v>
      </c>
    </row>
    <row r="14" ht="15.75" customHeight="1">
      <c r="A14" s="12">
        <v>1919.0</v>
      </c>
      <c r="B14" s="11" t="s">
        <v>32</v>
      </c>
      <c r="C14" s="11" t="str">
        <f t="shared" si="1"/>
        <v>LP 13_BC-07A_BS VI MS</v>
      </c>
      <c r="D14" s="11" t="s">
        <v>1504</v>
      </c>
      <c r="E14" s="11" t="s">
        <v>558</v>
      </c>
      <c r="F14" s="11" t="s">
        <v>1505</v>
      </c>
      <c r="G14" s="11" t="s">
        <v>99</v>
      </c>
      <c r="H14" s="16" t="s">
        <v>1506</v>
      </c>
      <c r="I14" s="19">
        <v>0.0</v>
      </c>
      <c r="J14" s="16" t="s">
        <v>1507</v>
      </c>
      <c r="K14" s="19">
        <v>0.0</v>
      </c>
      <c r="L14" s="16" t="s">
        <v>1508</v>
      </c>
      <c r="M14" s="19">
        <v>0.0</v>
      </c>
      <c r="N14" s="16" t="s">
        <v>1509</v>
      </c>
      <c r="O14" s="19">
        <v>0.0</v>
      </c>
      <c r="P14" s="16" t="s">
        <v>1510</v>
      </c>
      <c r="Q14" s="19">
        <v>0.0</v>
      </c>
      <c r="R14" s="16" t="s">
        <v>1511</v>
      </c>
      <c r="S14" s="19">
        <v>0.0</v>
      </c>
      <c r="T14" s="16" t="s">
        <v>1512</v>
      </c>
      <c r="U14" s="19">
        <v>1.0</v>
      </c>
      <c r="V14" s="16" t="s">
        <v>1513</v>
      </c>
      <c r="W14" s="19">
        <v>1.0</v>
      </c>
      <c r="X14" s="16" t="s">
        <v>1513</v>
      </c>
      <c r="Y14" s="19">
        <v>0.0</v>
      </c>
      <c r="Z14" s="16" t="s">
        <v>1514</v>
      </c>
      <c r="AA14" s="19">
        <v>0.0</v>
      </c>
      <c r="AB14" s="16" t="s">
        <v>1515</v>
      </c>
      <c r="AC14" s="19">
        <v>0.0</v>
      </c>
      <c r="AD14" s="16" t="s">
        <v>1516</v>
      </c>
      <c r="AE14" s="19">
        <v>0.0</v>
      </c>
      <c r="AF14" s="16" t="s">
        <v>1517</v>
      </c>
      <c r="AG14" s="19">
        <v>0.0</v>
      </c>
      <c r="AH14" s="16" t="s">
        <v>1518</v>
      </c>
      <c r="AI14" s="19">
        <v>0.0</v>
      </c>
    </row>
    <row r="15" ht="15.75" customHeight="1">
      <c r="A15" s="12">
        <v>1919.0</v>
      </c>
      <c r="B15" s="11" t="s">
        <v>32</v>
      </c>
      <c r="C15" s="11" t="str">
        <f t="shared" si="1"/>
        <v>LP 14_BC-07B_BS VI HSD</v>
      </c>
      <c r="D15" s="11" t="s">
        <v>1519</v>
      </c>
      <c r="E15" s="11" t="s">
        <v>558</v>
      </c>
      <c r="F15" s="11" t="s">
        <v>1520</v>
      </c>
      <c r="G15" s="11" t="s">
        <v>35</v>
      </c>
      <c r="H15" s="16" t="s">
        <v>1521</v>
      </c>
      <c r="I15" s="19">
        <v>0.0</v>
      </c>
      <c r="J15" s="16" t="s">
        <v>1522</v>
      </c>
      <c r="K15" s="19">
        <v>0.0</v>
      </c>
      <c r="L15" s="16" t="s">
        <v>1523</v>
      </c>
      <c r="M15" s="19">
        <v>0.0</v>
      </c>
      <c r="N15" s="16" t="s">
        <v>1524</v>
      </c>
      <c r="O15" s="19">
        <v>0.0</v>
      </c>
      <c r="P15" s="16" t="s">
        <v>1525</v>
      </c>
      <c r="Q15" s="19">
        <v>0.0</v>
      </c>
      <c r="R15" s="16" t="s">
        <v>1526</v>
      </c>
      <c r="S15" s="19">
        <v>0.0</v>
      </c>
      <c r="T15" s="16" t="s">
        <v>1527</v>
      </c>
      <c r="U15" s="19">
        <v>1.0</v>
      </c>
      <c r="V15" s="16" t="s">
        <v>1528</v>
      </c>
      <c r="W15" s="19">
        <v>1.0</v>
      </c>
      <c r="X15" s="16" t="s">
        <v>1528</v>
      </c>
      <c r="Y15" s="19">
        <v>0.0</v>
      </c>
      <c r="Z15" s="16" t="s">
        <v>1529</v>
      </c>
      <c r="AA15" s="19">
        <v>0.0</v>
      </c>
      <c r="AB15" s="16" t="s">
        <v>1530</v>
      </c>
      <c r="AC15" s="19">
        <v>0.0</v>
      </c>
      <c r="AD15" s="16" t="s">
        <v>1531</v>
      </c>
      <c r="AE15" s="19">
        <v>0.0</v>
      </c>
      <c r="AF15" s="16" t="s">
        <v>1532</v>
      </c>
      <c r="AG15" s="19">
        <v>0.0</v>
      </c>
      <c r="AH15" s="16" t="s">
        <v>1533</v>
      </c>
      <c r="AI15" s="19">
        <v>0.0</v>
      </c>
    </row>
    <row r="16" ht="15.75" customHeight="1">
      <c r="A16" s="12">
        <v>1919.0</v>
      </c>
      <c r="B16" s="11" t="s">
        <v>32</v>
      </c>
      <c r="C16" s="11" t="str">
        <f t="shared" si="1"/>
        <v>LP 15_BC-09A-LP1_BS VI MS</v>
      </c>
      <c r="D16" s="11" t="s">
        <v>1534</v>
      </c>
      <c r="E16" s="11" t="s">
        <v>558</v>
      </c>
      <c r="F16" s="11" t="s">
        <v>1535</v>
      </c>
      <c r="G16" s="11" t="s">
        <v>99</v>
      </c>
      <c r="H16" s="16" t="s">
        <v>1536</v>
      </c>
      <c r="I16" s="19">
        <v>0.0</v>
      </c>
      <c r="J16" s="16" t="s">
        <v>1537</v>
      </c>
      <c r="K16" s="19">
        <v>0.0</v>
      </c>
      <c r="L16" s="16" t="s">
        <v>1538</v>
      </c>
      <c r="M16" s="19">
        <v>0.0</v>
      </c>
      <c r="N16" s="16" t="s">
        <v>1539</v>
      </c>
      <c r="O16" s="19">
        <v>0.0</v>
      </c>
      <c r="P16" s="16" t="s">
        <v>1540</v>
      </c>
      <c r="Q16" s="19">
        <v>0.0</v>
      </c>
      <c r="R16" s="16" t="s">
        <v>1541</v>
      </c>
      <c r="S16" s="19">
        <v>0.0</v>
      </c>
      <c r="T16" s="16" t="s">
        <v>1542</v>
      </c>
      <c r="U16" s="19">
        <v>1.0</v>
      </c>
      <c r="V16" s="16" t="s">
        <v>1543</v>
      </c>
      <c r="W16" s="19">
        <v>1.0</v>
      </c>
      <c r="X16" s="16" t="s">
        <v>1543</v>
      </c>
      <c r="Y16" s="19">
        <v>0.0</v>
      </c>
      <c r="Z16" s="16" t="s">
        <v>1544</v>
      </c>
      <c r="AA16" s="19">
        <v>0.0</v>
      </c>
      <c r="AB16" s="16" t="s">
        <v>1545</v>
      </c>
      <c r="AC16" s="19">
        <v>0.0</v>
      </c>
      <c r="AD16" s="16" t="s">
        <v>1546</v>
      </c>
      <c r="AE16" s="19">
        <v>0.0</v>
      </c>
      <c r="AF16" s="16" t="s">
        <v>1547</v>
      </c>
      <c r="AG16" s="19">
        <v>0.0</v>
      </c>
      <c r="AH16" s="16" t="s">
        <v>1548</v>
      </c>
      <c r="AI16" s="19">
        <v>0.0</v>
      </c>
    </row>
    <row r="17" ht="15.75" customHeight="1">
      <c r="A17" s="12">
        <v>1919.0</v>
      </c>
      <c r="B17" s="11" t="s">
        <v>32</v>
      </c>
      <c r="C17" s="11" t="str">
        <f t="shared" si="1"/>
        <v>LP 16_BC-09A-LP2_BS VI HSD</v>
      </c>
      <c r="D17" s="11" t="s">
        <v>1549</v>
      </c>
      <c r="E17" s="11" t="s">
        <v>558</v>
      </c>
      <c r="F17" s="11" t="s">
        <v>1550</v>
      </c>
      <c r="G17" s="11" t="s">
        <v>35</v>
      </c>
      <c r="H17" s="16" t="s">
        <v>1551</v>
      </c>
      <c r="I17" s="19">
        <v>0.0</v>
      </c>
      <c r="J17" s="16" t="s">
        <v>1552</v>
      </c>
      <c r="K17" s="19">
        <v>0.0</v>
      </c>
      <c r="L17" s="16" t="s">
        <v>1553</v>
      </c>
      <c r="M17" s="19">
        <v>0.0</v>
      </c>
      <c r="N17" s="16" t="s">
        <v>1554</v>
      </c>
      <c r="O17" s="19">
        <v>0.0</v>
      </c>
      <c r="P17" s="16" t="s">
        <v>1555</v>
      </c>
      <c r="Q17" s="19">
        <v>0.0</v>
      </c>
      <c r="R17" s="16" t="s">
        <v>1556</v>
      </c>
      <c r="S17" s="19">
        <v>0.0</v>
      </c>
      <c r="T17" s="16" t="s">
        <v>1557</v>
      </c>
      <c r="U17" s="19">
        <v>1.0</v>
      </c>
      <c r="V17" s="16" t="s">
        <v>1558</v>
      </c>
      <c r="W17" s="19">
        <v>1.0</v>
      </c>
      <c r="X17" s="16" t="s">
        <v>1558</v>
      </c>
      <c r="Y17" s="19">
        <v>0.0</v>
      </c>
      <c r="Z17" s="16" t="s">
        <v>1559</v>
      </c>
      <c r="AA17" s="19">
        <v>0.0</v>
      </c>
      <c r="AB17" s="16" t="s">
        <v>1560</v>
      </c>
      <c r="AC17" s="19">
        <v>0.0</v>
      </c>
      <c r="AD17" s="16" t="s">
        <v>1561</v>
      </c>
      <c r="AE17" s="19">
        <v>0.0</v>
      </c>
      <c r="AF17" s="16" t="s">
        <v>1562</v>
      </c>
      <c r="AG17" s="19">
        <v>0.0</v>
      </c>
      <c r="AH17" s="16" t="s">
        <v>1563</v>
      </c>
      <c r="AI17" s="19">
        <v>0.0</v>
      </c>
    </row>
    <row r="18" ht="15.75" customHeight="1">
      <c r="A18" s="12">
        <v>1919.0</v>
      </c>
      <c r="B18" s="11" t="s">
        <v>32</v>
      </c>
      <c r="C18" s="11" t="str">
        <f t="shared" si="1"/>
        <v>LP 17_BC-09B-LP2_SKO</v>
      </c>
      <c r="D18" s="11" t="s">
        <v>1564</v>
      </c>
      <c r="E18" s="11" t="s">
        <v>558</v>
      </c>
      <c r="F18" s="11" t="s">
        <v>1565</v>
      </c>
      <c r="G18" s="11" t="s">
        <v>173</v>
      </c>
      <c r="H18" s="16" t="s">
        <v>1566</v>
      </c>
      <c r="I18" s="19">
        <v>0.0</v>
      </c>
      <c r="J18" s="16" t="s">
        <v>1567</v>
      </c>
      <c r="K18" s="19">
        <v>0.0</v>
      </c>
      <c r="L18" s="16" t="s">
        <v>1568</v>
      </c>
      <c r="M18" s="19">
        <v>0.0</v>
      </c>
      <c r="N18" s="16" t="s">
        <v>1569</v>
      </c>
      <c r="O18" s="19">
        <v>0.0</v>
      </c>
      <c r="P18" s="16" t="s">
        <v>1570</v>
      </c>
      <c r="Q18" s="19">
        <v>0.0</v>
      </c>
      <c r="R18" s="16" t="s">
        <v>1571</v>
      </c>
      <c r="S18" s="19">
        <v>0.0</v>
      </c>
      <c r="T18" s="16" t="s">
        <v>1572</v>
      </c>
      <c r="U18" s="19">
        <v>1.0</v>
      </c>
      <c r="V18" s="16" t="s">
        <v>1573</v>
      </c>
      <c r="W18" s="19">
        <v>1.0</v>
      </c>
      <c r="X18" s="16" t="s">
        <v>1573</v>
      </c>
      <c r="Y18" s="19">
        <v>0.0</v>
      </c>
      <c r="Z18" s="16" t="s">
        <v>1574</v>
      </c>
      <c r="AA18" s="19">
        <v>0.0</v>
      </c>
      <c r="AB18" s="16" t="s">
        <v>1575</v>
      </c>
      <c r="AC18" s="19">
        <v>0.0</v>
      </c>
      <c r="AD18" s="16" t="s">
        <v>1576</v>
      </c>
      <c r="AE18" s="19">
        <v>0.0</v>
      </c>
      <c r="AF18" s="16" t="s">
        <v>1577</v>
      </c>
      <c r="AG18" s="19">
        <v>0.0</v>
      </c>
      <c r="AH18" s="16" t="s">
        <v>1578</v>
      </c>
      <c r="AI18" s="19">
        <v>0.0</v>
      </c>
    </row>
    <row r="19" ht="15.75" customHeight="1">
      <c r="A19" s="12">
        <v>1919.0</v>
      </c>
      <c r="B19" s="11" t="s">
        <v>32</v>
      </c>
      <c r="C19" s="11" t="str">
        <f t="shared" si="1"/>
        <v>LP 18_BC-0A-LP1_BS VI HSD</v>
      </c>
      <c r="D19" s="11" t="s">
        <v>1579</v>
      </c>
      <c r="E19" s="11" t="s">
        <v>558</v>
      </c>
      <c r="F19" s="11" t="s">
        <v>1580</v>
      </c>
      <c r="G19" s="11" t="s">
        <v>35</v>
      </c>
      <c r="H19" s="16" t="s">
        <v>1581</v>
      </c>
      <c r="I19" s="19">
        <v>0.0</v>
      </c>
      <c r="J19" s="16" t="s">
        <v>1582</v>
      </c>
      <c r="K19" s="19">
        <v>0.0</v>
      </c>
      <c r="L19" s="16" t="s">
        <v>1583</v>
      </c>
      <c r="M19" s="19">
        <v>0.0</v>
      </c>
      <c r="N19" s="16" t="s">
        <v>1584</v>
      </c>
      <c r="O19" s="19">
        <v>0.0</v>
      </c>
      <c r="P19" s="16" t="s">
        <v>1585</v>
      </c>
      <c r="Q19" s="19">
        <v>0.0</v>
      </c>
      <c r="R19" s="16" t="s">
        <v>1586</v>
      </c>
      <c r="S19" s="19">
        <v>0.0</v>
      </c>
      <c r="T19" s="16" t="s">
        <v>1587</v>
      </c>
      <c r="U19" s="19">
        <v>1.0</v>
      </c>
      <c r="V19" s="16" t="s">
        <v>1588</v>
      </c>
      <c r="W19" s="19">
        <v>1.0</v>
      </c>
      <c r="X19" s="16" t="s">
        <v>1588</v>
      </c>
      <c r="Y19" s="19">
        <v>0.0</v>
      </c>
      <c r="Z19" s="16" t="s">
        <v>1589</v>
      </c>
      <c r="AA19" s="19">
        <v>0.0</v>
      </c>
      <c r="AB19" s="16" t="s">
        <v>1590</v>
      </c>
      <c r="AC19" s="19">
        <v>0.0</v>
      </c>
      <c r="AD19" s="16" t="s">
        <v>1591</v>
      </c>
      <c r="AE19" s="19">
        <v>0.0</v>
      </c>
      <c r="AF19" s="16" t="s">
        <v>1592</v>
      </c>
      <c r="AG19" s="19">
        <v>0.0</v>
      </c>
      <c r="AH19" s="16" t="s">
        <v>1593</v>
      </c>
      <c r="AI19" s="19">
        <v>0.0</v>
      </c>
    </row>
    <row r="20" ht="15.75" customHeight="1">
      <c r="A20" s="12">
        <v>1919.0</v>
      </c>
      <c r="B20" s="11" t="s">
        <v>32</v>
      </c>
      <c r="C20" s="11" t="str">
        <f t="shared" si="1"/>
        <v>LP 19_BC-0A-LP2_BS VI HSD</v>
      </c>
      <c r="D20" s="11" t="s">
        <v>1594</v>
      </c>
      <c r="E20" s="11" t="s">
        <v>558</v>
      </c>
      <c r="F20" s="11" t="s">
        <v>1595</v>
      </c>
      <c r="G20" s="11" t="s">
        <v>35</v>
      </c>
      <c r="H20" s="16" t="s">
        <v>1596</v>
      </c>
      <c r="I20" s="19">
        <v>0.0</v>
      </c>
      <c r="J20" s="16" t="s">
        <v>1597</v>
      </c>
      <c r="K20" s="19">
        <v>0.0</v>
      </c>
      <c r="L20" s="16" t="s">
        <v>1598</v>
      </c>
      <c r="M20" s="19">
        <v>0.0</v>
      </c>
      <c r="N20" s="16" t="s">
        <v>1599</v>
      </c>
      <c r="O20" s="19">
        <v>0.0</v>
      </c>
      <c r="P20" s="16" t="s">
        <v>1600</v>
      </c>
      <c r="Q20" s="19">
        <v>0.0</v>
      </c>
      <c r="R20" s="16" t="s">
        <v>1601</v>
      </c>
      <c r="S20" s="19">
        <v>0.0</v>
      </c>
      <c r="T20" s="16" t="s">
        <v>1602</v>
      </c>
      <c r="U20" s="19">
        <v>1.0</v>
      </c>
      <c r="V20" s="16" t="s">
        <v>1603</v>
      </c>
      <c r="W20" s="19">
        <v>1.0</v>
      </c>
      <c r="X20" s="16" t="s">
        <v>1603</v>
      </c>
      <c r="Y20" s="19">
        <v>0.0</v>
      </c>
      <c r="Z20" s="16" t="s">
        <v>1604</v>
      </c>
      <c r="AA20" s="19">
        <v>0.0</v>
      </c>
      <c r="AB20" s="16" t="s">
        <v>1605</v>
      </c>
      <c r="AC20" s="19">
        <v>0.0</v>
      </c>
      <c r="AD20" s="16" t="s">
        <v>1606</v>
      </c>
      <c r="AE20" s="19">
        <v>0.0</v>
      </c>
      <c r="AF20" s="16" t="s">
        <v>1607</v>
      </c>
      <c r="AG20" s="19">
        <v>0.0</v>
      </c>
      <c r="AH20" s="16" t="s">
        <v>1608</v>
      </c>
      <c r="AI20" s="19">
        <v>0.0</v>
      </c>
    </row>
    <row r="21" ht="15.75" customHeight="1">
      <c r="A21" s="12">
        <v>1919.0</v>
      </c>
      <c r="B21" s="11" t="s">
        <v>32</v>
      </c>
      <c r="C21" s="11" t="str">
        <f t="shared" si="1"/>
        <v>LP 20_BC-0B-LP1_HEXANE</v>
      </c>
      <c r="D21" s="11" t="s">
        <v>1609</v>
      </c>
      <c r="E21" s="11" t="s">
        <v>558</v>
      </c>
      <c r="F21" s="11" t="s">
        <v>1610</v>
      </c>
      <c r="G21" s="11" t="s">
        <v>618</v>
      </c>
      <c r="H21" s="16" t="s">
        <v>1611</v>
      </c>
      <c r="I21" s="19">
        <v>0.0</v>
      </c>
      <c r="J21" s="16" t="s">
        <v>1612</v>
      </c>
      <c r="K21" s="19">
        <v>0.0</v>
      </c>
      <c r="L21" s="16" t="s">
        <v>1613</v>
      </c>
      <c r="M21" s="19">
        <v>0.0</v>
      </c>
      <c r="N21" s="16" t="s">
        <v>1614</v>
      </c>
      <c r="O21" s="19">
        <v>0.0</v>
      </c>
      <c r="P21" s="16" t="s">
        <v>1615</v>
      </c>
      <c r="Q21" s="19">
        <v>0.0</v>
      </c>
      <c r="R21" s="16" t="s">
        <v>1616</v>
      </c>
      <c r="S21" s="19">
        <v>0.0</v>
      </c>
      <c r="T21" s="16" t="s">
        <v>1617</v>
      </c>
      <c r="U21" s="19">
        <v>1.0</v>
      </c>
      <c r="V21" s="16" t="s">
        <v>1618</v>
      </c>
      <c r="W21" s="19">
        <v>1.0</v>
      </c>
      <c r="X21" s="16" t="s">
        <v>1618</v>
      </c>
      <c r="Y21" s="19">
        <v>0.0</v>
      </c>
      <c r="Z21" s="16" t="s">
        <v>1619</v>
      </c>
      <c r="AA21" s="19">
        <v>0.0</v>
      </c>
      <c r="AB21" s="16" t="s">
        <v>1620</v>
      </c>
      <c r="AC21" s="19">
        <v>0.0</v>
      </c>
      <c r="AD21" s="16" t="s">
        <v>1621</v>
      </c>
      <c r="AE21" s="19">
        <v>0.0</v>
      </c>
      <c r="AF21" s="16" t="s">
        <v>1622</v>
      </c>
      <c r="AG21" s="19">
        <v>0.0</v>
      </c>
      <c r="AH21" s="16" t="s">
        <v>1623</v>
      </c>
      <c r="AI21" s="19">
        <v>0.0</v>
      </c>
    </row>
    <row r="22" ht="15.75" customHeight="1">
      <c r="A22" s="12">
        <v>1919.0</v>
      </c>
      <c r="B22" s="11" t="s">
        <v>32</v>
      </c>
      <c r="C22" s="11" t="str">
        <f t="shared" si="1"/>
        <v>LP 21_BC-0B-LP2_MTO</v>
      </c>
      <c r="D22" s="11" t="s">
        <v>1624</v>
      </c>
      <c r="E22" s="11" t="s">
        <v>558</v>
      </c>
      <c r="F22" s="11" t="s">
        <v>1625</v>
      </c>
      <c r="G22" s="11" t="s">
        <v>627</v>
      </c>
      <c r="H22" s="16" t="s">
        <v>1626</v>
      </c>
      <c r="I22" s="19">
        <v>0.0</v>
      </c>
      <c r="J22" s="16" t="s">
        <v>1627</v>
      </c>
      <c r="K22" s="19">
        <v>0.0</v>
      </c>
      <c r="L22" s="16" t="s">
        <v>1628</v>
      </c>
      <c r="M22" s="19">
        <v>0.0</v>
      </c>
      <c r="N22" s="16" t="s">
        <v>1629</v>
      </c>
      <c r="O22" s="19">
        <v>0.0</v>
      </c>
      <c r="P22" s="16" t="s">
        <v>1630</v>
      </c>
      <c r="Q22" s="19">
        <v>0.0</v>
      </c>
      <c r="R22" s="16" t="s">
        <v>1631</v>
      </c>
      <c r="S22" s="19">
        <v>0.0</v>
      </c>
      <c r="T22" s="16" t="s">
        <v>1632</v>
      </c>
      <c r="U22" s="19">
        <v>1.0</v>
      </c>
      <c r="V22" s="16" t="s">
        <v>1633</v>
      </c>
      <c r="W22" s="19">
        <v>1.0</v>
      </c>
      <c r="X22" s="16" t="s">
        <v>1633</v>
      </c>
      <c r="Y22" s="19">
        <v>0.0</v>
      </c>
      <c r="Z22" s="16" t="s">
        <v>1634</v>
      </c>
      <c r="AA22" s="19">
        <v>0.0</v>
      </c>
      <c r="AB22" s="16" t="s">
        <v>1635</v>
      </c>
      <c r="AC22" s="19">
        <v>0.0</v>
      </c>
      <c r="AD22" s="16" t="s">
        <v>1636</v>
      </c>
      <c r="AE22" s="19">
        <v>0.0</v>
      </c>
      <c r="AF22" s="16" t="s">
        <v>1637</v>
      </c>
      <c r="AG22" s="19">
        <v>0.0</v>
      </c>
      <c r="AH22" s="16" t="s">
        <v>1638</v>
      </c>
      <c r="AI22" s="19">
        <v>0.0</v>
      </c>
    </row>
    <row r="23" ht="15.75" customHeight="1">
      <c r="A23" s="12">
        <v>1919.0</v>
      </c>
      <c r="B23" s="11" t="s">
        <v>32</v>
      </c>
      <c r="C23" s="11" t="str">
        <f t="shared" si="1"/>
        <v>LP 22_BC-10A_BS VI MS</v>
      </c>
      <c r="D23" s="11" t="s">
        <v>1639</v>
      </c>
      <c r="E23" s="11" t="s">
        <v>558</v>
      </c>
      <c r="F23" s="11" t="s">
        <v>1640</v>
      </c>
      <c r="G23" s="11" t="s">
        <v>99</v>
      </c>
      <c r="H23" s="16" t="s">
        <v>1641</v>
      </c>
      <c r="I23" s="19">
        <v>0.0</v>
      </c>
      <c r="J23" s="16" t="s">
        <v>1642</v>
      </c>
      <c r="K23" s="19">
        <v>0.0</v>
      </c>
      <c r="L23" s="16" t="s">
        <v>1643</v>
      </c>
      <c r="M23" s="19">
        <v>0.0</v>
      </c>
      <c r="N23" s="16" t="s">
        <v>1644</v>
      </c>
      <c r="O23" s="19">
        <v>0.0</v>
      </c>
      <c r="P23" s="16" t="s">
        <v>1645</v>
      </c>
      <c r="Q23" s="19">
        <v>0.0</v>
      </c>
      <c r="R23" s="16" t="s">
        <v>1646</v>
      </c>
      <c r="S23" s="19">
        <v>0.0</v>
      </c>
      <c r="T23" s="16" t="s">
        <v>1647</v>
      </c>
      <c r="U23" s="19">
        <v>1.0</v>
      </c>
      <c r="V23" s="16" t="s">
        <v>1648</v>
      </c>
      <c r="W23" s="19">
        <v>1.0</v>
      </c>
      <c r="X23" s="16" t="s">
        <v>1648</v>
      </c>
      <c r="Y23" s="19">
        <v>0.0</v>
      </c>
      <c r="Z23" s="16" t="s">
        <v>1649</v>
      </c>
      <c r="AA23" s="19">
        <v>0.0</v>
      </c>
      <c r="AB23" s="16" t="s">
        <v>1650</v>
      </c>
      <c r="AC23" s="19">
        <v>0.0</v>
      </c>
      <c r="AD23" s="16" t="s">
        <v>1651</v>
      </c>
      <c r="AE23" s="19">
        <v>0.0</v>
      </c>
      <c r="AF23" s="16" t="s">
        <v>1652</v>
      </c>
      <c r="AG23" s="19">
        <v>0.0</v>
      </c>
      <c r="AH23" s="16" t="s">
        <v>1653</v>
      </c>
      <c r="AI23" s="19">
        <v>0.0</v>
      </c>
    </row>
    <row r="24" ht="15.75" customHeight="1">
      <c r="A24" s="12">
        <v>1919.0</v>
      </c>
      <c r="B24" s="11" t="s">
        <v>32</v>
      </c>
      <c r="C24" s="11" t="str">
        <f t="shared" si="1"/>
        <v>LP 23_BC-10B_BS VI HSD</v>
      </c>
      <c r="D24" s="11" t="s">
        <v>1654</v>
      </c>
      <c r="E24" s="11" t="s">
        <v>558</v>
      </c>
      <c r="F24" s="11" t="s">
        <v>1655</v>
      </c>
      <c r="G24" s="11" t="s">
        <v>35</v>
      </c>
      <c r="H24" s="16" t="s">
        <v>1656</v>
      </c>
      <c r="I24" s="19">
        <v>0.0</v>
      </c>
      <c r="J24" s="16" t="s">
        <v>1657</v>
      </c>
      <c r="K24" s="19">
        <v>0.0</v>
      </c>
      <c r="L24" s="16" t="s">
        <v>1658</v>
      </c>
      <c r="M24" s="19">
        <v>0.0</v>
      </c>
      <c r="N24" s="16" t="s">
        <v>1659</v>
      </c>
      <c r="O24" s="19">
        <v>0.0</v>
      </c>
      <c r="P24" s="16" t="s">
        <v>1660</v>
      </c>
      <c r="Q24" s="19">
        <v>0.0</v>
      </c>
      <c r="R24" s="16" t="s">
        <v>1661</v>
      </c>
      <c r="S24" s="19">
        <v>0.0</v>
      </c>
      <c r="T24" s="16" t="s">
        <v>1662</v>
      </c>
      <c r="U24" s="19">
        <v>1.0</v>
      </c>
      <c r="V24" s="16" t="s">
        <v>1663</v>
      </c>
      <c r="W24" s="19">
        <v>1.0</v>
      </c>
      <c r="X24" s="16" t="s">
        <v>1663</v>
      </c>
      <c r="Y24" s="19">
        <v>0.0</v>
      </c>
      <c r="Z24" s="16" t="s">
        <v>1664</v>
      </c>
      <c r="AA24" s="19">
        <v>0.0</v>
      </c>
      <c r="AB24" s="16" t="s">
        <v>1665</v>
      </c>
      <c r="AC24" s="19">
        <v>0.0</v>
      </c>
      <c r="AD24" s="16" t="s">
        <v>1666</v>
      </c>
      <c r="AE24" s="19">
        <v>0.0</v>
      </c>
      <c r="AF24" s="16" t="s">
        <v>1667</v>
      </c>
      <c r="AG24" s="19">
        <v>0.0</v>
      </c>
      <c r="AH24" s="16" t="s">
        <v>1668</v>
      </c>
      <c r="AI24" s="19">
        <v>0.0</v>
      </c>
    </row>
    <row r="25" ht="15.75" customHeight="1">
      <c r="A25" s="12">
        <v>1919.0</v>
      </c>
      <c r="B25" s="11" t="s">
        <v>32</v>
      </c>
      <c r="C25" s="11" t="str">
        <f t="shared" si="1"/>
        <v>LP 24_BC-11A_ATF</v>
      </c>
      <c r="D25" s="11" t="s">
        <v>1669</v>
      </c>
      <c r="E25" s="11" t="s">
        <v>558</v>
      </c>
      <c r="F25" s="11" t="s">
        <v>1670</v>
      </c>
      <c r="G25" s="11" t="s">
        <v>278</v>
      </c>
      <c r="H25" s="16" t="s">
        <v>1671</v>
      </c>
      <c r="I25" s="19">
        <v>0.0</v>
      </c>
      <c r="J25" s="16" t="s">
        <v>1672</v>
      </c>
      <c r="K25" s="19">
        <v>0.0</v>
      </c>
      <c r="L25" s="16" t="s">
        <v>1673</v>
      </c>
      <c r="M25" s="19">
        <v>0.0</v>
      </c>
      <c r="N25" s="16" t="s">
        <v>1674</v>
      </c>
      <c r="O25" s="19">
        <v>0.0</v>
      </c>
      <c r="P25" s="16" t="s">
        <v>1675</v>
      </c>
      <c r="Q25" s="19">
        <v>0.0</v>
      </c>
      <c r="R25" s="16" t="s">
        <v>1676</v>
      </c>
      <c r="S25" s="19">
        <v>0.0</v>
      </c>
      <c r="T25" s="16" t="s">
        <v>1677</v>
      </c>
      <c r="U25" s="19">
        <v>1.0</v>
      </c>
      <c r="V25" s="16" t="s">
        <v>1678</v>
      </c>
      <c r="W25" s="19">
        <v>1.0</v>
      </c>
      <c r="X25" s="16" t="s">
        <v>1678</v>
      </c>
      <c r="Y25" s="19">
        <v>0.0</v>
      </c>
      <c r="Z25" s="16" t="s">
        <v>1679</v>
      </c>
      <c r="AA25" s="19">
        <v>0.0</v>
      </c>
      <c r="AB25" s="16" t="s">
        <v>1680</v>
      </c>
      <c r="AC25" s="19">
        <v>0.0</v>
      </c>
      <c r="AD25" s="16" t="s">
        <v>1681</v>
      </c>
      <c r="AE25" s="19">
        <v>0.0</v>
      </c>
      <c r="AF25" s="16" t="s">
        <v>1682</v>
      </c>
      <c r="AG25" s="19">
        <v>0.0</v>
      </c>
      <c r="AH25" s="16" t="s">
        <v>1683</v>
      </c>
      <c r="AI25" s="19">
        <v>0.0</v>
      </c>
    </row>
    <row r="26" ht="15.75" customHeight="1">
      <c r="A26" s="12">
        <v>1919.0</v>
      </c>
      <c r="B26" s="11" t="s">
        <v>32</v>
      </c>
      <c r="C26" s="11" t="str">
        <f t="shared" si="1"/>
        <v>LP 25_BC-11B_ATF</v>
      </c>
      <c r="D26" s="11" t="s">
        <v>1684</v>
      </c>
      <c r="E26" s="11" t="s">
        <v>558</v>
      </c>
      <c r="F26" s="11" t="s">
        <v>1685</v>
      </c>
      <c r="G26" s="11" t="s">
        <v>278</v>
      </c>
      <c r="H26" s="16" t="s">
        <v>1686</v>
      </c>
      <c r="I26" s="19">
        <v>0.0</v>
      </c>
      <c r="J26" s="16" t="s">
        <v>1687</v>
      </c>
      <c r="K26" s="19">
        <v>0.0</v>
      </c>
      <c r="L26" s="16" t="s">
        <v>1688</v>
      </c>
      <c r="M26" s="19">
        <v>0.0</v>
      </c>
      <c r="N26" s="16" t="s">
        <v>1689</v>
      </c>
      <c r="O26" s="19">
        <v>0.0</v>
      </c>
      <c r="P26" s="16" t="s">
        <v>1690</v>
      </c>
      <c r="Q26" s="19">
        <v>0.0</v>
      </c>
      <c r="R26" s="16" t="s">
        <v>1691</v>
      </c>
      <c r="S26" s="19">
        <v>0.0</v>
      </c>
      <c r="T26" s="16" t="s">
        <v>1692</v>
      </c>
      <c r="U26" s="19">
        <v>1.0</v>
      </c>
      <c r="V26" s="16" t="s">
        <v>1693</v>
      </c>
      <c r="W26" s="19">
        <v>1.0</v>
      </c>
      <c r="X26" s="16" t="s">
        <v>1693</v>
      </c>
      <c r="Y26" s="19">
        <v>0.0</v>
      </c>
      <c r="Z26" s="16" t="s">
        <v>1694</v>
      </c>
      <c r="AA26" s="19">
        <v>0.0</v>
      </c>
      <c r="AB26" s="16" t="s">
        <v>1695</v>
      </c>
      <c r="AC26" s="19">
        <v>0.0</v>
      </c>
      <c r="AD26" s="16" t="s">
        <v>1696</v>
      </c>
      <c r="AE26" s="19">
        <v>0.0</v>
      </c>
      <c r="AF26" s="16" t="s">
        <v>1697</v>
      </c>
      <c r="AG26" s="19">
        <v>0.0</v>
      </c>
      <c r="AH26" s="16" t="s">
        <v>1698</v>
      </c>
      <c r="AI26" s="19">
        <v>0.0</v>
      </c>
    </row>
    <row r="27" ht="15.75" customHeight="1">
      <c r="A27" s="12">
        <v>1919.0</v>
      </c>
      <c r="B27" s="11" t="s">
        <v>32</v>
      </c>
      <c r="C27" s="11" t="str">
        <f t="shared" si="1"/>
        <v>LP 26_BC-12A_ATF</v>
      </c>
      <c r="D27" s="11" t="s">
        <v>1699</v>
      </c>
      <c r="E27" s="11" t="s">
        <v>558</v>
      </c>
      <c r="F27" s="11" t="s">
        <v>1700</v>
      </c>
      <c r="G27" s="11" t="s">
        <v>278</v>
      </c>
      <c r="H27" s="16" t="s">
        <v>1701</v>
      </c>
      <c r="I27" s="19">
        <v>0.0</v>
      </c>
      <c r="J27" s="16" t="s">
        <v>1702</v>
      </c>
      <c r="K27" s="19">
        <v>0.0</v>
      </c>
      <c r="L27" s="16" t="s">
        <v>1703</v>
      </c>
      <c r="M27" s="19">
        <v>0.0</v>
      </c>
      <c r="N27" s="16" t="s">
        <v>1704</v>
      </c>
      <c r="O27" s="19">
        <v>0.0</v>
      </c>
      <c r="P27" s="16" t="s">
        <v>1705</v>
      </c>
      <c r="Q27" s="19">
        <v>0.0</v>
      </c>
      <c r="R27" s="16" t="s">
        <v>1706</v>
      </c>
      <c r="S27" s="19">
        <v>0.0</v>
      </c>
      <c r="T27" s="16" t="s">
        <v>1707</v>
      </c>
      <c r="U27" s="19">
        <v>1.0</v>
      </c>
      <c r="V27" s="16" t="s">
        <v>1708</v>
      </c>
      <c r="W27" s="19">
        <v>1.0</v>
      </c>
      <c r="X27" s="16" t="s">
        <v>1708</v>
      </c>
      <c r="Y27" s="19">
        <v>0.0</v>
      </c>
      <c r="Z27" s="16" t="s">
        <v>1709</v>
      </c>
      <c r="AA27" s="19">
        <v>0.0</v>
      </c>
      <c r="AB27" s="16" t="s">
        <v>1710</v>
      </c>
      <c r="AC27" s="19">
        <v>0.0</v>
      </c>
      <c r="AD27" s="16" t="s">
        <v>1711</v>
      </c>
      <c r="AE27" s="19">
        <v>0.0</v>
      </c>
      <c r="AF27" s="16" t="s">
        <v>1712</v>
      </c>
      <c r="AG27" s="19">
        <v>0.0</v>
      </c>
      <c r="AH27" s="16" t="s">
        <v>1713</v>
      </c>
      <c r="AI27" s="19">
        <v>0.0</v>
      </c>
    </row>
    <row r="28" ht="15.75" customHeight="1">
      <c r="A28" s="12">
        <v>1919.0</v>
      </c>
      <c r="B28" s="11" t="s">
        <v>32</v>
      </c>
      <c r="C28" s="11" t="str">
        <f t="shared" si="1"/>
        <v>LP 27_BC-12B_ATF</v>
      </c>
      <c r="D28" s="11" t="s">
        <v>1714</v>
      </c>
      <c r="E28" s="11" t="s">
        <v>558</v>
      </c>
      <c r="F28" s="11" t="s">
        <v>1715</v>
      </c>
      <c r="G28" s="11" t="s">
        <v>278</v>
      </c>
      <c r="H28" s="16" t="s">
        <v>1716</v>
      </c>
      <c r="I28" s="19">
        <v>0.0</v>
      </c>
      <c r="J28" s="16" t="s">
        <v>1717</v>
      </c>
      <c r="K28" s="19">
        <v>0.0</v>
      </c>
      <c r="L28" s="16" t="s">
        <v>1718</v>
      </c>
      <c r="M28" s="19">
        <v>0.0</v>
      </c>
      <c r="N28" s="16" t="s">
        <v>1719</v>
      </c>
      <c r="O28" s="19">
        <v>0.0</v>
      </c>
      <c r="P28" s="16" t="s">
        <v>1720</v>
      </c>
      <c r="Q28" s="19">
        <v>0.0</v>
      </c>
      <c r="R28" s="16" t="s">
        <v>1721</v>
      </c>
      <c r="S28" s="19">
        <v>0.0</v>
      </c>
      <c r="T28" s="16" t="s">
        <v>1722</v>
      </c>
      <c r="U28" s="19">
        <v>1.0</v>
      </c>
      <c r="V28" s="16" t="s">
        <v>1723</v>
      </c>
      <c r="W28" s="19">
        <v>1.0</v>
      </c>
      <c r="X28" s="16" t="s">
        <v>1723</v>
      </c>
      <c r="Y28" s="19">
        <v>0.0</v>
      </c>
      <c r="Z28" s="16" t="s">
        <v>1724</v>
      </c>
      <c r="AA28" s="19">
        <v>0.0</v>
      </c>
      <c r="AB28" s="16" t="s">
        <v>1725</v>
      </c>
      <c r="AC28" s="19">
        <v>0.0</v>
      </c>
      <c r="AD28" s="16" t="s">
        <v>1726</v>
      </c>
      <c r="AE28" s="19">
        <v>0.0</v>
      </c>
      <c r="AF28" s="16" t="s">
        <v>1727</v>
      </c>
      <c r="AG28" s="19">
        <v>0.0</v>
      </c>
      <c r="AH28" s="16" t="s">
        <v>1728</v>
      </c>
      <c r="AI28" s="19">
        <v>0.0</v>
      </c>
    </row>
    <row r="29" ht="15.75" customHeight="1">
      <c r="A29" s="12">
        <v>1919.0</v>
      </c>
      <c r="B29" s="11" t="s">
        <v>32</v>
      </c>
      <c r="C29" s="11" t="str">
        <f t="shared" si="1"/>
        <v>LP 28_BC-13A_BS VI MS</v>
      </c>
      <c r="D29" s="11" t="s">
        <v>1729</v>
      </c>
      <c r="E29" s="11" t="s">
        <v>558</v>
      </c>
      <c r="F29" s="11" t="s">
        <v>1730</v>
      </c>
      <c r="G29" s="11" t="s">
        <v>99</v>
      </c>
      <c r="H29" s="16" t="s">
        <v>1731</v>
      </c>
      <c r="I29" s="19">
        <v>0.0</v>
      </c>
      <c r="J29" s="16" t="s">
        <v>1732</v>
      </c>
      <c r="K29" s="19">
        <v>0.0</v>
      </c>
      <c r="L29" s="16" t="s">
        <v>1733</v>
      </c>
      <c r="M29" s="19">
        <v>0.0</v>
      </c>
      <c r="N29" s="16" t="s">
        <v>1734</v>
      </c>
      <c r="O29" s="19">
        <v>0.0</v>
      </c>
      <c r="P29" s="16" t="s">
        <v>1735</v>
      </c>
      <c r="Q29" s="19">
        <v>0.0</v>
      </c>
      <c r="R29" s="16" t="s">
        <v>1736</v>
      </c>
      <c r="S29" s="19">
        <v>0.0</v>
      </c>
      <c r="T29" s="16" t="s">
        <v>1737</v>
      </c>
      <c r="U29" s="19">
        <v>1.0</v>
      </c>
      <c r="V29" s="16" t="s">
        <v>1738</v>
      </c>
      <c r="W29" s="19">
        <v>1.0</v>
      </c>
      <c r="X29" s="16" t="s">
        <v>1738</v>
      </c>
      <c r="Y29" s="19">
        <v>0.0</v>
      </c>
      <c r="Z29" s="16" t="s">
        <v>1739</v>
      </c>
      <c r="AA29" s="19">
        <v>0.0</v>
      </c>
      <c r="AB29" s="16" t="s">
        <v>1740</v>
      </c>
      <c r="AC29" s="19">
        <v>0.0</v>
      </c>
      <c r="AD29" s="16" t="s">
        <v>1741</v>
      </c>
      <c r="AE29" s="19">
        <v>0.0</v>
      </c>
      <c r="AF29" s="16" t="s">
        <v>1742</v>
      </c>
      <c r="AG29" s="19">
        <v>0.0</v>
      </c>
      <c r="AH29" s="16" t="s">
        <v>1743</v>
      </c>
      <c r="AI29" s="19">
        <v>0.0</v>
      </c>
    </row>
    <row r="30" ht="15.75" customHeight="1">
      <c r="A30" s="12">
        <v>1919.0</v>
      </c>
      <c r="B30" s="11" t="s">
        <v>32</v>
      </c>
      <c r="C30" s="11" t="str">
        <f t="shared" si="1"/>
        <v>LP 29_BC-13B_BS VI HSD</v>
      </c>
      <c r="D30" s="11" t="s">
        <v>1744</v>
      </c>
      <c r="E30" s="11" t="s">
        <v>558</v>
      </c>
      <c r="F30" s="11" t="s">
        <v>1745</v>
      </c>
      <c r="G30" s="11" t="s">
        <v>35</v>
      </c>
      <c r="H30" s="16" t="s">
        <v>1746</v>
      </c>
      <c r="I30" s="19">
        <v>0.0</v>
      </c>
      <c r="J30" s="16" t="s">
        <v>1747</v>
      </c>
      <c r="K30" s="19">
        <v>0.0</v>
      </c>
      <c r="L30" s="16" t="s">
        <v>1748</v>
      </c>
      <c r="M30" s="19">
        <v>0.0</v>
      </c>
      <c r="N30" s="16" t="s">
        <v>1749</v>
      </c>
      <c r="O30" s="19">
        <v>0.0</v>
      </c>
      <c r="P30" s="16" t="s">
        <v>1750</v>
      </c>
      <c r="Q30" s="19">
        <v>0.0</v>
      </c>
      <c r="R30" s="16" t="s">
        <v>1751</v>
      </c>
      <c r="S30" s="19">
        <v>0.0</v>
      </c>
      <c r="T30" s="16" t="s">
        <v>1752</v>
      </c>
      <c r="U30" s="19">
        <v>1.0</v>
      </c>
      <c r="V30" s="16" t="s">
        <v>1753</v>
      </c>
      <c r="W30" s="19">
        <v>1.0</v>
      </c>
      <c r="X30" s="16" t="s">
        <v>1753</v>
      </c>
      <c r="Y30" s="19">
        <v>0.0</v>
      </c>
      <c r="Z30" s="16" t="s">
        <v>1754</v>
      </c>
      <c r="AA30" s="19">
        <v>0.0</v>
      </c>
      <c r="AB30" s="16" t="s">
        <v>1755</v>
      </c>
      <c r="AC30" s="19">
        <v>0.0</v>
      </c>
      <c r="AD30" s="16" t="s">
        <v>1756</v>
      </c>
      <c r="AE30" s="19">
        <v>0.0</v>
      </c>
      <c r="AF30" s="44" t="s">
        <v>1757</v>
      </c>
      <c r="AG30" s="19">
        <v>0.0</v>
      </c>
      <c r="AH30" s="16" t="s">
        <v>1758</v>
      </c>
      <c r="AI30" s="19">
        <v>0.0</v>
      </c>
    </row>
    <row r="31" ht="15.75" customHeight="1">
      <c r="A31" s="12">
        <v>1919.0</v>
      </c>
      <c r="B31" s="11" t="s">
        <v>32</v>
      </c>
      <c r="C31" s="11" t="str">
        <f t="shared" si="1"/>
        <v>LP 30_BC-14A_BS VI MS</v>
      </c>
      <c r="D31" s="11" t="s">
        <v>1759</v>
      </c>
      <c r="E31" s="11" t="s">
        <v>558</v>
      </c>
      <c r="F31" s="11" t="s">
        <v>1760</v>
      </c>
      <c r="G31" s="11" t="s">
        <v>99</v>
      </c>
      <c r="H31" s="16" t="s">
        <v>1761</v>
      </c>
      <c r="I31" s="19">
        <v>0.0</v>
      </c>
      <c r="J31" s="16" t="s">
        <v>1762</v>
      </c>
      <c r="K31" s="19">
        <v>0.0</v>
      </c>
      <c r="L31" s="16" t="s">
        <v>1763</v>
      </c>
      <c r="M31" s="19">
        <v>0.0</v>
      </c>
      <c r="N31" s="16" t="s">
        <v>1764</v>
      </c>
      <c r="O31" s="19">
        <v>0.0</v>
      </c>
      <c r="P31" s="16" t="s">
        <v>1765</v>
      </c>
      <c r="Q31" s="19">
        <v>0.0</v>
      </c>
      <c r="R31" s="16" t="s">
        <v>1766</v>
      </c>
      <c r="S31" s="19">
        <v>0.0</v>
      </c>
      <c r="T31" s="16" t="s">
        <v>1767</v>
      </c>
      <c r="U31" s="19">
        <v>1.0</v>
      </c>
      <c r="V31" s="16" t="s">
        <v>1768</v>
      </c>
      <c r="W31" s="19">
        <v>1.0</v>
      </c>
      <c r="X31" s="16" t="s">
        <v>1768</v>
      </c>
      <c r="Y31" s="19">
        <v>0.0</v>
      </c>
      <c r="Z31" s="16" t="s">
        <v>1769</v>
      </c>
      <c r="AA31" s="19">
        <v>0.0</v>
      </c>
      <c r="AB31" s="16" t="s">
        <v>1770</v>
      </c>
      <c r="AC31" s="19">
        <v>0.0</v>
      </c>
      <c r="AD31" s="16" t="s">
        <v>1771</v>
      </c>
      <c r="AE31" s="19">
        <v>0.0</v>
      </c>
      <c r="AF31" s="44" t="s">
        <v>1772</v>
      </c>
      <c r="AG31" s="19">
        <v>0.0</v>
      </c>
      <c r="AH31" s="16" t="s">
        <v>1773</v>
      </c>
      <c r="AI31" s="19">
        <v>0.0</v>
      </c>
    </row>
    <row r="32" ht="15.75" customHeight="1">
      <c r="A32" s="12">
        <v>1919.0</v>
      </c>
      <c r="B32" s="11" t="s">
        <v>32</v>
      </c>
      <c r="C32" s="11" t="str">
        <f t="shared" si="1"/>
        <v>LP 31_BC-14B_BS VI HSD</v>
      </c>
      <c r="D32" s="11" t="s">
        <v>1774</v>
      </c>
      <c r="E32" s="11" t="s">
        <v>558</v>
      </c>
      <c r="F32" s="11" t="s">
        <v>1775</v>
      </c>
      <c r="G32" s="11" t="s">
        <v>35</v>
      </c>
      <c r="H32" s="16" t="s">
        <v>1776</v>
      </c>
      <c r="I32" s="19">
        <v>0.0</v>
      </c>
      <c r="J32" s="16" t="s">
        <v>1777</v>
      </c>
      <c r="K32" s="19">
        <v>0.0</v>
      </c>
      <c r="L32" s="16" t="s">
        <v>1778</v>
      </c>
      <c r="M32" s="19">
        <v>0.0</v>
      </c>
      <c r="N32" s="16" t="s">
        <v>1779</v>
      </c>
      <c r="O32" s="19">
        <v>0.0</v>
      </c>
      <c r="P32" s="16" t="s">
        <v>1780</v>
      </c>
      <c r="Q32" s="19">
        <v>0.0</v>
      </c>
      <c r="R32" s="16" t="s">
        <v>1781</v>
      </c>
      <c r="S32" s="19">
        <v>0.0</v>
      </c>
      <c r="T32" s="16" t="s">
        <v>1782</v>
      </c>
      <c r="U32" s="19">
        <v>1.0</v>
      </c>
      <c r="V32" s="16" t="s">
        <v>1783</v>
      </c>
      <c r="W32" s="19">
        <v>1.0</v>
      </c>
      <c r="X32" s="16" t="s">
        <v>1783</v>
      </c>
      <c r="Y32" s="19">
        <v>0.0</v>
      </c>
      <c r="Z32" s="16" t="s">
        <v>1784</v>
      </c>
      <c r="AA32" s="19">
        <v>0.0</v>
      </c>
      <c r="AB32" s="16" t="s">
        <v>1785</v>
      </c>
      <c r="AC32" s="19">
        <v>0.0</v>
      </c>
      <c r="AD32" s="16" t="s">
        <v>1786</v>
      </c>
      <c r="AE32" s="19">
        <v>0.0</v>
      </c>
      <c r="AF32" s="44" t="s">
        <v>1787</v>
      </c>
      <c r="AG32" s="19">
        <v>0.0</v>
      </c>
      <c r="AH32" s="16" t="s">
        <v>1788</v>
      </c>
      <c r="AI32" s="19">
        <v>0.0</v>
      </c>
    </row>
    <row r="33" ht="15.75" customHeight="1">
      <c r="A33" s="12">
        <v>1919.0</v>
      </c>
      <c r="B33" s="11" t="s">
        <v>32</v>
      </c>
      <c r="C33" s="11" t="str">
        <f t="shared" si="1"/>
        <v>LP 32_BC-15A_BS VI MS</v>
      </c>
      <c r="D33" s="11" t="s">
        <v>1789</v>
      </c>
      <c r="E33" s="11" t="s">
        <v>558</v>
      </c>
      <c r="F33" s="11" t="s">
        <v>1790</v>
      </c>
      <c r="G33" s="11" t="s">
        <v>99</v>
      </c>
      <c r="H33" s="16" t="s">
        <v>1791</v>
      </c>
      <c r="I33" s="19">
        <v>0.0</v>
      </c>
      <c r="J33" s="16" t="s">
        <v>1792</v>
      </c>
      <c r="K33" s="19">
        <v>0.0</v>
      </c>
      <c r="L33" s="16" t="s">
        <v>1793</v>
      </c>
      <c r="M33" s="19">
        <v>0.0</v>
      </c>
      <c r="N33" s="16" t="s">
        <v>1794</v>
      </c>
      <c r="O33" s="19">
        <v>0.0</v>
      </c>
      <c r="P33" s="16" t="s">
        <v>1795</v>
      </c>
      <c r="Q33" s="19">
        <v>0.0</v>
      </c>
      <c r="R33" s="16" t="s">
        <v>1796</v>
      </c>
      <c r="S33" s="19">
        <v>0.0</v>
      </c>
      <c r="T33" s="16" t="s">
        <v>1797</v>
      </c>
      <c r="U33" s="19">
        <v>1.0</v>
      </c>
      <c r="V33" s="16" t="s">
        <v>1798</v>
      </c>
      <c r="W33" s="19">
        <v>1.0</v>
      </c>
      <c r="X33" s="16" t="s">
        <v>1798</v>
      </c>
      <c r="Y33" s="19">
        <v>0.0</v>
      </c>
      <c r="Z33" s="16" t="s">
        <v>1799</v>
      </c>
      <c r="AA33" s="19">
        <v>0.0</v>
      </c>
      <c r="AB33" s="16" t="s">
        <v>1800</v>
      </c>
      <c r="AC33" s="19">
        <v>0.0</v>
      </c>
      <c r="AD33" s="16" t="s">
        <v>1801</v>
      </c>
      <c r="AE33" s="19">
        <v>0.0</v>
      </c>
      <c r="AF33" s="44" t="s">
        <v>1802</v>
      </c>
      <c r="AG33" s="19">
        <v>0.0</v>
      </c>
      <c r="AH33" s="16" t="s">
        <v>1803</v>
      </c>
      <c r="AI33" s="19">
        <v>0.0</v>
      </c>
    </row>
    <row r="34" ht="15.75" customHeight="1">
      <c r="A34" s="12">
        <v>1919.0</v>
      </c>
      <c r="B34" s="11" t="s">
        <v>32</v>
      </c>
      <c r="C34" s="11" t="str">
        <f t="shared" si="1"/>
        <v>LP 33_BC-15B_BS VI HSD</v>
      </c>
      <c r="D34" s="11" t="s">
        <v>1804</v>
      </c>
      <c r="E34" s="11" t="s">
        <v>558</v>
      </c>
      <c r="F34" s="11" t="s">
        <v>1805</v>
      </c>
      <c r="G34" s="11" t="s">
        <v>35</v>
      </c>
      <c r="H34" s="16" t="s">
        <v>1806</v>
      </c>
      <c r="I34" s="19">
        <v>0.0</v>
      </c>
      <c r="J34" s="16" t="s">
        <v>1807</v>
      </c>
      <c r="K34" s="19">
        <v>0.0</v>
      </c>
      <c r="L34" s="16" t="s">
        <v>1808</v>
      </c>
      <c r="M34" s="19">
        <v>0.0</v>
      </c>
      <c r="N34" s="16" t="s">
        <v>1809</v>
      </c>
      <c r="O34" s="19">
        <v>0.0</v>
      </c>
      <c r="P34" s="16" t="s">
        <v>1810</v>
      </c>
      <c r="Q34" s="19">
        <v>0.0</v>
      </c>
      <c r="R34" s="16" t="s">
        <v>1811</v>
      </c>
      <c r="S34" s="19">
        <v>0.0</v>
      </c>
      <c r="T34" s="16" t="s">
        <v>1812</v>
      </c>
      <c r="U34" s="19">
        <v>1.0</v>
      </c>
      <c r="V34" s="16" t="s">
        <v>1813</v>
      </c>
      <c r="W34" s="19">
        <v>1.0</v>
      </c>
      <c r="X34" s="16" t="s">
        <v>1813</v>
      </c>
      <c r="Y34" s="19">
        <v>0.0</v>
      </c>
      <c r="Z34" s="16" t="s">
        <v>1814</v>
      </c>
      <c r="AA34" s="19">
        <v>0.0</v>
      </c>
      <c r="AB34" s="16" t="s">
        <v>1815</v>
      </c>
      <c r="AC34" s="19">
        <v>0.0</v>
      </c>
      <c r="AD34" s="16" t="s">
        <v>1816</v>
      </c>
      <c r="AE34" s="19">
        <v>0.0</v>
      </c>
      <c r="AF34" s="44" t="s">
        <v>1817</v>
      </c>
      <c r="AG34" s="19">
        <v>0.0</v>
      </c>
      <c r="AH34" s="16" t="s">
        <v>1818</v>
      </c>
      <c r="AI34" s="19">
        <v>0.0</v>
      </c>
    </row>
    <row r="35" ht="15.75" customHeight="1">
      <c r="A35" s="12">
        <v>1919.0</v>
      </c>
      <c r="B35" s="11" t="s">
        <v>32</v>
      </c>
      <c r="C35" s="11" t="str">
        <f t="shared" si="1"/>
        <v>LP 34_BC-8A-LP1_BS VI HSD</v>
      </c>
      <c r="D35" s="11" t="s">
        <v>1819</v>
      </c>
      <c r="E35" s="11" t="s">
        <v>558</v>
      </c>
      <c r="F35" s="11" t="s">
        <v>1820</v>
      </c>
      <c r="G35" s="11" t="s">
        <v>35</v>
      </c>
      <c r="H35" s="16" t="s">
        <v>1821</v>
      </c>
      <c r="I35" s="19">
        <v>0.0</v>
      </c>
      <c r="J35" s="16" t="s">
        <v>1822</v>
      </c>
      <c r="K35" s="19">
        <v>0.0</v>
      </c>
      <c r="L35" s="16" t="s">
        <v>1823</v>
      </c>
      <c r="M35" s="19">
        <v>0.0</v>
      </c>
      <c r="N35" s="16" t="s">
        <v>1824</v>
      </c>
      <c r="O35" s="19">
        <v>0.0</v>
      </c>
      <c r="P35" s="16" t="s">
        <v>1825</v>
      </c>
      <c r="Q35" s="19">
        <v>0.0</v>
      </c>
      <c r="R35" s="16" t="s">
        <v>1826</v>
      </c>
      <c r="S35" s="19">
        <v>0.0</v>
      </c>
      <c r="T35" s="16" t="s">
        <v>1827</v>
      </c>
      <c r="U35" s="19">
        <v>1.0</v>
      </c>
      <c r="V35" s="16" t="s">
        <v>1828</v>
      </c>
      <c r="W35" s="19">
        <v>1.0</v>
      </c>
      <c r="X35" s="16" t="s">
        <v>1828</v>
      </c>
      <c r="Y35" s="19">
        <v>0.0</v>
      </c>
      <c r="Z35" s="16" t="s">
        <v>1829</v>
      </c>
      <c r="AA35" s="19">
        <v>0.0</v>
      </c>
      <c r="AB35" s="16" t="s">
        <v>1830</v>
      </c>
      <c r="AC35" s="19">
        <v>0.0</v>
      </c>
      <c r="AD35" s="16" t="s">
        <v>1831</v>
      </c>
      <c r="AE35" s="19">
        <v>0.0</v>
      </c>
      <c r="AF35" s="44" t="s">
        <v>1832</v>
      </c>
      <c r="AG35" s="19">
        <v>0.0</v>
      </c>
      <c r="AH35" s="16" t="s">
        <v>1833</v>
      </c>
      <c r="AI35" s="19">
        <v>0.0</v>
      </c>
    </row>
    <row r="36" ht="15.75" customHeight="1">
      <c r="A36" s="12">
        <v>1919.0</v>
      </c>
      <c r="B36" s="11" t="s">
        <v>32</v>
      </c>
      <c r="C36" s="11" t="str">
        <f t="shared" si="1"/>
        <v>LP 35_BC-8A-LP2_BS VI HSD</v>
      </c>
      <c r="D36" s="11" t="s">
        <v>1834</v>
      </c>
      <c r="E36" s="11" t="s">
        <v>558</v>
      </c>
      <c r="F36" s="11" t="s">
        <v>1835</v>
      </c>
      <c r="G36" s="11" t="s">
        <v>35</v>
      </c>
      <c r="H36" s="16" t="s">
        <v>1836</v>
      </c>
      <c r="I36" s="19">
        <v>0.0</v>
      </c>
      <c r="J36" s="16" t="s">
        <v>1837</v>
      </c>
      <c r="K36" s="19">
        <v>0.0</v>
      </c>
      <c r="L36" s="16" t="s">
        <v>1838</v>
      </c>
      <c r="M36" s="19">
        <v>0.0</v>
      </c>
      <c r="N36" s="16" t="s">
        <v>1839</v>
      </c>
      <c r="O36" s="19">
        <v>0.0</v>
      </c>
      <c r="P36" s="16" t="s">
        <v>1840</v>
      </c>
      <c r="Q36" s="19">
        <v>0.0</v>
      </c>
      <c r="R36" s="16" t="s">
        <v>1841</v>
      </c>
      <c r="S36" s="19">
        <v>0.0</v>
      </c>
      <c r="T36" s="16" t="s">
        <v>1842</v>
      </c>
      <c r="U36" s="19">
        <v>1.0</v>
      </c>
      <c r="V36" s="16" t="s">
        <v>1843</v>
      </c>
      <c r="W36" s="19">
        <v>1.0</v>
      </c>
      <c r="X36" s="16" t="s">
        <v>1843</v>
      </c>
      <c r="Y36" s="19">
        <v>0.0</v>
      </c>
      <c r="Z36" s="16" t="s">
        <v>1844</v>
      </c>
      <c r="AA36" s="19">
        <v>0.0</v>
      </c>
      <c r="AB36" s="16" t="s">
        <v>1845</v>
      </c>
      <c r="AC36" s="19">
        <v>0.0</v>
      </c>
      <c r="AD36" s="16" t="s">
        <v>1846</v>
      </c>
      <c r="AE36" s="19">
        <v>0.0</v>
      </c>
      <c r="AF36" s="44" t="s">
        <v>1847</v>
      </c>
      <c r="AG36" s="19">
        <v>0.0</v>
      </c>
      <c r="AH36" s="16" t="s">
        <v>1848</v>
      </c>
      <c r="AI36" s="19">
        <v>0.0</v>
      </c>
    </row>
    <row r="37" ht="15.75" customHeight="1">
      <c r="A37" s="12">
        <v>1919.0</v>
      </c>
      <c r="B37" s="11" t="s">
        <v>32</v>
      </c>
      <c r="C37" s="11" t="str">
        <f t="shared" si="1"/>
        <v>LP 36_BC-8B-LP1_SKO</v>
      </c>
      <c r="D37" s="11" t="s">
        <v>1849</v>
      </c>
      <c r="E37" s="11" t="s">
        <v>558</v>
      </c>
      <c r="F37" s="11" t="s">
        <v>1850</v>
      </c>
      <c r="G37" s="11" t="s">
        <v>173</v>
      </c>
      <c r="H37" s="16" t="s">
        <v>1851</v>
      </c>
      <c r="I37" s="19">
        <v>0.0</v>
      </c>
      <c r="J37" s="16" t="s">
        <v>1852</v>
      </c>
      <c r="K37" s="19">
        <v>0.0</v>
      </c>
      <c r="L37" s="16" t="s">
        <v>1853</v>
      </c>
      <c r="M37" s="19">
        <v>0.0</v>
      </c>
      <c r="N37" s="16" t="s">
        <v>1854</v>
      </c>
      <c r="O37" s="19">
        <v>0.0</v>
      </c>
      <c r="P37" s="16" t="s">
        <v>1855</v>
      </c>
      <c r="Q37" s="19">
        <v>0.0</v>
      </c>
      <c r="R37" s="16" t="s">
        <v>1856</v>
      </c>
      <c r="S37" s="19">
        <v>0.0</v>
      </c>
      <c r="T37" s="16" t="s">
        <v>1857</v>
      </c>
      <c r="U37" s="19">
        <v>1.0</v>
      </c>
      <c r="V37" s="16" t="s">
        <v>1858</v>
      </c>
      <c r="W37" s="19">
        <v>1.0</v>
      </c>
      <c r="X37" s="16" t="s">
        <v>1858</v>
      </c>
      <c r="Y37" s="19">
        <v>0.0</v>
      </c>
      <c r="Z37" s="16" t="s">
        <v>1859</v>
      </c>
      <c r="AA37" s="19">
        <v>0.0</v>
      </c>
      <c r="AB37" s="16" t="s">
        <v>1860</v>
      </c>
      <c r="AC37" s="19">
        <v>0.0</v>
      </c>
      <c r="AD37" s="16" t="s">
        <v>1861</v>
      </c>
      <c r="AE37" s="19">
        <v>0.0</v>
      </c>
      <c r="AF37" s="44" t="s">
        <v>1862</v>
      </c>
      <c r="AG37" s="19">
        <v>0.0</v>
      </c>
      <c r="AH37" s="16" t="s">
        <v>1863</v>
      </c>
      <c r="AI37" s="19">
        <v>0.0</v>
      </c>
    </row>
    <row r="38" ht="15.75" customHeight="1">
      <c r="A38" s="12">
        <v>1919.0</v>
      </c>
      <c r="B38" s="11" t="s">
        <v>32</v>
      </c>
      <c r="C38" s="11" t="str">
        <f t="shared" si="1"/>
        <v>LP 37_BC-8B-LP2_SKO</v>
      </c>
      <c r="D38" s="11" t="s">
        <v>1864</v>
      </c>
      <c r="E38" s="11" t="s">
        <v>558</v>
      </c>
      <c r="F38" s="11" t="s">
        <v>1865</v>
      </c>
      <c r="G38" s="11" t="s">
        <v>173</v>
      </c>
      <c r="H38" s="16" t="s">
        <v>1866</v>
      </c>
      <c r="I38" s="19">
        <v>0.0</v>
      </c>
      <c r="J38" s="16" t="s">
        <v>1867</v>
      </c>
      <c r="K38" s="19">
        <v>0.0</v>
      </c>
      <c r="L38" s="16" t="s">
        <v>1868</v>
      </c>
      <c r="M38" s="19">
        <v>0.0</v>
      </c>
      <c r="N38" s="16" t="s">
        <v>1869</v>
      </c>
      <c r="O38" s="19">
        <v>0.0</v>
      </c>
      <c r="P38" s="16" t="s">
        <v>1870</v>
      </c>
      <c r="Q38" s="19">
        <v>0.0</v>
      </c>
      <c r="R38" s="16" t="s">
        <v>1871</v>
      </c>
      <c r="S38" s="19">
        <v>0.0</v>
      </c>
      <c r="T38" s="16" t="s">
        <v>1872</v>
      </c>
      <c r="U38" s="19">
        <v>1.0</v>
      </c>
      <c r="V38" s="16" t="s">
        <v>1873</v>
      </c>
      <c r="W38" s="19">
        <v>1.0</v>
      </c>
      <c r="X38" s="16" t="s">
        <v>1873</v>
      </c>
      <c r="Y38" s="19">
        <v>0.0</v>
      </c>
      <c r="Z38" s="16" t="s">
        <v>1874</v>
      </c>
      <c r="AA38" s="19">
        <v>0.0</v>
      </c>
      <c r="AB38" s="16" t="s">
        <v>1875</v>
      </c>
      <c r="AC38" s="19">
        <v>0.0</v>
      </c>
      <c r="AD38" s="16" t="s">
        <v>1876</v>
      </c>
      <c r="AE38" s="19">
        <v>0.0</v>
      </c>
      <c r="AF38" s="44" t="s">
        <v>1877</v>
      </c>
      <c r="AG38" s="19">
        <v>0.0</v>
      </c>
      <c r="AH38" s="16" t="s">
        <v>1878</v>
      </c>
      <c r="AI38" s="19">
        <v>0.0</v>
      </c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75"/>
    <col customWidth="1" min="3" max="3" width="28.25"/>
    <col customWidth="1" min="4" max="4" width="35.63"/>
    <col customWidth="1" min="5" max="5" width="19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1879</v>
      </c>
      <c r="D1" s="1" t="s">
        <v>1880</v>
      </c>
      <c r="E1" s="1" t="s">
        <v>1881</v>
      </c>
    </row>
    <row r="2" ht="15.75" customHeight="1">
      <c r="A2" s="12">
        <v>1919.0</v>
      </c>
      <c r="B2" s="11" t="s">
        <v>32</v>
      </c>
      <c r="C2" s="11" t="s">
        <v>1882</v>
      </c>
      <c r="D2" s="20" t="s">
        <v>1883</v>
      </c>
      <c r="E2" s="19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4.63"/>
    <col customWidth="1" min="4" max="5" width="36.5"/>
    <col customWidth="1" min="6" max="7" width="29.25"/>
    <col customWidth="1" min="8" max="9" width="32.25"/>
    <col customWidth="1" min="10" max="11" width="33.88"/>
    <col customWidth="1" min="12" max="13" width="33.0"/>
    <col customWidth="1" min="14" max="15" width="32.88"/>
    <col customWidth="1" min="16" max="17" width="27.75"/>
    <col customWidth="1" min="18" max="19" width="38.63"/>
    <col customWidth="1" min="20" max="21" width="26.63"/>
    <col customWidth="1" min="22" max="23" width="30.88"/>
    <col customWidth="1" min="24" max="25" width="32.0"/>
    <col customWidth="1" min="26" max="26" width="41.88"/>
    <col customWidth="1" min="27" max="27" width="35.13"/>
  </cols>
  <sheetData>
    <row r="1" ht="15.75" customHeight="1">
      <c r="A1" s="1" t="s">
        <v>0</v>
      </c>
      <c r="B1" s="1" t="s">
        <v>1</v>
      </c>
      <c r="C1" s="45" t="s">
        <v>1884</v>
      </c>
      <c r="D1" s="45" t="s">
        <v>1885</v>
      </c>
      <c r="E1" s="45" t="s">
        <v>1886</v>
      </c>
      <c r="F1" s="45" t="s">
        <v>1887</v>
      </c>
      <c r="G1" s="45" t="s">
        <v>1888</v>
      </c>
      <c r="H1" s="45" t="s">
        <v>1889</v>
      </c>
      <c r="I1" s="45" t="s">
        <v>1889</v>
      </c>
      <c r="J1" s="45" t="s">
        <v>1890</v>
      </c>
      <c r="K1" s="45" t="s">
        <v>1891</v>
      </c>
      <c r="L1" s="45" t="s">
        <v>1892</v>
      </c>
      <c r="M1" s="45" t="s">
        <v>1893</v>
      </c>
      <c r="N1" s="45" t="s">
        <v>1894</v>
      </c>
      <c r="O1" s="45" t="s">
        <v>1895</v>
      </c>
      <c r="P1" s="45" t="s">
        <v>1896</v>
      </c>
      <c r="Q1" s="45" t="s">
        <v>1897</v>
      </c>
      <c r="R1" s="45" t="s">
        <v>1898</v>
      </c>
      <c r="S1" s="45" t="s">
        <v>1899</v>
      </c>
      <c r="T1" s="45" t="s">
        <v>1900</v>
      </c>
      <c r="U1" s="45" t="s">
        <v>1901</v>
      </c>
      <c r="V1" s="45" t="s">
        <v>1902</v>
      </c>
      <c r="W1" s="45" t="s">
        <v>1903</v>
      </c>
      <c r="X1" s="45" t="s">
        <v>1904</v>
      </c>
      <c r="Y1" s="45" t="s">
        <v>1905</v>
      </c>
      <c r="Z1" s="45" t="s">
        <v>1906</v>
      </c>
      <c r="AA1" s="45" t="s">
        <v>1907</v>
      </c>
    </row>
    <row r="2" ht="15.75" customHeight="1">
      <c r="A2" s="12">
        <v>1919.0</v>
      </c>
      <c r="B2" s="11" t="s">
        <v>32</v>
      </c>
      <c r="C2" s="45" t="s">
        <v>1908</v>
      </c>
      <c r="D2" s="46" t="s">
        <v>1909</v>
      </c>
      <c r="E2" s="47">
        <v>0.0</v>
      </c>
      <c r="F2" s="46" t="s">
        <v>1910</v>
      </c>
      <c r="G2" s="11">
        <v>0.0</v>
      </c>
      <c r="H2" s="46" t="s">
        <v>1911</v>
      </c>
      <c r="I2" s="11">
        <v>0.0</v>
      </c>
      <c r="J2" s="46" t="s">
        <v>1912</v>
      </c>
      <c r="K2" s="11">
        <v>0.0</v>
      </c>
      <c r="L2" s="46" t="s">
        <v>1913</v>
      </c>
      <c r="M2" s="11">
        <v>0.0</v>
      </c>
      <c r="N2" s="46" t="s">
        <v>1914</v>
      </c>
      <c r="O2" s="11">
        <v>0.0</v>
      </c>
      <c r="P2" s="46" t="s">
        <v>1915</v>
      </c>
      <c r="Q2" s="11">
        <v>0.0</v>
      </c>
      <c r="R2" s="11"/>
      <c r="S2" s="11">
        <v>0.0</v>
      </c>
      <c r="T2" s="46" t="s">
        <v>1916</v>
      </c>
      <c r="U2" s="11">
        <v>0.0</v>
      </c>
      <c r="V2" s="46" t="s">
        <v>1168</v>
      </c>
      <c r="W2" s="11">
        <v>0.0</v>
      </c>
      <c r="X2" s="46" t="s">
        <v>1917</v>
      </c>
      <c r="Y2" s="11">
        <v>0.0</v>
      </c>
      <c r="Z2" s="46" t="s">
        <v>1918</v>
      </c>
      <c r="AA2" s="16">
        <v>0.0</v>
      </c>
    </row>
    <row r="3" ht="15.75" customHeight="1">
      <c r="A3" s="12">
        <v>1919.0</v>
      </c>
      <c r="B3" s="11" t="s">
        <v>32</v>
      </c>
      <c r="C3" s="45" t="s">
        <v>1919</v>
      </c>
      <c r="D3" s="46" t="s">
        <v>1920</v>
      </c>
      <c r="E3" s="47">
        <v>0.0</v>
      </c>
      <c r="F3" s="46" t="s">
        <v>1910</v>
      </c>
      <c r="G3" s="11">
        <v>0.0</v>
      </c>
      <c r="H3" s="46" t="s">
        <v>1911</v>
      </c>
      <c r="I3" s="11">
        <v>0.0</v>
      </c>
      <c r="J3" s="46" t="s">
        <v>1912</v>
      </c>
      <c r="K3" s="11">
        <v>0.0</v>
      </c>
      <c r="L3" s="46" t="s">
        <v>1913</v>
      </c>
      <c r="M3" s="11">
        <v>0.0</v>
      </c>
      <c r="N3" s="46" t="s">
        <v>1914</v>
      </c>
      <c r="O3" s="11">
        <v>0.0</v>
      </c>
      <c r="P3" s="46" t="s">
        <v>1915</v>
      </c>
      <c r="Q3" s="11">
        <v>0.0</v>
      </c>
      <c r="R3" s="11"/>
      <c r="S3" s="11">
        <v>0.0</v>
      </c>
      <c r="T3" s="46" t="s">
        <v>1916</v>
      </c>
      <c r="U3" s="11">
        <v>0.0</v>
      </c>
      <c r="V3" s="46" t="s">
        <v>1168</v>
      </c>
      <c r="W3" s="11">
        <v>0.0</v>
      </c>
      <c r="X3" s="46" t="s">
        <v>1917</v>
      </c>
      <c r="Y3" s="11">
        <v>0.0</v>
      </c>
      <c r="Z3" s="46" t="s">
        <v>1918</v>
      </c>
      <c r="AA3" s="16">
        <v>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38"/>
    <col customWidth="1" min="4" max="4" width="39.25"/>
    <col customWidth="1" min="5" max="5" width="16.13"/>
    <col customWidth="1" min="6" max="6" width="33.88"/>
    <col customWidth="1" min="7" max="7" width="36.38"/>
    <col customWidth="1" min="8" max="8" width="33.0"/>
    <col customWidth="1" min="9" max="9" width="35.25"/>
    <col customWidth="1" min="10" max="10" width="42.25"/>
    <col customWidth="1" min="11" max="11" width="32.75"/>
  </cols>
  <sheetData>
    <row r="1" ht="15.75" customHeight="1">
      <c r="A1" s="1" t="s">
        <v>0</v>
      </c>
      <c r="B1" s="1" t="s">
        <v>1</v>
      </c>
      <c r="C1" s="45" t="s">
        <v>1884</v>
      </c>
      <c r="D1" s="45" t="s">
        <v>1885</v>
      </c>
      <c r="E1" s="45" t="s">
        <v>1886</v>
      </c>
      <c r="F1" s="45" t="s">
        <v>1890</v>
      </c>
      <c r="G1" s="45" t="s">
        <v>1891</v>
      </c>
      <c r="H1" s="45" t="s">
        <v>1892</v>
      </c>
      <c r="I1" s="45" t="s">
        <v>1893</v>
      </c>
      <c r="J1" s="16" t="s">
        <v>1921</v>
      </c>
      <c r="K1" s="16" t="s">
        <v>1922</v>
      </c>
    </row>
    <row r="2" ht="15.75" customHeight="1">
      <c r="A2" s="12">
        <v>1919.0</v>
      </c>
      <c r="B2" s="11" t="s">
        <v>32</v>
      </c>
      <c r="C2" s="45" t="s">
        <v>1923</v>
      </c>
      <c r="D2" s="46" t="s">
        <v>1924</v>
      </c>
      <c r="E2" s="47">
        <v>0.0</v>
      </c>
      <c r="F2" s="46" t="s">
        <v>1912</v>
      </c>
      <c r="G2" s="11">
        <v>0.0</v>
      </c>
      <c r="H2" s="46" t="s">
        <v>1913</v>
      </c>
      <c r="I2" s="11">
        <v>0.0</v>
      </c>
      <c r="J2" s="46" t="s">
        <v>1925</v>
      </c>
    </row>
    <row r="3" ht="15.75" customHeight="1">
      <c r="A3" s="12">
        <v>1919.0</v>
      </c>
      <c r="B3" s="11" t="s">
        <v>32</v>
      </c>
      <c r="C3" s="48" t="s">
        <v>1926</v>
      </c>
      <c r="D3" s="46" t="s">
        <v>1927</v>
      </c>
      <c r="E3" s="47">
        <v>0.0</v>
      </c>
      <c r="F3" s="46" t="s">
        <v>1912</v>
      </c>
      <c r="G3" s="11">
        <v>0.0</v>
      </c>
      <c r="H3" s="46" t="s">
        <v>1913</v>
      </c>
      <c r="I3" s="11">
        <v>0.0</v>
      </c>
      <c r="J3" s="46" t="s">
        <v>1925</v>
      </c>
    </row>
    <row r="4" ht="15.75" customHeight="1">
      <c r="A4" s="12">
        <v>1919.0</v>
      </c>
      <c r="B4" s="11" t="s">
        <v>32</v>
      </c>
      <c r="C4" s="48" t="s">
        <v>1928</v>
      </c>
      <c r="D4" s="46" t="s">
        <v>1929</v>
      </c>
      <c r="E4" s="47">
        <v>0.0</v>
      </c>
      <c r="F4" s="46" t="s">
        <v>1912</v>
      </c>
      <c r="G4" s="11">
        <v>0.0</v>
      </c>
      <c r="H4" s="46" t="s">
        <v>1913</v>
      </c>
      <c r="I4" s="11">
        <v>0.0</v>
      </c>
      <c r="J4" s="46" t="s">
        <v>1925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8.63"/>
    <col customWidth="1" min="5" max="5" width="38.88"/>
    <col customWidth="1" min="6" max="6" width="12.63"/>
  </cols>
  <sheetData>
    <row r="1" ht="15.75" customHeight="1">
      <c r="A1" s="49" t="s">
        <v>0</v>
      </c>
      <c r="B1" s="49" t="s">
        <v>1</v>
      </c>
      <c r="C1" s="49" t="s">
        <v>1930</v>
      </c>
      <c r="D1" s="50" t="s">
        <v>1931</v>
      </c>
      <c r="E1" s="50" t="s">
        <v>1932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25"/>
    <col customWidth="1" min="4" max="4" width="30.13"/>
    <col customWidth="1" min="5" max="6" width="12.63"/>
  </cols>
  <sheetData>
    <row r="1" ht="15.75" customHeight="1">
      <c r="A1" s="49" t="s">
        <v>0</v>
      </c>
      <c r="B1" s="49" t="s">
        <v>1</v>
      </c>
      <c r="C1" s="51" t="s">
        <v>1933</v>
      </c>
      <c r="D1" s="16" t="s">
        <v>1934</v>
      </c>
      <c r="E1" s="52" t="s">
        <v>7</v>
      </c>
    </row>
    <row r="2" ht="15.75" customHeight="1">
      <c r="A2" s="12">
        <v>1919.0</v>
      </c>
      <c r="B2" s="11" t="s">
        <v>32</v>
      </c>
      <c r="C2" s="36" t="s">
        <v>1935</v>
      </c>
      <c r="D2" s="53" t="s">
        <v>1936</v>
      </c>
      <c r="E2" s="19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0.38"/>
    <col customWidth="1" min="3" max="3" width="13.5"/>
    <col customWidth="1" min="4" max="4" width="27.0"/>
    <col customWidth="1" min="6" max="19" width="27.0"/>
    <col customWidth="1" min="20" max="23" width="15.5"/>
    <col customWidth="1" min="24" max="27" width="30.5"/>
    <col customWidth="1" min="28" max="28" width="25.5"/>
  </cols>
  <sheetData>
    <row r="1">
      <c r="A1" s="49" t="s">
        <v>0</v>
      </c>
      <c r="B1" s="49" t="s">
        <v>1</v>
      </c>
      <c r="C1" s="52" t="s">
        <v>1937</v>
      </c>
      <c r="D1" s="52" t="s">
        <v>1938</v>
      </c>
      <c r="E1" s="52" t="s">
        <v>10</v>
      </c>
      <c r="F1" s="52" t="s">
        <v>1939</v>
      </c>
      <c r="G1" s="52" t="s">
        <v>10</v>
      </c>
      <c r="H1" s="52" t="s">
        <v>1940</v>
      </c>
      <c r="I1" s="52" t="s">
        <v>10</v>
      </c>
      <c r="J1" s="52" t="s">
        <v>1941</v>
      </c>
      <c r="K1" s="52" t="s">
        <v>10</v>
      </c>
      <c r="L1" s="52" t="s">
        <v>1942</v>
      </c>
      <c r="M1" s="52" t="s">
        <v>10</v>
      </c>
      <c r="N1" s="52" t="s">
        <v>1943</v>
      </c>
      <c r="O1" s="52" t="s">
        <v>10</v>
      </c>
      <c r="P1" s="52" t="s">
        <v>1944</v>
      </c>
      <c r="Q1" s="52" t="s">
        <v>10</v>
      </c>
      <c r="R1" s="52" t="s">
        <v>1945</v>
      </c>
      <c r="S1" s="52" t="s">
        <v>10</v>
      </c>
      <c r="T1" s="52" t="s">
        <v>1946</v>
      </c>
      <c r="U1" s="52" t="s">
        <v>10</v>
      </c>
      <c r="V1" s="52" t="s">
        <v>1947</v>
      </c>
      <c r="W1" s="52" t="s">
        <v>10</v>
      </c>
      <c r="X1" s="54" t="s">
        <v>1948</v>
      </c>
      <c r="Y1" s="54" t="s">
        <v>7</v>
      </c>
      <c r="Z1" s="54" t="s">
        <v>1949</v>
      </c>
      <c r="AA1" s="54" t="s">
        <v>7</v>
      </c>
      <c r="AB1" s="52" t="s">
        <v>1950</v>
      </c>
      <c r="AC1" s="54" t="s">
        <v>7</v>
      </c>
    </row>
    <row r="2">
      <c r="A2" s="12">
        <v>1919.0</v>
      </c>
      <c r="B2" s="11" t="s">
        <v>32</v>
      </c>
      <c r="C2" s="52" t="s">
        <v>1951</v>
      </c>
      <c r="D2" s="53" t="s">
        <v>747</v>
      </c>
      <c r="E2" s="19">
        <v>0.0</v>
      </c>
      <c r="F2" s="53" t="s">
        <v>761</v>
      </c>
      <c r="G2" s="19">
        <v>0.0</v>
      </c>
      <c r="H2" s="53" t="s">
        <v>775</v>
      </c>
      <c r="I2" s="19">
        <v>0.0</v>
      </c>
      <c r="J2" s="53" t="s">
        <v>789</v>
      </c>
      <c r="K2" s="19">
        <v>0.0</v>
      </c>
      <c r="L2" s="53" t="s">
        <v>803</v>
      </c>
      <c r="M2" s="19">
        <v>0.0</v>
      </c>
      <c r="N2" s="53" t="s">
        <v>817</v>
      </c>
      <c r="O2" s="19">
        <v>0.0</v>
      </c>
      <c r="P2" s="53" t="s">
        <v>831</v>
      </c>
      <c r="Q2" s="19">
        <v>0.0</v>
      </c>
      <c r="R2" s="53" t="s">
        <v>845</v>
      </c>
      <c r="S2" s="19">
        <v>0.0</v>
      </c>
      <c r="T2" s="53" t="s">
        <v>857</v>
      </c>
      <c r="U2" s="19">
        <v>1.0</v>
      </c>
      <c r="V2" s="53" t="s">
        <v>865</v>
      </c>
      <c r="W2" s="19">
        <v>1.0</v>
      </c>
      <c r="X2" s="55" t="s">
        <v>1952</v>
      </c>
      <c r="Y2" s="55"/>
      <c r="Z2" s="55" t="s">
        <v>1953</v>
      </c>
      <c r="AA2" s="55"/>
      <c r="AB2" s="55" t="s">
        <v>1954</v>
      </c>
    </row>
    <row r="7">
      <c r="V7" s="53"/>
      <c r="W7" s="53"/>
    </row>
    <row r="8">
      <c r="V8" s="53"/>
      <c r="W8" s="53"/>
    </row>
  </sheetData>
  <drawing r:id="rId1"/>
</worksheet>
</file>