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Gantry override" sheetId="13" r:id="rId16"/>
    <sheet state="visible" name="Fire Effect" sheetId="14" r:id="rId17"/>
    <sheet state="visible" name="Air Compressor" sheetId="15" r:id="rId18"/>
    <sheet state="visible" name="LRC Switchover" sheetId="16" r:id="rId19"/>
    <sheet state="visible" name="OI" sheetId="17" r:id="rId20"/>
  </sheets>
  <definedNames/>
  <calcPr/>
</workbook>
</file>

<file path=xl/sharedStrings.xml><?xml version="1.0" encoding="utf-8"?>
<sst xmlns="http://schemas.openxmlformats.org/spreadsheetml/2006/main" count="2897" uniqueCount="1397">
  <si>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</si>
  <si>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</si>
  <si>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</si>
  <si>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</si>
  <si>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</si>
  <si>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</si>
  <si>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</si>
  <si>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</si>
  <si>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Sensor_Id</t>
  </si>
  <si>
    <t>Sensor_Type</t>
  </si>
  <si>
    <t>Tank Receipt Mode</t>
  </si>
  <si>
    <t>Primary Gauge Level</t>
  </si>
  <si>
    <t>Primary Gauge HIGH</t>
  </si>
  <si>
    <t>Normal Value</t>
  </si>
  <si>
    <t xml:space="preserve">TANK LEAKAGE STATUS </t>
  </si>
  <si>
    <t>TANK LEAKAGE STATUS Normal value</t>
  </si>
  <si>
    <t>Primary Gauge HIGH HIGH</t>
  </si>
  <si>
    <t>Primary Gauge HIGH HIGH Normal Value</t>
  </si>
  <si>
    <t>LEVEL SWITCH</t>
  </si>
  <si>
    <t>LEVEL SWITCH Normal Value</t>
  </si>
  <si>
    <t xml:space="preserve">LEVEL SWITCH PROOF OK </t>
  </si>
  <si>
    <t>LEVEL SWITCH PROOF OK  Normal Value</t>
  </si>
  <si>
    <t>LEVEL SWITCH PROOF FAILED</t>
  </si>
  <si>
    <t>LEVEL SWITCH PROOF FAILED Normal Value</t>
  </si>
  <si>
    <t>RADAR HHH</t>
  </si>
  <si>
    <t>RADAR HHH Normal Value</t>
  </si>
  <si>
    <t>RADAR PROOF OK</t>
  </si>
  <si>
    <t>RADAR PROOF Normal Value</t>
  </si>
  <si>
    <t>RADAR PROOF FAILED</t>
  </si>
  <si>
    <t>RADAR PROOF FAILED Normal Value</t>
  </si>
  <si>
    <t>ROSOV OPEN STATUS IL1</t>
  </si>
  <si>
    <t>ROSOV FAIL TO CLOSE STATUS IL1</t>
  </si>
  <si>
    <t>ROSOV OPEN STATUS IL2</t>
  </si>
  <si>
    <t>ROSOV FAIL TO CLOSE STATUS IL2</t>
  </si>
  <si>
    <t>ROSOV FAIL TO CLOSE STATUS IL2 Normal value</t>
  </si>
  <si>
    <t>ROSOV OPEN STATUS OL</t>
  </si>
  <si>
    <t>ROSOV OPEN STATUS OL Normal value</t>
  </si>
  <si>
    <t>ROSOV FAIL TO CLOSE STATUS OL</t>
  </si>
  <si>
    <t>ROSOV FAIL TO CLOSE STATUS OL Normal value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</si>
  <si>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</si>
  <si>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</si>
  <si>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</si>
  <si>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</si>
  <si>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</si>
  <si>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</si>
  <si>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</si>
  <si>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</si>
  <si>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Rewari</t>
  </si>
  <si>
    <t>TK-01</t>
  </si>
  <si>
    <t>BS VI MS</t>
  </si>
  <si>
    <t>PLC.SFTPLC.ANY_ESD_PB_ACTI</t>
  </si>
  <si>
    <t>TANK.TK-01.LEVEL</t>
  </si>
  <si>
    <t>Primary Radar</t>
  </si>
  <si>
    <t>TANK.TK-01.HIGH_LEVEL</t>
  </si>
  <si>
    <t>TANK.TK-01.TANK_ALERT_ALARM</t>
  </si>
  <si>
    <t>TANK.TK-01.HIGH_HIGH_LEVEL</t>
  </si>
  <si>
    <t>LEVELSWITCH.LSW-01.SWITCH_STATUS</t>
  </si>
  <si>
    <t>LSW-01</t>
  </si>
  <si>
    <t>VFT</t>
  </si>
  <si>
    <t>LEVELSWITCH.LSW-01.PROOF_TEST_OK</t>
  </si>
  <si>
    <t>LEVELSWITCH.LSW-01.PROOF_TEST_FAILED</t>
  </si>
  <si>
    <t>LEVELSWITCH.RDR-01.SWITCH_STATUS</t>
  </si>
  <si>
    <t>RDR-01</t>
  </si>
  <si>
    <t>RADAR</t>
  </si>
  <si>
    <t>LEVELSWITCH.RDR-01.PROOF_TEST_OK</t>
  </si>
  <si>
    <t>LEVELSWITCH.RDR-01.PROOF_TEST_FAILED</t>
  </si>
  <si>
    <t>MOV.ROSOV-01.OPEN_STATUS</t>
  </si>
  <si>
    <t>ROSOV-01</t>
  </si>
  <si>
    <t>ROSOV IL1</t>
  </si>
  <si>
    <t>MOV.ROSOV-01.FAILED_TO_CLOSE</t>
  </si>
  <si>
    <t>ROSOV FAILED IL1</t>
  </si>
  <si>
    <t>MOV.ROSOV-02.OPEN_STATUS</t>
  </si>
  <si>
    <t>ROSOV-02</t>
  </si>
  <si>
    <t>ROSOV OL</t>
  </si>
  <si>
    <t>MOV.ROSOV-02.FAILED_TO_CLOSE</t>
  </si>
  <si>
    <t>ROSOV FAILED OL</t>
  </si>
  <si>
    <t>MOV.MOV-001.OPEN_STATUS</t>
  </si>
  <si>
    <t>MOV-001</t>
  </si>
  <si>
    <t>MOV IL1</t>
  </si>
  <si>
    <t>MOV.MOV-002.OPEN_STATUS</t>
  </si>
  <si>
    <t>MOV OL</t>
  </si>
  <si>
    <t>TK-02</t>
  </si>
  <si>
    <t>TANK.TK-02.LEVEL</t>
  </si>
  <si>
    <t>TANK.TK-02.HIGH_LEVEL</t>
  </si>
  <si>
    <t>TANK.TK-02.TANK_ALERT_ALARM</t>
  </si>
  <si>
    <t>TANK.TK-02.HIGH_HIGH_LEVEL</t>
  </si>
  <si>
    <t>LEVELSWITCH.LSW-02.SWITCH_STATUS</t>
  </si>
  <si>
    <t>LSW-02</t>
  </si>
  <si>
    <t>LEVELSWITCH.LSW-02.PROOF_TEST_OK</t>
  </si>
  <si>
    <t>LEVELSWITCH.LSW-02.PROOF_TEST_FAILED</t>
  </si>
  <si>
    <t>LEVELSWITCH.RDR-02.SWITCH_STATUS</t>
  </si>
  <si>
    <t>RDR-02</t>
  </si>
  <si>
    <t>LEVELSWITCH.RDR-02.PROOF_TEST_OK</t>
  </si>
  <si>
    <t>LEVELSWITCH.RDR-02.PROOF_TEST_FAILED</t>
  </si>
  <si>
    <t>MOV.ROSOV-03.OPEN_STATUS</t>
  </si>
  <si>
    <t>ROSOV-03</t>
  </si>
  <si>
    <t>MOV.ROSOV-03.FAILED_TO_CLOSE</t>
  </si>
  <si>
    <t>MOV.ROSOV-04.OPEN_STATUS</t>
  </si>
  <si>
    <t>ROSOV-04</t>
  </si>
  <si>
    <t>MOV.ROSOV-04.FAILED_TO_CLOSE</t>
  </si>
  <si>
    <t>MOV.MOV-004.OPEN_STATUS</t>
  </si>
  <si>
    <t>MOV-004</t>
  </si>
  <si>
    <t>MOV.MOV-005.OPEN_STATUS</t>
  </si>
  <si>
    <t>TK-03</t>
  </si>
  <si>
    <t>ETHANOL</t>
  </si>
  <si>
    <t>TANK.TK-03.LEVEL</t>
  </si>
  <si>
    <t>TANK.TK-03.HIGH_LEVEL</t>
  </si>
  <si>
    <t>TANK.TK-03.TANK_ALERT_ALARM</t>
  </si>
  <si>
    <t>TANK.TK-03.HIGH_HIGH_LEVEL</t>
  </si>
  <si>
    <t>LEVELSWITCH.LSW-03.SWITCH_STATUS</t>
  </si>
  <si>
    <t>LSW-03</t>
  </si>
  <si>
    <t>LEVELSWITCH.LSW-03.PROOF_TEST_OK</t>
  </si>
  <si>
    <t>LEVELSWITCH.LSW-03.PROOF_TEST_FAILED</t>
  </si>
  <si>
    <t>LEVELSWITCH.RDR-03.SWITCH_STATUS</t>
  </si>
  <si>
    <t>RDR-03</t>
  </si>
  <si>
    <t>LEVELSWITCH.RDR-03.PROOF_TEST_OK</t>
  </si>
  <si>
    <t>LEVELSWITCH.RDR-03.PROOF_TEST_FAILED</t>
  </si>
  <si>
    <t>MOV.ROSOV-05.OPEN_STATUS</t>
  </si>
  <si>
    <t>ROSOV-05</t>
  </si>
  <si>
    <t>MOV.ROSOV-05.FAILED_TO_CLOSE</t>
  </si>
  <si>
    <t>MOV.ROSOV-06.OPEN_STATUS</t>
  </si>
  <si>
    <t>ROSOV-06</t>
  </si>
  <si>
    <t>MOV.ROSOV-06.FAILED_TO_CLOSE</t>
  </si>
  <si>
    <t>MOV.MOV-007.OPEN_STATUS</t>
  </si>
  <si>
    <t>MOV-007</t>
  </si>
  <si>
    <t>MOV.MOV-008.OPEN_STATUS</t>
  </si>
  <si>
    <t>TK-04</t>
  </si>
  <si>
    <t>TANK.TK-04.LEVEL</t>
  </si>
  <si>
    <t>TANK.TK-04.HIGH_LEVEL</t>
  </si>
  <si>
    <t>TANK.TK-04.TANK_ALERT_ALARM</t>
  </si>
  <si>
    <t>TANK.TK-04.HIGH_HIGH_LEVEL</t>
  </si>
  <si>
    <t>LEVELSWITCH.LSW-04.SWITCH_STATUS</t>
  </si>
  <si>
    <t>LSW-04</t>
  </si>
  <si>
    <t>LEVELSWITCH.LSW-04.PROOF_TEST_OK</t>
  </si>
  <si>
    <t>LEVELSWITCH.LSW-04.PROOF_TEST_FAILED</t>
  </si>
  <si>
    <t>LEVELSWITCH.RDR-04.SWITCH_STATUS</t>
  </si>
  <si>
    <t>RDR-04</t>
  </si>
  <si>
    <t>LEVELSWITCH.RDR-04.PROOF_TEST_OK</t>
  </si>
  <si>
    <t>LEVELSWITCH.RDR-04.PROOF_TEST_FAILED</t>
  </si>
  <si>
    <t>MOV.ROSOV-07.OPEN_STATUS</t>
  </si>
  <si>
    <t>ROSOV-07</t>
  </si>
  <si>
    <t>MOV.ROSOV-07.FAILED_TO_CLOSE</t>
  </si>
  <si>
    <t>MOV.ROSOV-08.OPEN_STATUS</t>
  </si>
  <si>
    <t>ROSOV-08</t>
  </si>
  <si>
    <t>MOV.ROSOV-08.FAILED_TO_CLOSE</t>
  </si>
  <si>
    <t>MOV.MOV-010.OPEN_STATUS</t>
  </si>
  <si>
    <t>MOV-010</t>
  </si>
  <si>
    <t>MOV.MOV-011.OPEN_STATUS</t>
  </si>
  <si>
    <t>TK-05</t>
  </si>
  <si>
    <t>TANK.TK-05.LEVEL</t>
  </si>
  <si>
    <t>TANK.TK-05.HIGH_LEVEL</t>
  </si>
  <si>
    <t>TANK.TK-05.TANK_ALERT_ALARM</t>
  </si>
  <si>
    <t>TANK.TK-05.HIGH_HIGH_LEVEL</t>
  </si>
  <si>
    <t>LEVELSWITCH.LSW-05.SWITCH_STATUS</t>
  </si>
  <si>
    <t>LSW-05</t>
  </si>
  <si>
    <t>LEVELSWITCH.LSW-05.PROOF_TEST_OK</t>
  </si>
  <si>
    <t>LEVELSWITCH.LSW-05.PROOF_TEST_FAILED</t>
  </si>
  <si>
    <t>LEVELSWITCH.RDR-05.SWITCH_STATUS</t>
  </si>
  <si>
    <t>RDR-05</t>
  </si>
  <si>
    <t>LEVELSWITCH.RDR-05.PROOF_TEST_OK</t>
  </si>
  <si>
    <t>LEVELSWITCH.RDR-05.PROOF_TEST_FAILED</t>
  </si>
  <si>
    <t>MOV.ROSOV-09.OPEN_STATUS</t>
  </si>
  <si>
    <t>ROSOV-09</t>
  </si>
  <si>
    <t>MOV.ROSOV-09.FAILED_TO_CLOSE</t>
  </si>
  <si>
    <t>MOV.ROSOV-10.OPEN_STATUS</t>
  </si>
  <si>
    <t>ROSOV-10</t>
  </si>
  <si>
    <t>MOV.ROSOV-10.FAILED_TO_CLOSE</t>
  </si>
  <si>
    <t>MOV.MOV-013.OPEN_STATUS</t>
  </si>
  <si>
    <t>MOV-013</t>
  </si>
  <si>
    <t>MOV.MOV-014.OPEN_STATUS</t>
  </si>
  <si>
    <t>TK-06</t>
  </si>
  <si>
    <t>BS VI HSD</t>
  </si>
  <si>
    <t>TANK.TK-06.LEVEL</t>
  </si>
  <si>
    <t>TANK.TK-06.HIGH_LEVEL</t>
  </si>
  <si>
    <t>TANK.TK-06.TANK_ALERT_ALARM</t>
  </si>
  <si>
    <t>TANK.TK-06.HIGH_HIGH_LEVEL</t>
  </si>
  <si>
    <t>TK-07</t>
  </si>
  <si>
    <t>TANK.TK-07.LEVEL</t>
  </si>
  <si>
    <t>TANK.TK-07.HIGH_LEVEL</t>
  </si>
  <si>
    <t>TANK.TK-07.TANK_ALERT_ALARM</t>
  </si>
  <si>
    <t>TANK.TK-07.HIGH_HIGH_LEVEL</t>
  </si>
  <si>
    <t>TK-08</t>
  </si>
  <si>
    <t>TANK.TK-08.LEVEL</t>
  </si>
  <si>
    <t>TANK.TK-08.HIGH_LEVEL</t>
  </si>
  <si>
    <t>TANK.TK-08.TANK_ALERT_ALARM</t>
  </si>
  <si>
    <t>TANK.TK-08.HIGH_HIGH_LEVEL</t>
  </si>
  <si>
    <t>TK-09</t>
  </si>
  <si>
    <t>WATER</t>
  </si>
  <si>
    <t>TANK.TK-09.LEVEL</t>
  </si>
  <si>
    <t>TANK.TK-09.TANK_ALERT_ALARM</t>
  </si>
  <si>
    <t>TK-10</t>
  </si>
  <si>
    <t>TANK.TK-10.LEVEL</t>
  </si>
  <si>
    <t>TANK.TK-10.TANK_ALERT_ALARM</t>
  </si>
  <si>
    <t>TK-11</t>
  </si>
  <si>
    <t>TANK.TK-11.LEVEL</t>
  </si>
  <si>
    <t>TANK.TK-11.HIGH_LEVEL</t>
  </si>
  <si>
    <t>TANK.TK-11.TANK_ALERT_ALARM</t>
  </si>
  <si>
    <t>TANK.TK-11.HIGH_HIGH_LEVEL</t>
  </si>
  <si>
    <t>LEVELSWITCH.LSW-06.SWITCH_STATUS</t>
  </si>
  <si>
    <t xml:space="preserve"> LSW-06</t>
  </si>
  <si>
    <t>LEVELSWITCH.LSW-06.PROOF_TEST_OK</t>
  </si>
  <si>
    <t>LSW-06</t>
  </si>
  <si>
    <t>LEVELSWITCH.LSW-06.PROOF_TEST_FAILED</t>
  </si>
  <si>
    <t>LEVELSWITCH.RDR-06.SWITCH_STATUS</t>
  </si>
  <si>
    <t>RDR-06</t>
  </si>
  <si>
    <t>LEVELSWITCH.RDR-06.PROOF_TEST_OK</t>
  </si>
  <si>
    <t>LEVELSWITCH.RDR-06.PROOF_TEST_FAILED</t>
  </si>
  <si>
    <t>MOV.ROSOV-11.OPEN_STATUS</t>
  </si>
  <si>
    <t>ROSOV-11</t>
  </si>
  <si>
    <t>MOV.ROSOV-11.FAILED_TO_CLOSE</t>
  </si>
  <si>
    <t>MOV.ROSOV-12.OPEN_STATUS</t>
  </si>
  <si>
    <t>ROSOV-12</t>
  </si>
  <si>
    <t>MOV.ROSOV-12.FAILED_TO_CLOSE</t>
  </si>
  <si>
    <t>MOV.MOV-016.OPEN_STATUS</t>
  </si>
  <si>
    <t>MOV-016</t>
  </si>
  <si>
    <t>MOV.MOV-017.OPEN_STATUS</t>
  </si>
  <si>
    <t>TK-12</t>
  </si>
  <si>
    <t>TANK.TK-12.LEVEL</t>
  </si>
  <si>
    <t>TANK.TK-12.HIGH_LEVEL</t>
  </si>
  <si>
    <t>TANK.TK-12.TANK_ALERT_ALARM</t>
  </si>
  <si>
    <t>TANK.TK-12.HIGH_HIGH_LEVEL</t>
  </si>
  <si>
    <t>LEVELSWITCH.LSW-07.SWITCH_STATUS</t>
  </si>
  <si>
    <t xml:space="preserve"> LSW-07</t>
  </si>
  <si>
    <t>LEVELSWITCH.LSW-07.PROOF_TEST_OK</t>
  </si>
  <si>
    <t>LSW-07</t>
  </si>
  <si>
    <t>LEVELSWITCH.LSW-07.PROOF_TEST_FAILED</t>
  </si>
  <si>
    <t>LEVELSWITCH.RDR-07.SWITCH_STATUS</t>
  </si>
  <si>
    <t>RDR-07</t>
  </si>
  <si>
    <t>LEVELSWITCH.RDR-07.PROOF_TEST_OK</t>
  </si>
  <si>
    <t>LEVELSWITCH.RDR-07.PROOF_TEST_FAILED</t>
  </si>
  <si>
    <t>MOV.ROSOV-13.OPEN_STATUS</t>
  </si>
  <si>
    <t>ROSOV-13</t>
  </si>
  <si>
    <t>MOV.ROSOV-13.FAILED_TO_CLOSE</t>
  </si>
  <si>
    <t>MOV.ROSOV-14.OPEN_STATUS</t>
  </si>
  <si>
    <t>ROSOV-14</t>
  </si>
  <si>
    <t>MOV.ROSOV-14.FAILED_TO_CLOSE</t>
  </si>
  <si>
    <t>MOV.MOV-019.OPEN_STATUS</t>
  </si>
  <si>
    <t>MOV-019</t>
  </si>
  <si>
    <t>MOV.MOV-020.OPEN_STATUS</t>
  </si>
  <si>
    <t>TK-13</t>
  </si>
  <si>
    <t>TANK.TK-13.LEVEL</t>
  </si>
  <si>
    <t>TANK.TK-13.HIGH_LEVEL</t>
  </si>
  <si>
    <t>TANK.TK-13.TANK_ALERT_ALARM</t>
  </si>
  <si>
    <t>TANK.TK-13.HIGH_HIGH_LEVEL</t>
  </si>
  <si>
    <t>LEVELSWITCH.LSW-08.SWITCH_STATUS</t>
  </si>
  <si>
    <t xml:space="preserve"> LSW-08</t>
  </si>
  <si>
    <t>LEVELSWITCH.LSW-08.PROOF_TEST_OK</t>
  </si>
  <si>
    <t>LSW-08</t>
  </si>
  <si>
    <t>LEVELSWITCH.LSW-08.PROOF_TEST_FAILED</t>
  </si>
  <si>
    <t>LEVELSWITCH.RDR-08.SWITCH_STATUS</t>
  </si>
  <si>
    <t>RDR-08</t>
  </si>
  <si>
    <t>LEVELSWITCH.RDR-08.PROOF_TEST_OK</t>
  </si>
  <si>
    <t>LEVELSWITCH.RDR-08.PROOF_TEST_FAILED</t>
  </si>
  <si>
    <t>MOV.ROSOV-15.OPEN_STATUS</t>
  </si>
  <si>
    <t>ROSOV-15</t>
  </si>
  <si>
    <t>MOV.ROSOV-15.FAILED_TO_CLOSE</t>
  </si>
  <si>
    <t>MOV.ROSOV-16.OPEN_STATUS</t>
  </si>
  <si>
    <t>ROSOV-16</t>
  </si>
  <si>
    <t>MOV.ROSOV-16.FAILED_TO_CLOSE</t>
  </si>
  <si>
    <t>MOV.MOV-022.OPEN_STATUS</t>
  </si>
  <si>
    <t>MOV-022</t>
  </si>
  <si>
    <t>MOV.MOV-023.OPEN_STATUS</t>
  </si>
  <si>
    <t>TK-14</t>
  </si>
  <si>
    <t>TANK.TK-14.LEVEL</t>
  </si>
  <si>
    <t>TANK.TK-14.HIGH_LEVEL</t>
  </si>
  <si>
    <t>TANK.TK-14.TANK_ALERT_ALARM</t>
  </si>
  <si>
    <t>TANK.TK-14.HIGH_HIGH_LEVEL</t>
  </si>
  <si>
    <t>LEVELSWITCH.LSW-09.SWITCH_STATUS</t>
  </si>
  <si>
    <t xml:space="preserve"> LSW-09</t>
  </si>
  <si>
    <t>LEVELSWITCH.LSW-09.PROOF_TEST_OK</t>
  </si>
  <si>
    <t>LSW-09</t>
  </si>
  <si>
    <t>LEVELSWITCH.LSW-09.PROOF_TEST_FAILED</t>
  </si>
  <si>
    <t>LEVELSWITCH.RDR-09.SWITCH_STATUS</t>
  </si>
  <si>
    <t>RDR-09</t>
  </si>
  <si>
    <t>LEVELSWITCH.RDR-09.PROOF_TEST_OK</t>
  </si>
  <si>
    <t>LEVELSWITCH.RDR-09.PROOF_TEST_FAILED</t>
  </si>
  <si>
    <t>MOV.ROSOV-17.OPEN_STATUS</t>
  </si>
  <si>
    <t>ROSOV-17</t>
  </si>
  <si>
    <t>MOV.ROSOV-17.FAILED_TO_CLOSE</t>
  </si>
  <si>
    <t>MOV.ROSOV-18.OPEN_STATUS</t>
  </si>
  <si>
    <t>ROSOV-18</t>
  </si>
  <si>
    <t>MOV.ROSOV-18.FAILED_TO_CLOSE</t>
  </si>
  <si>
    <t>MOV.MOV-025.OPEN_STATUS</t>
  </si>
  <si>
    <t>MOV-025</t>
  </si>
  <si>
    <t>MOV.MOV-026.OPEN_STATUS</t>
  </si>
  <si>
    <t>TK-15</t>
  </si>
  <si>
    <t>TANK.TK-15.LEVEL</t>
  </si>
  <si>
    <t>TANK.TK-15.HIGH_LEVEL</t>
  </si>
  <si>
    <t>TANK.TK-15.TANK_ALERT_ALARM</t>
  </si>
  <si>
    <t>TANK.TK-15.HIGH_HIGH_LEVEL</t>
  </si>
  <si>
    <t>LEVELSWITCH.LSW-10.SWITCH_STATUS</t>
  </si>
  <si>
    <t xml:space="preserve"> LSW-10</t>
  </si>
  <si>
    <t>LEVELSWITCH.LSW-10.PROOF_TEST_OK</t>
  </si>
  <si>
    <t>LSW-10</t>
  </si>
  <si>
    <t>LEVELSWITCH.LSW-10.PROOF_TEST_FAILED</t>
  </si>
  <si>
    <t>LEVELSWITCH.RDR-10.SWITCH_STATUS</t>
  </si>
  <si>
    <t>RDR-10</t>
  </si>
  <si>
    <t>LEVELSWITCH.RDR-10.PROOF_TEST_OK</t>
  </si>
  <si>
    <t>LEVELSWITCH.RDR-10.PROOF_TEST_FAILED</t>
  </si>
  <si>
    <t>MOV.ROSOV-19.OPEN_STATUS</t>
  </si>
  <si>
    <t>ROSOV-19</t>
  </si>
  <si>
    <t>MOV.ROSOV-19.FAILED_TO_CLOSE</t>
  </si>
  <si>
    <t>MOV.ROSOV-20.OPEN_STATUS</t>
  </si>
  <si>
    <t>ROSOV-20</t>
  </si>
  <si>
    <t>MOV.ROSOV-20.FAILED_TO_CLOSE</t>
  </si>
  <si>
    <t>MOV.MOV-028.OPEN_STATUS</t>
  </si>
  <si>
    <t>MOV-028</t>
  </si>
  <si>
    <t>MOV.MOV-029.OPEN_STATUS</t>
  </si>
  <si>
    <t>TK-16</t>
  </si>
  <si>
    <t>SLOP</t>
  </si>
  <si>
    <t>TANK.TK-16.LEVEL</t>
  </si>
  <si>
    <t>TANK.TK-16.TANK_ALERT_ALARM</t>
  </si>
  <si>
    <t>LEVELSWITCH.LSW-11.SWITCH_STATUS</t>
  </si>
  <si>
    <t xml:space="preserve"> LSW-11</t>
  </si>
  <si>
    <t>LEVELSWITCH.LSW-11.PROOF_TEST_OK</t>
  </si>
  <si>
    <t>LSW-11</t>
  </si>
  <si>
    <t>LEVELSWITCH.LSW-11.PROOF_TEST_FAILED</t>
  </si>
  <si>
    <t>LEVELSWITCH.RDR-11.SWITCH_STATUS</t>
  </si>
  <si>
    <t>RDR-11</t>
  </si>
  <si>
    <t>LEVELSWITCH.RDR-11.PROOF_TEST_OK</t>
  </si>
  <si>
    <t>LEVELSWITCH.RDR-11.PROOF_TEST_FAILED</t>
  </si>
  <si>
    <t>MOV.ROSOV-21.OPEN_STATUS</t>
  </si>
  <si>
    <t>ROSOV-21</t>
  </si>
  <si>
    <t>MOV.ROSOV-21.FAILED_TO_CLOSE</t>
  </si>
  <si>
    <t>MOV.ROSOV-22.OPEN_STATUS</t>
  </si>
  <si>
    <t>ROSOV-22</t>
  </si>
  <si>
    <t>MOV.ROSOV-22.FAILED_TO_CLOSE</t>
  </si>
  <si>
    <t>MOV.MOV-031.OPEN_STATUS</t>
  </si>
  <si>
    <t>MOV-031</t>
  </si>
  <si>
    <t>MOV.MOV-032.OPEN_STATUS</t>
  </si>
  <si>
    <t>MOV.MOV-033.OPEN_STATUS</t>
  </si>
  <si>
    <t>MOV-033</t>
  </si>
  <si>
    <t>MOV RCL</t>
  </si>
  <si>
    <t>TK-17</t>
  </si>
  <si>
    <t>TANK.TK-17.LEVEL</t>
  </si>
  <si>
    <t>TANK.TK-17.TANK_ALERT_ALARM</t>
  </si>
  <si>
    <t>LEVELSWITCH.LSW-12.SWITCH_STATUS</t>
  </si>
  <si>
    <t xml:space="preserve"> LSW-12</t>
  </si>
  <si>
    <t>LEVELSWITCH.LSW-12.PROOF_TEST_OK</t>
  </si>
  <si>
    <t>LSW-12</t>
  </si>
  <si>
    <t>LEVELSWITCH.LSW-12.PROOF_TEST_FAILED</t>
  </si>
  <si>
    <t>LEVELSWITCH.RDR-12.SWITCH_STATUS</t>
  </si>
  <si>
    <t>RDR-12</t>
  </si>
  <si>
    <t>LEVELSWITCH.RDR-12.PROOF_TEST_OK</t>
  </si>
  <si>
    <t>LEVELSWITCH.RDR-12.PROOF_TEST_FAILED</t>
  </si>
  <si>
    <t>MOV.ROSOV-23.OPEN_STATUS</t>
  </si>
  <si>
    <t>ROSOV-23</t>
  </si>
  <si>
    <t>MOV.ROSOV-23.FAILED_TO_CLOSE</t>
  </si>
  <si>
    <t>MOV.ROSOV-24.OPEN_STATUS</t>
  </si>
  <si>
    <t>ROSOV-24</t>
  </si>
  <si>
    <t>MOV.ROSOV-24.FAILED_TO_CLOSE</t>
  </si>
  <si>
    <t>MOV.MOV-034.OPEN_STATUS</t>
  </si>
  <si>
    <t>MOV-034</t>
  </si>
  <si>
    <t>MOV.MOV-035.OPEN_STATUS</t>
  </si>
  <si>
    <t>TK-18</t>
  </si>
  <si>
    <t>TANK.TK-18.LEVEL</t>
  </si>
  <si>
    <t>TANK.TK-18.HIGH_LEVEL</t>
  </si>
  <si>
    <t>TANK.TK-18.TANK_ALERT_ALARM</t>
  </si>
  <si>
    <t>TANK.TK-18.HIGH_HIGH_LEVEL</t>
  </si>
  <si>
    <t>TK-19</t>
  </si>
  <si>
    <t>TANK.TK-19.LEVEL</t>
  </si>
  <si>
    <t>TANK.TK-19.HIGH_LEVEL</t>
  </si>
  <si>
    <t>TANK.TK-19.TANK_ALERT_ALARM</t>
  </si>
  <si>
    <t>TANK.TK-19.HIGH_HIGH_LEVEL</t>
  </si>
  <si>
    <t>TK-20</t>
  </si>
  <si>
    <t>TANK.TK-20.LEVEL</t>
  </si>
  <si>
    <t>TANK.TK-20.HIGH_LEVEL</t>
  </si>
  <si>
    <t>TANK.TK-20.TANK_ALERT_ALARM</t>
  </si>
  <si>
    <t>TANK.TK-20.HIGH_HIGH_LEVEL</t>
  </si>
  <si>
    <t>TK-21</t>
  </si>
  <si>
    <t>TANK.TK-21.LEVEL</t>
  </si>
  <si>
    <t>TANK.TK-21.HIGH_LEVEL</t>
  </si>
  <si>
    <t>TANK.TK-21.TANK_ALERT_ALARM</t>
  </si>
  <si>
    <t>TANK.TK-21.HIGH_HIGH_LEVEL</t>
  </si>
  <si>
    <t>TK-26</t>
  </si>
  <si>
    <t>TANK.TK-26.LEVEL</t>
  </si>
  <si>
    <t>TANK.TK-26.HIGH_LEVEL</t>
  </si>
  <si>
    <t>TANK.TK-26.TANK_ALERT_ALARM</t>
  </si>
  <si>
    <t>TANK.TK-26.HIGH_HIGH_LEVEL</t>
  </si>
  <si>
    <t>LEVELSWITCH.LSW-13.SWITCH_STATUS</t>
  </si>
  <si>
    <t>LSW-13</t>
  </si>
  <si>
    <t>LEVELSWITCH.LSW-13.PROOF_TEST_OK</t>
  </si>
  <si>
    <t>LEVELSWITCH.LSW-13.PROOF_TEST_FAILED</t>
  </si>
  <si>
    <t>LEVELSWITCH.RDR-13.SWITCH_STATUS</t>
  </si>
  <si>
    <t>RDR-13</t>
  </si>
  <si>
    <t>LEVELSWITCH.RDR-13.PROOF_TEST_OK</t>
  </si>
  <si>
    <t>LEVELSWITCH.RDR-13.PROOF_TEST_FAILED</t>
  </si>
  <si>
    <t>MOV.ROSOV-25.OPEN_STATUS</t>
  </si>
  <si>
    <t>ROSOV-25</t>
  </si>
  <si>
    <t>MOV.ROSOV-25.FAILED_TO_CLOSE</t>
  </si>
  <si>
    <t>MOV.ROSOV-26.OPEN_STATUS</t>
  </si>
  <si>
    <t>ROSOV-26</t>
  </si>
  <si>
    <t>MOV.ROSOV-26.FAILED_TO_CLOSE</t>
  </si>
  <si>
    <t>MOV.MOV-037.OPEN_STATUS</t>
  </si>
  <si>
    <t>MOV-037</t>
  </si>
  <si>
    <t>MOV.MOV-038.OPEN_STATUS</t>
  </si>
  <si>
    <t>TK-27</t>
  </si>
  <si>
    <t>TANK.TK-27.LEVEL</t>
  </si>
  <si>
    <t>TANK.TK-27.HIGH_LEVEL</t>
  </si>
  <si>
    <t>TANK.TK-27.TANK_ALERT_ALARM</t>
  </si>
  <si>
    <t>TANK.TK-27.HIGH_HIGH_LEVEL</t>
  </si>
  <si>
    <t>LEVELSWITCH.LSW-14.SWITCH_STATUS</t>
  </si>
  <si>
    <t>LSW-14</t>
  </si>
  <si>
    <t>LEVELSWITCH.LSW-14.PROOF_TEST_OK</t>
  </si>
  <si>
    <t>LEVELSWITCH.LSW-14.PROOF_TEST_FAILED</t>
  </si>
  <si>
    <t>LEVELSWITCH.RDR-14.SWITCH_STATUS</t>
  </si>
  <si>
    <t>RDR-14</t>
  </si>
  <si>
    <t>LEVELSWITCH.RDR-14.PROOF_TEST_OK</t>
  </si>
  <si>
    <t>LEVELSWITCH.RDR-14.PROOF_TEST_FAILED</t>
  </si>
  <si>
    <t>MOV.ROSOV-27.OPEN_STATUS</t>
  </si>
  <si>
    <t>ROSOV-27</t>
  </si>
  <si>
    <t>MOV.ROSOV-27.FAILED_TO_CLOSE</t>
  </si>
  <si>
    <t>MOV.ROSOV-28.OPEN_STATUS</t>
  </si>
  <si>
    <t>ROSOV-28</t>
  </si>
  <si>
    <t>MOV.ROSOV-28.FAILED_TO_CLOSE</t>
  </si>
  <si>
    <t>MOV.MOV-040.OPEN_STATUS</t>
  </si>
  <si>
    <t>MOV-040</t>
  </si>
  <si>
    <t>MOV.MOV-041.OPEN_STATUS</t>
  </si>
  <si>
    <t>TK-28</t>
  </si>
  <si>
    <t>TANK.TK-28.LEVEL</t>
  </si>
  <si>
    <t>TANK.TK-28.HIGH_LEVEL</t>
  </si>
  <si>
    <t>TANK.TK-28.TANK_ALERT_ALARM</t>
  </si>
  <si>
    <t>TANK.TK-28.HIGH_HIGH_LEVEL</t>
  </si>
  <si>
    <t>LEVELSWITCH.LSW-15.SWITCH_STATUS</t>
  </si>
  <si>
    <t>LSW-15</t>
  </si>
  <si>
    <t>LEVELSWITCH.LSW-15.PROOF_TEST_OK</t>
  </si>
  <si>
    <t>LEVELSWITCH.LSW-15.PROOF_TEST_FAILED</t>
  </si>
  <si>
    <t>LEVELSWITCH.RDR-15.SWITCH_STATUS</t>
  </si>
  <si>
    <t>RDR-15</t>
  </si>
  <si>
    <t>LEVELSWITCH.RDR-15.PROOF_TEST_OK</t>
  </si>
  <si>
    <t>LEVELSWITCH.RDR-15.PROOF_TEST_FAILED</t>
  </si>
  <si>
    <t>MOV.ROSOV-29.OPEN_STATUS</t>
  </si>
  <si>
    <t>ROSOV-29</t>
  </si>
  <si>
    <t>MOV.ROSOV-29.FAILED_TO_CLOSE</t>
  </si>
  <si>
    <t>MOV.ROSOV-30.OPEN_STATUS</t>
  </si>
  <si>
    <t>ROSOV-30</t>
  </si>
  <si>
    <t>MOV.ROSOV-30.FAILED_TO_CLOSE</t>
  </si>
  <si>
    <t>MOV.MOV-043.OPEN_STATUS</t>
  </si>
  <si>
    <t>MOV-043</t>
  </si>
  <si>
    <t>MOV.MOV-044.OPEN_STATUS</t>
  </si>
  <si>
    <t>TK-29</t>
  </si>
  <si>
    <t>TANK.TK-29.LEVEL</t>
  </si>
  <si>
    <t>TANK.TK-29.TANK_ALERT_ALARM</t>
  </si>
  <si>
    <t>TK-30</t>
  </si>
  <si>
    <t>TANK.TK-30.LEVEL</t>
  </si>
  <si>
    <t>TANK.TK-30.TANK_ALERT_ALARM</t>
  </si>
  <si>
    <t>TK-32</t>
  </si>
  <si>
    <t>TANK.TK-32.LEVEL</t>
  </si>
  <si>
    <t>TANK.TK-32.HIGH_LEVEL</t>
  </si>
  <si>
    <t>TANK.TK-32.TANK_ALERT_ALARM</t>
  </si>
  <si>
    <t>TANK.TK-32.HIGH_HIGH_LEVEL</t>
  </si>
  <si>
    <t>TANK MAINTENANCE</t>
  </si>
  <si>
    <t>LEVEL SWITCH MAINTENANCE</t>
  </si>
  <si>
    <t>RADAR MAINTENANCE</t>
  </si>
  <si>
    <t>ROSOV MAINTENANCE IL1</t>
  </si>
  <si>
    <t>ROSOV MAINTENANCE IL2</t>
  </si>
  <si>
    <t>Sensor_id</t>
  </si>
  <si>
    <t>Sensor_type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</si>
  <si>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</si>
  <si>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</si>
  <si>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</si>
  <si>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</si>
  <si>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</si>
  <si>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</si>
  <si>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</si>
  <si>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Rewari_M</t>
  </si>
  <si>
    <t>TANK.TK-01.MAINTENANCE_STATUS</t>
  </si>
  <si>
    <t>LEVELSWITCH.LSW-01.MAINTENANCE_STATUS</t>
  </si>
  <si>
    <t>LEVELSWITCH.RDR-01.MAINTENANCE_STATUS</t>
  </si>
  <si>
    <t>MOV.MOV-001.MAINTENANCE_STATUS</t>
  </si>
  <si>
    <t>TANK.TK-02.MAINTENANCE_STATUS</t>
  </si>
  <si>
    <t>LEVELSWITCH.LSW-02.MAINTENANCE_STATUS</t>
  </si>
  <si>
    <t>LEVELSWITCH.RDR-02.MAINTENANCE_STATUS</t>
  </si>
  <si>
    <t>MOV.MOV-004.MAINTENANCE_STATUS</t>
  </si>
  <si>
    <t>TANK.TK-03.MAINTENANCE_STATUS</t>
  </si>
  <si>
    <t>LEVELSWITCH.LSW-03.MAINTENANCE_STATUS</t>
  </si>
  <si>
    <t>LEVELSWITCH.RDR-03.MAINTENANCE_STATUS</t>
  </si>
  <si>
    <t>MOV.MOV-007.MAINTENANCE_STATUS</t>
  </si>
  <si>
    <t>TANK.TK-04.MAINTENANCE_STATUS</t>
  </si>
  <si>
    <t>LEVELSWITCH.LSW-04.MAINTENANCE_STATUS</t>
  </si>
  <si>
    <t>LEVELSWITCH.RDR-04.MAINTENANCE_STATUS</t>
  </si>
  <si>
    <t>MOV.MOV-010.MAINTENANCE_STATUS</t>
  </si>
  <si>
    <t>TANK.TK-05.MAINTENANCE_STATUS</t>
  </si>
  <si>
    <t>LEVELSWITCH.LSW-05.MAINTENANCE_STATUS</t>
  </si>
  <si>
    <t>LEVELSWITCH.RDR-05.MAINTENANCE_STATUS</t>
  </si>
  <si>
    <t>MOV.MOV-013.MAINTENANCE_STATUS</t>
  </si>
  <si>
    <t>TANK.TK-06.MAINTENANCE_STATUS</t>
  </si>
  <si>
    <t>TANK.TK-07.MAINTENANCE_STATUS</t>
  </si>
  <si>
    <t>TANK.TK-08.MAINTENANCE_STATUS</t>
  </si>
  <si>
    <t>TANK.TK-11.MAINTENANCE_STATUS</t>
  </si>
  <si>
    <t>LEVELSWITCH.LSW-06.MAINTENANCE_STATUS</t>
  </si>
  <si>
    <t>LEVELSWITCH.RDR-06.MAINTENANCE_STATUS</t>
  </si>
  <si>
    <t>MOV.MOV-016.MAINTENANCE_STATUS</t>
  </si>
  <si>
    <t>TANK.TK-12.MAINTENANCE_STATUS</t>
  </si>
  <si>
    <t>LEVELSWITCH.LSW-07.MAINTENANCE_STATUS</t>
  </si>
  <si>
    <t>LEVELSWITCH.RDR-07.MAINTENANCE_STATUS</t>
  </si>
  <si>
    <t>MOV.MOV-019.MAINTENANCE_STATUS</t>
  </si>
  <si>
    <t>TANK.TK-13.MAINTENANCE_STATUS</t>
  </si>
  <si>
    <t>LEVELSWITCH.LSW-08.MAINTENANCE_STATUS</t>
  </si>
  <si>
    <t>LEVELSWITCH.RDR-08.MAINTENANCE_STATUS</t>
  </si>
  <si>
    <t>MOV.MOV-022.MAINTENANCE_STATUS</t>
  </si>
  <si>
    <t>TANK.TK-14.MAINTENANCE_STATUS</t>
  </si>
  <si>
    <t>LEVELSWITCH.LSW-09.MAINTENANCE_STATUS</t>
  </si>
  <si>
    <t>LEVELSWITCH.RDR-09.MAINTENANCE_STATUS</t>
  </si>
  <si>
    <t>MOV.MOV-025.MAINTENANCE_STATUS</t>
  </si>
  <si>
    <t>TANK.TK-15.MAINTENANCE_STATUS</t>
  </si>
  <si>
    <t>LEVELSWITCH.LSW-10.MAINTENANCE_STATUS</t>
  </si>
  <si>
    <t>LEVELSWITCH.RDR-10.MAINTENANCE_STATUS</t>
  </si>
  <si>
    <t>MOV.MOV-028.MAINTENANCE_STATUS</t>
  </si>
  <si>
    <t>LEVELSWITCH.LSW-11.MAINTENANCE_STATUS</t>
  </si>
  <si>
    <t>LEVELSWITCH.RDR-11.MAINTENANCE_STATUS</t>
  </si>
  <si>
    <t>MOV.MOV-031.MAINTENANCE_STATUS</t>
  </si>
  <si>
    <t>MOV.MOV-033.MAINTENANCE_STATUS</t>
  </si>
  <si>
    <t>LEVELSWITCH.LSW-12.MAINTENANCE_STATUS</t>
  </si>
  <si>
    <t>LEVELSWITCH.RDR-12.MAINTENANCE_STATUS</t>
  </si>
  <si>
    <t>MOV.MOV-034.MAINTENANCE_STATUS</t>
  </si>
  <si>
    <t>TANK.TK-18.MAINTENANCE_STATUS</t>
  </si>
  <si>
    <t>TANK.TK-19.MAINTENANCE_STATUS</t>
  </si>
  <si>
    <t>TANK.TK-20.MAINTENANCE_STATUS</t>
  </si>
  <si>
    <t>TANK.TK-21.MAINTENANCE_STATUS</t>
  </si>
  <si>
    <t>TANK.TK-26.MAINTENANCE_STATUS</t>
  </si>
  <si>
    <t>LEVELSWITCH.LSW-13.MAINTENANCE_STATUS</t>
  </si>
  <si>
    <t>LEVELSWITCH.RDR-13.MAINTENANCE_STATUS</t>
  </si>
  <si>
    <t>MOV.MOV-037.MAINTENANCE_STATUS</t>
  </si>
  <si>
    <t>TANK.TK-27.MAINTENANCE_STATUS</t>
  </si>
  <si>
    <t>LEVELSWITCH.LSW-14.MAINTENANCE_STATUS</t>
  </si>
  <si>
    <t>LEVELSWITCH.RDR-14.MAINTENANCE_STATUS</t>
  </si>
  <si>
    <t>MOV.MOV-040.MAINTENANCE_STATUS</t>
  </si>
  <si>
    <t>TANK.TK-28.MAINTENANCE_STATUS</t>
  </si>
  <si>
    <t>LEVELSWITCH.LSW-15.MAINTENANCE_STATUS</t>
  </si>
  <si>
    <t>LEVELSWITCH.RDR-15.MAINTENANCE_STATUS</t>
  </si>
  <si>
    <t>MOV.MOV-043.MAINTENANCE_STATUS</t>
  </si>
  <si>
    <t>TANK.TK-32.MAINTENANCE_STATUS</t>
  </si>
  <si>
    <t>Pump ID</t>
  </si>
  <si>
    <t>Fuel Type</t>
  </si>
  <si>
    <t>Pump Type</t>
  </si>
  <si>
    <t>Pump Direction(Reciept/Dispatch)</t>
  </si>
  <si>
    <t>PUMP ON STATUS</t>
  </si>
  <si>
    <t>PUMP ON STATUS Normal value</t>
  </si>
  <si>
    <t>PUMP OFF STATUS</t>
  </si>
  <si>
    <t>PUMP OFF STATUS Normal value</t>
  </si>
  <si>
    <t>PUMP LR STATUS</t>
  </si>
  <si>
    <t>PUMP LR STATUS Normal value</t>
  </si>
  <si>
    <t>PUMP MAINTENANCE STATUS</t>
  </si>
  <si>
    <t>ADTV-PMP-01</t>
  </si>
  <si>
    <t>POWERMS</t>
  </si>
  <si>
    <t>Truck Loading</t>
  </si>
  <si>
    <t>PUMP.ADTV-PMP-01.ON</t>
  </si>
  <si>
    <t>PUMP.ADTV-PMP-01.OFF</t>
  </si>
  <si>
    <t>PUMP.ADTV-PMP-01.LOCAL_STATUS</t>
  </si>
  <si>
    <t>PUMP.ADTV-PMP-01.MAINTENANCE_STATUS</t>
  </si>
  <si>
    <t>ADTV-PMP-02</t>
  </si>
  <si>
    <t>PUMP.ADTV-PMP-02.ON</t>
  </si>
  <si>
    <t>PUMP.ADTV-PMP-02.OFF</t>
  </si>
  <si>
    <t>PUMP.ADTV-PMP-02.LOCAL_STATUS</t>
  </si>
  <si>
    <t>PUMP.ADTV-PMP-02.MAINTENANCE_STATUS</t>
  </si>
  <si>
    <t>ADTV-PMP-03</t>
  </si>
  <si>
    <t>TURBOHSD</t>
  </si>
  <si>
    <t>PUMP.ADTV-PMP-03.ON</t>
  </si>
  <si>
    <t>PUMP.ADTV-PMP-03.OFF</t>
  </si>
  <si>
    <t>PUMP.ADTV-PMP-03.LOCAL_STATUS</t>
  </si>
  <si>
    <t>PUMP.ADTV-PMP-03.MAINTENANCE_STATUS</t>
  </si>
  <si>
    <t>ADTV-PMP-04</t>
  </si>
  <si>
    <t>PUMP.ADTV-PMP-04.ON</t>
  </si>
  <si>
    <t>PUMP.ADTV-PMP-04.OFF</t>
  </si>
  <si>
    <t>PUMP.ADTV-PMP-04.LOCAL_STATUS</t>
  </si>
  <si>
    <t>PUMP.ADTV-PMP-04.MAINTENANCE_STATUS</t>
  </si>
  <si>
    <t>PMP-01</t>
  </si>
  <si>
    <t>PUMP.PMP-01.ON</t>
  </si>
  <si>
    <t>PUMP.PMP-01.OFF</t>
  </si>
  <si>
    <t>PUMP.PMP-01.LOCAL_STATUS</t>
  </si>
  <si>
    <t>PUMP.PMP-01.MAINTENANCE_STATUS</t>
  </si>
  <si>
    <t>PMP-02</t>
  </si>
  <si>
    <t>PUMP.PMP-02.ON</t>
  </si>
  <si>
    <t>PUMP.PMP-02.OFF</t>
  </si>
  <si>
    <t>PUMP.PMP-02.LOCAL_STATUS</t>
  </si>
  <si>
    <t>PUMP.PMP-02.MAINTENANCE_STATUS</t>
  </si>
  <si>
    <t>PMP-03</t>
  </si>
  <si>
    <t>PUMP.PMP-03.ON</t>
  </si>
  <si>
    <t>PUMP.PMP-03.OFF</t>
  </si>
  <si>
    <t>PUMP.PMP-03.LOCAL_STATUS</t>
  </si>
  <si>
    <t>PUMP.PMP-03.MAINTENANCE_STATUS</t>
  </si>
  <si>
    <t>PMP-04</t>
  </si>
  <si>
    <t>PUMP.PMP-04.ON</t>
  </si>
  <si>
    <t>PUMP.PMP-04.OFF</t>
  </si>
  <si>
    <t>PUMP.PMP-04.LOCAL_STATUS</t>
  </si>
  <si>
    <t>PUMP.PMP-04.MAINTENANCE_STATUS</t>
  </si>
  <si>
    <t>PMP-05</t>
  </si>
  <si>
    <t>PUMP.PMP-05.ON</t>
  </si>
  <si>
    <t>PUMP.PMP-05.OFF</t>
  </si>
  <si>
    <t>PUMP.PMP-05.LOCAL_STATUS</t>
  </si>
  <si>
    <t>PUMP.PMP-05.MAINTENANCE_STATUS</t>
  </si>
  <si>
    <t>PMP-06</t>
  </si>
  <si>
    <t>PUMP.PMP-06.ON</t>
  </si>
  <si>
    <t>PUMP.PMP-06.OFF</t>
  </si>
  <si>
    <t>PUMP.PMP-06.LOCAL_STATUS</t>
  </si>
  <si>
    <t>PUMP.PMP-06.MAINTENANCE_STATUS</t>
  </si>
  <si>
    <t>PMP-07</t>
  </si>
  <si>
    <t>PUMP.PMP-07.ON</t>
  </si>
  <si>
    <t>PUMP.PMP-07.OFF</t>
  </si>
  <si>
    <t>PUMP.PMP-07.LOCAL_STATUS</t>
  </si>
  <si>
    <t>PUMP.PMP-07.MAINTENANCE_STATUS</t>
  </si>
  <si>
    <t>PMP-08</t>
  </si>
  <si>
    <t>PUMP.PMP-08.ON</t>
  </si>
  <si>
    <t>PUMP.PMP-08.OFF</t>
  </si>
  <si>
    <t>PUMP.PMP-08.LOCAL_STATUS</t>
  </si>
  <si>
    <t>PUMP.PMP-08.MAINTENANCE_STATUS</t>
  </si>
  <si>
    <t>PMP-09</t>
  </si>
  <si>
    <t>PUMP.PMP-09.ON</t>
  </si>
  <si>
    <t>PUMP.PMP-09.OFF</t>
  </si>
  <si>
    <t>PUMP.PMP-09.LOCAL_STATUS</t>
  </si>
  <si>
    <t>PUMP.PMP-09.MAINTENANCE_STATUS</t>
  </si>
  <si>
    <t>PMP-10</t>
  </si>
  <si>
    <t>PUMP.PMP-10.ON</t>
  </si>
  <si>
    <t>PUMP.PMP-10.OFF</t>
  </si>
  <si>
    <t>PUMP.PMP-10.LOCAL_STATUS</t>
  </si>
  <si>
    <t>PUMP.PMP-10.MAINTENANCE_STATUS</t>
  </si>
  <si>
    <t>PMP-11</t>
  </si>
  <si>
    <t>PUMP.PMP-11.ON</t>
  </si>
  <si>
    <t>PUMP.PMP-11.OFF</t>
  </si>
  <si>
    <t>PUMP.PMP-11.LOCAL_STATUS</t>
  </si>
  <si>
    <t>PUMP.PMP-11.MAINTENANCE_STATUS</t>
  </si>
  <si>
    <t>PMP-12</t>
  </si>
  <si>
    <t>PUMP.PMP-12.ON</t>
  </si>
  <si>
    <t>PUMP.PMP-12.OFF</t>
  </si>
  <si>
    <t>PUMP.PMP-12.LOCAL_STATUS</t>
  </si>
  <si>
    <t>PUMP.PMP-12.MAINTENANCE_STATUS</t>
  </si>
  <si>
    <t>PMP-13</t>
  </si>
  <si>
    <t>PUMP.PMP-13.ON</t>
  </si>
  <si>
    <t>PUMP.PMP-13.OFF</t>
  </si>
  <si>
    <t>PUMP.PMP-13.LOCAL_STATUS</t>
  </si>
  <si>
    <t>PUMP.PMP-13.MAINTENANCE_STATUS</t>
  </si>
  <si>
    <t>PMP-18</t>
  </si>
  <si>
    <t>PUMP.PMP-18.ON</t>
  </si>
  <si>
    <t>PUMP.PMP-18.OFF</t>
  </si>
  <si>
    <t>PUMP.PMP-18.LOCAL_STATUS</t>
  </si>
  <si>
    <t>PUMP.PMP-18.MAINTENANCE_STATUS</t>
  </si>
  <si>
    <t>PMP-19</t>
  </si>
  <si>
    <t>PUMP.PMP-19.ON</t>
  </si>
  <si>
    <t>PUMP.PMP-19.OFF</t>
  </si>
  <si>
    <t>PUMP.PMP-19.LOCAL_STATUS</t>
  </si>
  <si>
    <t>PUMP.PMP-19.MAINTENANCE_STATUS</t>
  </si>
  <si>
    <t>PMP-20</t>
  </si>
  <si>
    <t>PUMP.PMP-20.ON</t>
  </si>
  <si>
    <t>PUMP.PMP-20.OFF</t>
  </si>
  <si>
    <t>PUMP.PMP-20.LOCAL_STATUS</t>
  </si>
  <si>
    <t>PUMP.PMP-20.MAINTENANCE_STATUS</t>
  </si>
  <si>
    <t>PMP-21</t>
  </si>
  <si>
    <t>PUMP.PMP-21.ON</t>
  </si>
  <si>
    <t>PUMP.PMP-21.OFF</t>
  </si>
  <si>
    <t>PUMP.PMP-21.LOCAL_STATUS</t>
  </si>
  <si>
    <t>PUMP.PMP-21.MAINTENANCE_STATUS</t>
  </si>
  <si>
    <t>PMP-22</t>
  </si>
  <si>
    <t>PUMP.PMP-22.ON</t>
  </si>
  <si>
    <t>PUMP.PMP-22.OFF</t>
  </si>
  <si>
    <t>PUMP.PMP-22.LOCAL_STATUS</t>
  </si>
  <si>
    <t>PUMP.PMP-22.MAINTENANCE_STATUS</t>
  </si>
  <si>
    <t>PMP-IOCL-01</t>
  </si>
  <si>
    <t>Wagon Loading</t>
  </si>
  <si>
    <t>PUMP.PMP-IOCL-01.ON</t>
  </si>
  <si>
    <t>PUMP.PMP-IOCL-01.OFF</t>
  </si>
  <si>
    <t>PMP-IOCL-02</t>
  </si>
  <si>
    <t>PUMP.PMP-IOCL-02.ON</t>
  </si>
  <si>
    <t>PUMP.PMP-IOCL-02.OFF</t>
  </si>
  <si>
    <t>PMP-IOCL-03</t>
  </si>
  <si>
    <t>PUMP.PMP-IOCL-03.ON</t>
  </si>
  <si>
    <t>PUMP.PMP-IOCL-03.OFF</t>
  </si>
  <si>
    <t>PMP-IOCL-04</t>
  </si>
  <si>
    <t>PUMP.PMP-IOCL-04.ON</t>
  </si>
  <si>
    <t>PUMP.PMP-IOCL-04.OFF</t>
  </si>
  <si>
    <t>PMP-IOCL-05</t>
  </si>
  <si>
    <t>PUMP.PMP-IOCL-05.ON</t>
  </si>
  <si>
    <t>PUMP.PMP-IOCL-05.OFF</t>
  </si>
  <si>
    <t>PMP-IOCL-06</t>
  </si>
  <si>
    <t>PUMP.PMP-IOCL-06.ON</t>
  </si>
  <si>
    <t>PUMP.PMP-IOCL-06.OFF</t>
  </si>
  <si>
    <t>PMP-IOCL-07</t>
  </si>
  <si>
    <t>PUMP.PMP-IOCL-07.ON</t>
  </si>
  <si>
    <t>PUMP.PMP-IOCL-07.OFF</t>
  </si>
  <si>
    <t>VRU-PMP-01</t>
  </si>
  <si>
    <t>BS IV HSD</t>
  </si>
  <si>
    <t>Both</t>
  </si>
  <si>
    <t>PUMP.VRU-PMP-01.ON</t>
  </si>
  <si>
    <t>PUMP.VRU-PMP-01.OFF</t>
  </si>
  <si>
    <t>PUMP.VRU-PMP-01.MAINTENANCE_STATUS</t>
  </si>
  <si>
    <t>FIRE PUMP MAINTENANCE</t>
  </si>
  <si>
    <t>FIRE PUMP MAINTENANCE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</si>
  <si>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</si>
  <si>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</si>
  <si>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</si>
  <si>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</si>
  <si>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</si>
  <si>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</si>
  <si>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STANDBY</t>
  </si>
  <si>
    <t>FIRE PUMP FAIL TO START STANDBY Normal value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</si>
  <si>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</si>
  <si>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</si>
  <si>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</si>
  <si>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</si>
  <si>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</si>
  <si>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</si>
  <si>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</si>
  <si>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Water</t>
  </si>
  <si>
    <t>PUMP HOUSE</t>
  </si>
  <si>
    <t>DISPATCH</t>
  </si>
  <si>
    <t>PUMP.FWP-01.ON</t>
  </si>
  <si>
    <t>PUMP.FWP-01.OFF</t>
  </si>
  <si>
    <t>PUMP.FWP-01.LOCAL_STATUS</t>
  </si>
  <si>
    <t>PUMP.FWP-01.LOW_LUBE_OIL_PRESSURE_ALARM</t>
  </si>
  <si>
    <t>PUMP.FWP-01.HIGH_TEMPERATURE_ALARM</t>
  </si>
  <si>
    <t>FWP-02</t>
  </si>
  <si>
    <t>PUMP.FWP-02.ON</t>
  </si>
  <si>
    <t>PUMP.FWP-02.OFF</t>
  </si>
  <si>
    <t>PUMP.FWP-02.LOCAL_STATUS</t>
  </si>
  <si>
    <t>PUMP.FWP-02.LOW_LUBE_OIL_PRESSURE_ALARM</t>
  </si>
  <si>
    <t>PUMP.FWP-02.HIGH_TEMPERATURE_ALARM</t>
  </si>
  <si>
    <t>FWP-03</t>
  </si>
  <si>
    <t>PUMP.FWP-03.ON</t>
  </si>
  <si>
    <t>PUMP.FWP-03.OFF</t>
  </si>
  <si>
    <t>PUMP.FWP-03.LOCAL_STATUS</t>
  </si>
  <si>
    <t>PUMP.FWP-03.LOW_LUBE_OIL_PRESSURE_ALARM</t>
  </si>
  <si>
    <t>PUMP.FWP-03.HIGH_TEMPERATURE_ALARM</t>
  </si>
  <si>
    <t>JCY-01</t>
  </si>
  <si>
    <t>Jockey</t>
  </si>
  <si>
    <t>PUMP.JCY-01.ON</t>
  </si>
  <si>
    <t>PUMP.JCY-01.OFF</t>
  </si>
  <si>
    <t>PUMP.JCY-01.LOCAL_STATUS</t>
  </si>
  <si>
    <t>PUMP.JCY-01.PUMP_TRIPPED</t>
  </si>
  <si>
    <t>JCY-02</t>
  </si>
  <si>
    <t>PUMP.JCY-02.ON</t>
  </si>
  <si>
    <t>PUMP.JCY-02.OFF</t>
  </si>
  <si>
    <t>PUMP.JCY-02.LOCAL_STATUS</t>
  </si>
  <si>
    <t>PUMP.JCY-02.PUMP_TRIPPED</t>
  </si>
  <si>
    <t>FARTHEST</t>
  </si>
  <si>
    <t>POINT</t>
  </si>
  <si>
    <t>PT</t>
  </si>
  <si>
    <t>PressureTransmitter.PT-02.MAINTENANCE_STATUS</t>
  </si>
  <si>
    <t>NEAREST</t>
  </si>
  <si>
    <t>PressureTransmitter.PT-03.MAINTENANCE_STATUS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</si>
  <si>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</si>
  <si>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</si>
  <si>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</si>
  <si>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</si>
  <si>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</si>
  <si>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</si>
  <si>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</si>
  <si>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</si>
  <si>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</si>
  <si>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</si>
  <si>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Control Room</t>
  </si>
  <si>
    <t>UPS.UPS-01.MAIN_AC_FAIL</t>
  </si>
  <si>
    <t>UPS.UPS-01.LOW_BATTERY</t>
  </si>
  <si>
    <t>UPS.UPS-01.LOAD_ON_UPS</t>
  </si>
  <si>
    <t>UPS-02</t>
  </si>
  <si>
    <t>UPS.UPS-02.MAIN_AC_FAIL</t>
  </si>
  <si>
    <t>UPS.UPS-02.LOW_BATTERY</t>
  </si>
  <si>
    <t>UPS.UPS-02.LOAD_ON_UPS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</si>
  <si>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</si>
  <si>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</si>
  <si>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</si>
  <si>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</si>
  <si>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</si>
  <si>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</si>
  <si>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</si>
  <si>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</si>
  <si>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</si>
  <si>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Senosr_Type</t>
  </si>
  <si>
    <t>PLC A COOMUNCIATION</t>
  </si>
  <si>
    <t>PLC A COOMUNCIATION Normal Value</t>
  </si>
  <si>
    <t>PLC B COOMUNCIATION</t>
  </si>
  <si>
    <t>PLC B COOMUNCIATION Normal Value</t>
  </si>
  <si>
    <t>GEPLC</t>
  </si>
  <si>
    <t>Process PLC</t>
  </si>
  <si>
    <t>PLC.TASPLC.PLCA_IS_MASTER</t>
  </si>
  <si>
    <t>TASPLC</t>
  </si>
  <si>
    <t>PLC A</t>
  </si>
  <si>
    <t>PLC.TASPLC.PLCB_IS_MASTER</t>
  </si>
  <si>
    <t>PLC B</t>
  </si>
  <si>
    <t>SFT PLC</t>
  </si>
  <si>
    <t>Safety PLC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</si>
  <si>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</si>
  <si>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</si>
  <si>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</si>
  <si>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</si>
  <si>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</si>
  <si>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</si>
  <si>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</si>
  <si>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</si>
  <si>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</si>
  <si>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</si>
  <si>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</si>
  <si>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</si>
  <si>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HCD Hooter Activated</t>
  </si>
  <si>
    <t>HDS-01</t>
  </si>
  <si>
    <t>OP-HCD-AT-PUMPHOUSE</t>
  </si>
  <si>
    <t>OPEN TYPE AT PUMP HOUSE 1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</si>
  <si>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</si>
  <si>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</si>
  <si>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</si>
  <si>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</si>
  <si>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</si>
  <si>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PLC.SFTPLC.HOOTER_FOR_HC_CR</t>
  </si>
  <si>
    <t>HDS-02</t>
  </si>
  <si>
    <t>OP-HCD-NEAR-TK1-2</t>
  </si>
  <si>
    <t>OPEN TYPE AT MS DYKE1 NEAR TK1-2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</si>
  <si>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</si>
  <si>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</si>
  <si>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</si>
  <si>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</si>
  <si>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</si>
  <si>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</si>
  <si>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OP-HCD-NEAR-TK16-17</t>
  </si>
  <si>
    <t>OPEN TYPE AT MS DYKE1 NEAR TK16-17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</si>
  <si>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</si>
  <si>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</si>
  <si>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</si>
  <si>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</si>
  <si>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</si>
  <si>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</si>
  <si>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OP-HCD-NEAR-TK15</t>
  </si>
  <si>
    <t>OPEN TYPE AT MS DYKE 2 NEAR TK15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</si>
  <si>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</si>
  <si>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</si>
  <si>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</si>
  <si>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</si>
  <si>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</si>
  <si>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HDS-05</t>
  </si>
  <si>
    <t>P-HCD-NEAR-TK17</t>
  </si>
  <si>
    <t>FIXED HCD AT MS DYKE4 NEAR TK17</t>
  </si>
  <si>
    <t>GDS.HDS-05.HYDROCARBON_40_PCT_LEL</t>
  </si>
  <si>
    <t>GDS.HDS-05.HYDROCARBON_20_PCT_LEL</t>
  </si>
  <si>
    <t>GDS.HDS-05.CRITICAL_FAULT_ALARM</t>
  </si>
  <si>
    <t>GDS.HDS-05.MISALIGNMENT_FAULT_ALARM</t>
  </si>
  <si>
    <t>GDS.HDS-05.MAINTENANCE_CALL</t>
  </si>
  <si>
    <t>HDS-06</t>
  </si>
  <si>
    <t>OP-HCD-NEAR-TK12-26</t>
  </si>
  <si>
    <t>OPEN TYPE NEAR AT MS DYKE1 NEAR TK12-26</t>
  </si>
  <si>
    <t>GDS.HDS-06.HYDROCARBON_40_PCT_LEL</t>
  </si>
  <si>
    <t>GDS.HDS-06.HYDROCARBON_20_PCT_LEL</t>
  </si>
  <si>
    <t>GDS.HDS-06.CRITICAL_FAULT_ALARM</t>
  </si>
  <si>
    <t>GDS.HDS-06.MISALIGNMENT_FAULT_ALARM</t>
  </si>
  <si>
    <t>GDS.HDS-06.MAINTENANCE_CALL</t>
  </si>
  <si>
    <t>HDS-07</t>
  </si>
  <si>
    <t>P-HCD-NEAR-TK26</t>
  </si>
  <si>
    <t>FIXED TYPE MS DYKE1 NEAR TK26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</si>
  <si>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</si>
  <si>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</si>
  <si>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</si>
  <si>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</si>
  <si>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</si>
  <si>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</si>
  <si>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P-HDS-AT-PH-DRAIN</t>
  </si>
  <si>
    <t>FIXED TYPE AT PUMP HOUSE DRAIN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</si>
  <si>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</si>
  <si>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</si>
  <si>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</si>
  <si>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</si>
  <si>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</si>
  <si>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</si>
  <si>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NEAR_TK-04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</si>
  <si>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</si>
  <si>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</si>
  <si>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</si>
  <si>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</si>
  <si>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</si>
  <si>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Dyke ID</t>
  </si>
  <si>
    <t>DYKE VALVE STATUS</t>
  </si>
  <si>
    <t>DYKE VALVE STATUS Normal Value</t>
  </si>
  <si>
    <t>Dyke Hooter Activated</t>
  </si>
  <si>
    <t>DV-01</t>
  </si>
  <si>
    <t>DRAINVALVE.DV-01.DRAIN_VALVE_STATUS</t>
  </si>
  <si>
    <t>PLC.SFTPLC.HOOTER_FOR_RIMSEAL_CR</t>
  </si>
  <si>
    <t>DV-02</t>
  </si>
  <si>
    <t>DRAINVALVE.DV-02.DRAIN_VALVE_STATUS</t>
  </si>
  <si>
    <t>DV-03</t>
  </si>
  <si>
    <t>DRAINVALVE.DV-03.DRAIN_VALVE_STATUS</t>
  </si>
  <si>
    <t>DV-04</t>
  </si>
  <si>
    <t>DRAINVALVE.DV-04.DRAIN_VALVE_STATUS</t>
  </si>
  <si>
    <t>DV-05</t>
  </si>
  <si>
    <t>DRAINVALVE.DV-05.DRAIN_VALVE_STATUS</t>
  </si>
  <si>
    <t>DV-06</t>
  </si>
  <si>
    <t>DRAINVALVE.DV-06.DRAIN_VALVE_STATUS</t>
  </si>
  <si>
    <t>DV-07</t>
  </si>
  <si>
    <t>DRAINVALVE.DV-07.DRAIN_VALVE_STATUS</t>
  </si>
  <si>
    <t>DV-08</t>
  </si>
  <si>
    <t>DRAINVALVE.DV-08.DRAIN_VALVE_STATUS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</si>
  <si>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</si>
  <si>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</si>
  <si>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</si>
  <si>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</si>
  <si>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</si>
  <si>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</si>
  <si>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</si>
  <si>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</si>
  <si>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</si>
  <si>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</si>
  <si>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</si>
  <si>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</si>
  <si>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</si>
  <si>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</si>
  <si>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ID</t>
  </si>
  <si>
    <t>Hooter Name</t>
  </si>
  <si>
    <t>HOOTER STATUS</t>
  </si>
  <si>
    <t>HOOTER STATUS Normal Value</t>
  </si>
  <si>
    <t>HOOTER_FIELD_1</t>
  </si>
  <si>
    <t>Dedicated Hooter cum strobe for TLF P/H Activated in Field</t>
  </si>
  <si>
    <t>PLC.SFTPLC.HOOTER_FIELD_1</t>
  </si>
  <si>
    <t>HOOTER_FIELD_2</t>
  </si>
  <si>
    <t>Dedicated Hooter cum strobe for Near TK-01 Activated in Field</t>
  </si>
  <si>
    <t>PLC.SFTPLC.HOOTER_FIELD_2</t>
  </si>
  <si>
    <t>HOOTER_FIELD_3</t>
  </si>
  <si>
    <t>Dedicated Hooter cum strobe for Near TK-12 Activated in Field</t>
  </si>
  <si>
    <t>PLC.SFTPLC.HOOTER_FIELD_3</t>
  </si>
  <si>
    <t>HOOTER_FIELD_4</t>
  </si>
  <si>
    <t>Dedicated Hooter cum strobe for Near TK-15 Activated in Field</t>
  </si>
  <si>
    <t>PLC.SFTPLC.HOOTER_FIELD_4</t>
  </si>
  <si>
    <t>HOOTER_FIELD_5</t>
  </si>
  <si>
    <t>Dedicated Hooter cum strobe for Near TK-16 Activated in Field</t>
  </si>
  <si>
    <t>PLC.SFTPLC.HOOTER_FIELD_5</t>
  </si>
  <si>
    <t>HOOTER_FOR_ESD_CR</t>
  </si>
  <si>
    <t>Dedicated Hooter cum strobe for ESD activated in control room</t>
  </si>
  <si>
    <t>PLC.SFTPLC.HOOTER_FOR_ESD_CR</t>
  </si>
  <si>
    <t>HOOTER_FOR_HC_CR</t>
  </si>
  <si>
    <t>Dedicated Hooter cum strobe for HC detector activated in control room</t>
  </si>
  <si>
    <t>HOOTER_FOR_RIMSEAL_CR</t>
  </si>
  <si>
    <t>Dedicated Hooter cum strobe for FAP/Dyke activated in control room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</si>
  <si>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</si>
  <si>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</si>
  <si>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</si>
  <si>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</si>
  <si>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</si>
  <si>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</si>
  <si>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All ROSOVs closed</t>
  </si>
  <si>
    <t>Barrier Gate opened</t>
  </si>
  <si>
    <t>TLF Gantry Permissive Power Off</t>
  </si>
  <si>
    <t>All TLF Product Pumps Stopped</t>
  </si>
  <si>
    <t>All Tanks in Dormant Mode</t>
  </si>
  <si>
    <t>All DBBVs Closed</t>
  </si>
  <si>
    <t>ESD Command To Process PLC</t>
  </si>
  <si>
    <t>Siren Activated</t>
  </si>
  <si>
    <t>ESD Hooter activated in control room</t>
  </si>
  <si>
    <t>Power ESD Activation after 120 Sec</t>
  </si>
  <si>
    <t>TTL Dispatch in Dormant Mode</t>
  </si>
  <si>
    <t>ESD-01</t>
  </si>
  <si>
    <t>ESD AT GANTRY SUPERVISOR CABIN</t>
  </si>
  <si>
    <t>ESD.ESD-01.ESD_STATUS</t>
  </si>
  <si>
    <t>ESD.ESD-01.MAINTENANCE_STATUS</t>
  </si>
  <si>
    <t>PLC.SFTPLC.ALL_ROSOV_CLOSED</t>
  </si>
  <si>
    <t>PLC.SFTPLC.GATE_BARRIER_OPENED</t>
  </si>
  <si>
    <t>PLC.SFTPLC.TLF_GANTRY_PERMISSIVE_OFF</t>
  </si>
  <si>
    <t>PLC.TASPLC.ALL_TLF_PUMP_STOPPED</t>
  </si>
  <si>
    <t>PLC.TASPLC.ALL_TANKS_IN_DORMANT</t>
  </si>
  <si>
    <t>PLC.SFTPLC.ALL_MOV_CLOSED</t>
  </si>
  <si>
    <t>PLC.SFTPLC.ESD_STATUS_TO_PROCESS_PLC</t>
  </si>
  <si>
    <t>PLC.SFTPLC.SIREN_ACTIVATED</t>
  </si>
  <si>
    <t>PLC.SFTPLC.ESD_RELAY_PCC_PANEL</t>
  </si>
  <si>
    <t>PLC.TASPLC.ALL_DISPATCH_TANKS_IN_DORMANT</t>
  </si>
  <si>
    <t>ESD-02</t>
  </si>
  <si>
    <t>ESD AT CONTROL ROOM</t>
  </si>
  <si>
    <t>ESD.ESD-02.ESD_STATUS</t>
  </si>
  <si>
    <t>ESD.ESD-02.MAINTENANCE_STATUS</t>
  </si>
  <si>
    <t>ESD-03</t>
  </si>
  <si>
    <t>ESD AT INSIDE PRODUCT PUMP HOUSE</t>
  </si>
  <si>
    <t>ESD.ESD-03.ESD_STATUS</t>
  </si>
  <si>
    <t>ESD.ESD-03.MAINTENANCE_STATUS</t>
  </si>
  <si>
    <t>ESD-04</t>
  </si>
  <si>
    <t>ESD AT SECURITY MAIN GATE</t>
  </si>
  <si>
    <t>ESD.ESD-04.ESD_STATUS</t>
  </si>
  <si>
    <t>ESD.ESD-04.MAINTENANCE_STATUS</t>
  </si>
  <si>
    <t>ESD-05</t>
  </si>
  <si>
    <t>ESD AT BEHIND BAY-08</t>
  </si>
  <si>
    <t>ESD.ESD-05.ESD_STATUS</t>
  </si>
  <si>
    <t>ESD.ESD-05.MAINTENANCE_STATUS</t>
  </si>
  <si>
    <t>ESD-06</t>
  </si>
  <si>
    <t>ESD AT IN FRONT OF PUMP HOUSE</t>
  </si>
  <si>
    <t>ESD.ESD-06.ESD_STATUS</t>
  </si>
  <si>
    <t>ESD.ESD-06.MAINTENANCE_STATUS</t>
  </si>
  <si>
    <t>ESD-07</t>
  </si>
  <si>
    <t>ESD AT NEAR TANK 04</t>
  </si>
  <si>
    <t>ESD.ESD-07.ESD_STATUS</t>
  </si>
  <si>
    <t>ESD.ESD-07.MAINTENANCE_STATUS</t>
  </si>
  <si>
    <t>ESD-08</t>
  </si>
  <si>
    <t>ESD AT NEAR TANK 28</t>
  </si>
  <si>
    <t>ESD.ESD-08.ESD_STATUS</t>
  </si>
  <si>
    <t>ESD.ESD-08.MAINTENANCE_STATUS</t>
  </si>
  <si>
    <t>ESD-09</t>
  </si>
  <si>
    <t>ESD AT NEAR TANK 17</t>
  </si>
  <si>
    <t>ESD.ESD-09.ESD_STATUS</t>
  </si>
  <si>
    <t>ESD.ESD-09.MAINTENANCE_STATUS</t>
  </si>
  <si>
    <t>ESD-10</t>
  </si>
  <si>
    <t>ESD AT MCC ROOM</t>
  </si>
  <si>
    <t>ESD.ESD-10.ESD_STATUS</t>
  </si>
  <si>
    <t>ESD.ESD-10.MAINTENANCE_STATUS</t>
  </si>
  <si>
    <t>ESD-11</t>
  </si>
  <si>
    <t>ESD AT ADMIN BULDING</t>
  </si>
  <si>
    <t>ESD.ESD-11.ESD_STATUS</t>
  </si>
  <si>
    <t>ESD.ESD-11.MAINTENANCE_STATUS</t>
  </si>
  <si>
    <t>ESD-12</t>
  </si>
  <si>
    <t>ESD AT NEAR ERV SHED</t>
  </si>
  <si>
    <t>ESD.ESD-12.ESD_STATUS</t>
  </si>
  <si>
    <t>ESD.ESD-12.MAINTENANCE_STATUS</t>
  </si>
  <si>
    <t>ESD-13</t>
  </si>
  <si>
    <t>PIPELINE ESD</t>
  </si>
  <si>
    <t>ESD FROM PIPE LINE PLC</t>
  </si>
  <si>
    <t>ESD.ESD-13.ESD_STATUS</t>
  </si>
  <si>
    <t>ESD.ESD-13.MAINTENANCE_STATUS</t>
  </si>
  <si>
    <t>ESD-14</t>
  </si>
  <si>
    <t>ESD-SYSTEM</t>
  </si>
  <si>
    <t>CENTRAL ESD</t>
  </si>
  <si>
    <t>ESD.ESD-14.ESD_STATUS</t>
  </si>
  <si>
    <t>ESD-17</t>
  </si>
  <si>
    <t>ESD-RIMSEAL</t>
  </si>
  <si>
    <t>ESD DUE TO RIM SEAL</t>
  </si>
  <si>
    <t>ESD.ESD-17.ESD_STATUS</t>
  </si>
  <si>
    <t>ESD-18</t>
  </si>
  <si>
    <t>ESD AT NEAR TK 15</t>
  </si>
  <si>
    <t>ESD.ESD-18.ESD_STATUS</t>
  </si>
  <si>
    <t>ESD.ESD-18.MAINTENANCE_STATUS</t>
  </si>
  <si>
    <t>ESD-19</t>
  </si>
  <si>
    <t>ESD AT NEAR TK 01</t>
  </si>
  <si>
    <t>ESD.ESD-19.ESD_STATUS</t>
  </si>
  <si>
    <t>ESD.ESD-19.MAINTENANCE_STATUS</t>
  </si>
  <si>
    <t>ESD-BPCL</t>
  </si>
  <si>
    <t>ESD.ESD-BPCL.ESD_STATUS</t>
  </si>
  <si>
    <t>ESD-IOCL</t>
  </si>
  <si>
    <t>ESD.ESD-IOCL.ESD_STATUS</t>
  </si>
  <si>
    <t>ESD-SOFT</t>
  </si>
  <si>
    <t>SOFT FROM OIC</t>
  </si>
  <si>
    <t>ESD.ESD-SOFT.ESD_STATUS</t>
  </si>
  <si>
    <t>ESD-VRU</t>
  </si>
  <si>
    <t>VRU SKID</t>
  </si>
  <si>
    <t>ESD.ESD-VRU.ESD_STATUS</t>
  </si>
  <si>
    <t>Loading Point ID</t>
  </si>
  <si>
    <t>Loading Point Type(TLF/TWF/TLFG/TWD)</t>
  </si>
  <si>
    <t>BCU Number</t>
  </si>
  <si>
    <t>LP Earthing STATUS</t>
  </si>
  <si>
    <t>NO FLOW STATUS OF MAIN</t>
  </si>
  <si>
    <t>NO FLOW STATUS OF BLEND</t>
  </si>
  <si>
    <t>LOW FLOW STATUS OF MAIN</t>
  </si>
  <si>
    <t>LOW FLOW STATUS OF BLEND</t>
  </si>
  <si>
    <t>HIGH FLOW STATUS OF MAIN</t>
  </si>
  <si>
    <t>HIGH FLOW STATUS OF BLEND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</si>
  <si>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</si>
  <si>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</si>
  <si>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</si>
  <si>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</si>
  <si>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</si>
  <si>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</si>
  <si>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</si>
  <si>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 xml:space="preserve">K-FACTOR CHANGE STATUS </t>
  </si>
  <si>
    <t>K-FACTOR CHANGE STATUS BLEND</t>
  </si>
  <si>
    <t>BCU VS MFM TOTALIZER MISMATCH</t>
  </si>
  <si>
    <t>DAY START TOTALIZER MISMATCH</t>
  </si>
  <si>
    <t>DAY START TOTALIZER MISMATCH BLEND</t>
  </si>
  <si>
    <t>LP-1</t>
  </si>
  <si>
    <t>TLF</t>
  </si>
  <si>
    <t>BC-501A</t>
  </si>
  <si>
    <t>SmartLoad-Dual.BC-501A.EARTH_ALARM_STATUS</t>
  </si>
  <si>
    <t>SmartLoad-Dual.BC-501A.NO_FLOW_ALARM_STATUS_M1</t>
  </si>
  <si>
    <t>SmartLoad-Dual.BC-501A.NO_FLOW_ALARM_STATUS_M2</t>
  </si>
  <si>
    <t>SmartLoad-Dual.BC-501A.LOW_FLOW_ALARM_STATUS_M1</t>
  </si>
  <si>
    <t>SmartLoad-Dual.BC-501A.LOW_FLOW_ALARM_STATUS_M2</t>
  </si>
  <si>
    <t>SmartLoad-Dual.BC-501A.HIGH_FLOW_ALARM_STATUS_M1</t>
  </si>
  <si>
    <t>SmartLoad-Dual.BC-501A.HIGH_FLOW_ALARM_STATUS_M2</t>
  </si>
  <si>
    <t>SmartLoad-Dual.BC-501A.UNAUTHORIZE_FLOW_ALARM_STATUS_M1</t>
  </si>
  <si>
    <t>SmartLoad-Dual.BC-501A.METER_OVERRUN_ALARM_STATUS_M1</t>
  </si>
  <si>
    <t>SmartLoad-Dual.BC-501A.BLEND_OVERDOSE_ALARM_STATUS</t>
  </si>
  <si>
    <t>SmartLoad-Dual.BC-501A.BLEND_UNDERDOSE_ALARM_STATUS</t>
  </si>
  <si>
    <t>SmartLoad-Dual.BC-501A.ADDITIVE_OVERDOSE_ALARM_STATUS</t>
  </si>
  <si>
    <t>SmartLoad-Dual.BC-501A.ADDITIVE_UNDERDOSE_ALARM_STATUS</t>
  </si>
  <si>
    <t>SmartLoad-Dual.BC-501A.BATCH_STATUS</t>
  </si>
  <si>
    <t>SmartLoad-Dual.BC-501A.NOMINAL_ARM1_COMP1_KFACTOR_CHANGED</t>
  </si>
  <si>
    <t>SmartLoad-Dual.BC-501A.NOMINAL_ARM1_COMP2_KFACTOR_CHANGED</t>
  </si>
  <si>
    <t>SmartLoad-Dual.BC-501A.MFM_BCU_QTY_BEYOND_TOLERANCE_LIMIT_STATUS</t>
  </si>
  <si>
    <t>SmartLoad-Dual.BC-501A.BCU_C1_TOTALIZER_MISMATCH_ALARM</t>
  </si>
  <si>
    <t>SmartLoad-Dual.BC-501A.BCU_C2_TOTALIZER_MISMATCH_ALARM</t>
  </si>
  <si>
    <t>LP-2</t>
  </si>
  <si>
    <t>BC-501B</t>
  </si>
  <si>
    <t>SmartLoad-Dual.BC-501B.EARTH_ALARM_STATUS</t>
  </si>
  <si>
    <t>SmartLoad-Dual.BC-501B.NO_FLOW_ALARM_STATUS_M3</t>
  </si>
  <si>
    <t>SmartLoad-Dual.BC-501B.LOW_FLOW_ALARM_STATUS_M3</t>
  </si>
  <si>
    <t>SmartLoad-Dual.BC-501B.HIGH_FLOW_ALARM_STATUS_M3</t>
  </si>
  <si>
    <t>SmartLoad-Dual.BC-501B.UNAUTHORIZE_FLOW_ALARM_STATUS_M3</t>
  </si>
  <si>
    <t>SmartLoad-Dual.BC-501B.METER_OVERRUN_ALARM_STATUS_M3</t>
  </si>
  <si>
    <t>SmartLoad-Dual.BC-501B.BLEND_OVERDOSE_ALARM_STATUS</t>
  </si>
  <si>
    <t>SmartLoad-Dual.BC-501B.BLEND_UNDERDOSE_ALARM_STATUS</t>
  </si>
  <si>
    <t>SmartLoad-Dual.BC-501B.ADDITIVE_OVERDOSE_ALARM_STATUS</t>
  </si>
  <si>
    <t>SmartLoad-Dual.BC-501B.ADDITIVE_UNDERDOSE_ALARM_STATUS</t>
  </si>
  <si>
    <t>SmartLoad-Dual.BC-501B.BATCH_STATUS</t>
  </si>
  <si>
    <t>SmartLoad-Dual.BC-501B.NOMINAL_ARM2_COMP1_KFACTOR_CHANGED</t>
  </si>
  <si>
    <t>SmartLoad-Dual.BC-501B.MFM_BCU_QTY_BEYOND_TOLERANCE_LIMIT_STATUS</t>
  </si>
  <si>
    <t>SmartLoad-Dual.BC-501B.BCU_C3_TOTALIZER_MISMATCH_ALARM</t>
  </si>
  <si>
    <t>LP-3</t>
  </si>
  <si>
    <t>BC-502A</t>
  </si>
  <si>
    <t>SmartLoad-Dual.BC-502A.EARTH_ALARM_STATUS</t>
  </si>
  <si>
    <t>SmartLoad-Dual.BC-502A.NO_FLOW_ALARM_STATUS_M1</t>
  </si>
  <si>
    <t>SmartLoad-Dual.BC-502A.NO_FLOW_ALARM_STATUS_M2</t>
  </si>
  <si>
    <t>SmartLoad-Dual.BC-502A.LOW_FLOW_ALARM_STATUS_M1</t>
  </si>
  <si>
    <t>SmartLoad-Dual.BC-502A.LOW_FLOW_ALARM_STATUS_M2</t>
  </si>
  <si>
    <t>SmartLoad-Dual.BC-502A.HIGH_FLOW_ALARM_STATUS_M1</t>
  </si>
  <si>
    <t>SmartLoad-Dual.BC-502A.HIGH_FLOW_ALARM_STATUS_M2</t>
  </si>
  <si>
    <t>SmartLoad-Dual.BC-502A.UNAUTHORIZE_FLOW_ALARM_STATUS_M1</t>
  </si>
  <si>
    <t>SmartLoad-Dual.BC-502A.METER_OVERRUN_ALARM_STATUS_M1</t>
  </si>
  <si>
    <t>SmartLoad-Dual.BC-502A.BLEND_OVERDOSE_ALARM_STATUS</t>
  </si>
  <si>
    <t>SmartLoad-Dual.BC-502A.BLEND_UNDERDOSE_ALARM_STATUS</t>
  </si>
  <si>
    <t>SmartLoad-Dual.BC-502A.ADDITIVE_OVERDOSE_ALARM_STATUS</t>
  </si>
  <si>
    <t>SmartLoad-Dual.BC-502A.ADDITIVE_UNDERDOSE_ALARM_STATUS</t>
  </si>
  <si>
    <t>SmartLoad-Dual.BC-502A.BATCH_STATUS</t>
  </si>
  <si>
    <t>SmartLoad-Dual.BC-502A.NOMINAL_ARM1_COMP1_KFACTOR_CHANGED</t>
  </si>
  <si>
    <t>SmartLoad-Dual.BC-502A.NOMINAL_ARM1_COMP2_KFACTOR_CHANGED</t>
  </si>
  <si>
    <t>SmartLoad-Dual.BC-502A.MFM_BCU_QTY_BEYOND_TOLERANCE_LIMIT_STATUS</t>
  </si>
  <si>
    <t>SmartLoad-Dual.BC-502A.BCU_C1_TOTALIZER_MISMATCH_ALARM</t>
  </si>
  <si>
    <t>SmartLoad-Dual.BC-502A.BCU_C2_TOTALIZER_MISMATCH_ALARM</t>
  </si>
  <si>
    <t>LP-4</t>
  </si>
  <si>
    <t>BC-502B</t>
  </si>
  <si>
    <t>SmartLoad-Dual.BC-502B.EARTH_ALARM_STATUS</t>
  </si>
  <si>
    <t>SmartLoad-Dual.BC-502B.NO_FLOW_ALARM_STATUS_M3</t>
  </si>
  <si>
    <t>SmartLoad-Dual.BC-502B.LOW_FLOW_ALARM_STATUS_M3</t>
  </si>
  <si>
    <t>SmartLoad-Dual.BC-502B.HIGH_FLOW_ALARM_STATUS_M3</t>
  </si>
  <si>
    <t>SmartLoad-Dual.BC-502B.UNAUTHORIZE_FLOW_ALARM_STATUS_M3</t>
  </si>
  <si>
    <t>SmartLoad-Dual.BC-502B.METER_OVERRUN_ALARM_STATUS_M3</t>
  </si>
  <si>
    <t>SmartLoad-Dual.BC-502B.BLEND_OVERDOSE_ALARM_STATUS</t>
  </si>
  <si>
    <t>SmartLoad-Dual.BC-502B.BLEND_UNDERDOSE_ALARM_STATUS</t>
  </si>
  <si>
    <t>SmartLoad-Dual.BC-502B.ADDITIVE_OVERDOSE_ALARM_STATUS</t>
  </si>
  <si>
    <t>SmartLoad-Dual.BC-502B.ADDITIVE_UNDERDOSE_ALARM_STATUS</t>
  </si>
  <si>
    <t>SmartLoad-Dual.BC-502B.BATCH_STATUS</t>
  </si>
  <si>
    <t>SmartLoad-Dual.BC-502B.NOMINAL_ARM2_COMP1_KFACTOR_CHANGED</t>
  </si>
  <si>
    <t>SmartLoad-Dual.BC-502B.MFM_BCU_QTY_BEYOND_TOLERANCE_LIMIT_STATUS</t>
  </si>
  <si>
    <t>SmartLoad-Dual.BC-502B.BCU_C3_TOTALIZER_MISMATCH_ALARM</t>
  </si>
  <si>
    <t>LP-5</t>
  </si>
  <si>
    <t>BC-503A</t>
  </si>
  <si>
    <t>SmartLoad-Dual.BC-503A.EARTH_ALARM_STATUS</t>
  </si>
  <si>
    <t>SmartLoad-Dual.BC-503A.NO_FLOW_ALARM_STATUS_M1</t>
  </si>
  <si>
    <t>SmartLoad-Dual.BC-503A.NO_FLOW_ALARM_STATUS_M2</t>
  </si>
  <si>
    <t>SmartLoad-Dual.BC-503A.LOW_FLOW_ALARM_STATUS_M1</t>
  </si>
  <si>
    <t>SmartLoad-Dual.BC-503A.LOW_FLOW_ALARM_STATUS_M2</t>
  </si>
  <si>
    <t>SmartLoad-Dual.BC-503A.HIGH_FLOW_ALARM_STATUS_M1</t>
  </si>
  <si>
    <t>SmartLoad-Dual.BC-503A.HIGH_FLOW_ALARM_STATUS_M2</t>
  </si>
  <si>
    <t>SmartLoad-Dual.BC-503A.UNAUTHORIZE_FLOW_ALARM_STATUS_M1</t>
  </si>
  <si>
    <t>SmartLoad-Dual.BC-503A.METER_OVERRUN_ALARM_STATUS_M1</t>
  </si>
  <si>
    <t>SmartLoad-Dual.BC-503A.BLEND_OVERDOSE_ALARM_STATUS</t>
  </si>
  <si>
    <t>SmartLoad-Dual.BC-503A.BLEND_UNDERDOSE_ALARM_STATUS</t>
  </si>
  <si>
    <t>SmartLoad-Dual.BC-503A.ADDITIVE_OVERDOSE_ALARM_STATUS</t>
  </si>
  <si>
    <t>SmartLoad-Dual.BC-503A.ADDITIVE_UNDERDOSE_ALARM_STATUS</t>
  </si>
  <si>
    <t>SmartLoad-Dual.BC-503A.BATCH_STATUS</t>
  </si>
  <si>
    <t>SmartLoad-Dual.BC-503A.NOMINAL_ARM1_COMP1_KFACTOR_CHANGED</t>
  </si>
  <si>
    <t>SmartLoad-Dual.BC-503A.NOMINAL_ARM1_COMP2_KFACTOR_CHANGED</t>
  </si>
  <si>
    <t>SmartLoad-Dual.BC-503A.MFM_BCU_QTY_BEYOND_TOLERANCE_LIMIT_STATUS</t>
  </si>
  <si>
    <t>SmartLoad-Dual.BC-503A.BCU_C1_TOTALIZER_MISMATCH_ALARM</t>
  </si>
  <si>
    <t>SmartLoad-Dual.BC-503A.BCU_C2_TOTALIZER_MISMATCH_ALARM</t>
  </si>
  <si>
    <t>LP-6</t>
  </si>
  <si>
    <t>BC-503B</t>
  </si>
  <si>
    <t>SmartLoad-Dual.BC-503B.EARTH_ALARM_STATUS</t>
  </si>
  <si>
    <t>SmartLoad-Dual.BC-503B.NO_FLOW_ALARM_STATUS_M3</t>
  </si>
  <si>
    <t>SmartLoad-Dual.BC-503B.NO_FLOW_ALARM_STATUS_M4</t>
  </si>
  <si>
    <t>SmartLoad-Dual.BC-503B.LOW_FLOW_ALARM_STATUS_M3</t>
  </si>
  <si>
    <t>SmartLoad-Dual.BC-503B.LOW_FLOW_ALARM_STATUS_M4</t>
  </si>
  <si>
    <t>SmartLoad-Dual.BC-503B.HIGH_FLOW_ALARM_STATUS_M3</t>
  </si>
  <si>
    <t>SmartLoad-Dual.BC-503B.HIGH_FLOW_ALARM_STATUS_M4</t>
  </si>
  <si>
    <t>SmartLoad-Dual.BC-503B.UNAUTHORIZE_FLOW_ALARM_STATUS_M3</t>
  </si>
  <si>
    <t>SmartLoad-Dual.BC-503B.METER_OVERRUN_ALARM_STATUS_M3</t>
  </si>
  <si>
    <t>SmartLoad-Dual.BC-503B.BLEND_OVERDOSE_ALARM_STATUS</t>
  </si>
  <si>
    <t>SmartLoad-Dual.BC-503B.BLEND_UNDERDOSE_ALARM_STATUS</t>
  </si>
  <si>
    <t>SmartLoad-Dual.BC-503B.ADDITIVE_OVERDOSE_ALARM_STATUS</t>
  </si>
  <si>
    <t>SmartLoad-Dual.BC-503B.ADDITIVE_UNDERDOSE_ALARM_STATUS</t>
  </si>
  <si>
    <t>SmartLoad-Dual.BC-503B.BATCH_STATUS</t>
  </si>
  <si>
    <t>SmartLoad-Dual.BC-503B.NOMINAL_ARM2_COMP1_KFACTOR_CHANGED</t>
  </si>
  <si>
    <t>SmartLoad-Dual.BC-503B.NOMINAL_ARM2_COMP2_KFACTOR_CHANGED</t>
  </si>
  <si>
    <t>SmartLoad-Dual.BC-503B.MFM_BCU_QTY_BEYOND_TOLERANCE_LIMIT_STATUS</t>
  </si>
  <si>
    <t>SmartLoad-Dual.BC-503B.BCU_C3_TOTALIZER_MISMATCH_ALARM</t>
  </si>
  <si>
    <t>SmartLoad-Dual.BC-503B.BCU_C4_TOTALIZER_MISMATCH_ALARM</t>
  </si>
  <si>
    <t>LP-7</t>
  </si>
  <si>
    <t>BC-504A</t>
  </si>
  <si>
    <t>SmartLoad-Dual.BC-504A.EARTH_ALARM_STATUS</t>
  </si>
  <si>
    <t>SmartLoad-Dual.BC-504A.NO_FLOW_ALARM_STATUS_M1</t>
  </si>
  <si>
    <t>SmartLoad-Dual.BC-504A.NO_FLOW_ALARM_STATUS_M2</t>
  </si>
  <si>
    <t>SmartLoad-Dual.BC-504A.LOW_FLOW_ALARM_STATUS_M1</t>
  </si>
  <si>
    <t>SmartLoad-Dual.BC-504A.LOW_FLOW_ALARM_STATUS_M2</t>
  </si>
  <si>
    <t>SmartLoad-Dual.BC-504A.HIGH_FLOW_ALARM_STATUS_M1</t>
  </si>
  <si>
    <t>SmartLoad-Dual.BC-504A.HIGH_FLOW_ALARM_STATUS_M2</t>
  </si>
  <si>
    <t>SmartLoad-Dual.BC-504A.UNAUTHORIZE_FLOW_ALARM_STATUS_M1</t>
  </si>
  <si>
    <t>SmartLoad-Dual.BC-504A.METER_OVERRUN_ALARM_STATUS_M1</t>
  </si>
  <si>
    <t>SmartLoad-Dual.BC-504A.BLEND_OVERDOSE_ALARM_STATUS</t>
  </si>
  <si>
    <t>SmartLoad-Dual.BC-504A.BLEND_UNDERDOSE_ALARM_STATUS</t>
  </si>
  <si>
    <t>SmartLoad-Dual.BC-504A.ADDITIVE_OVERDOSE_ALARM_STATUS</t>
  </si>
  <si>
    <t>SmartLoad-Dual.BC-504A.ADDITIVE_UNDERDOSE_ALARM_STATUS</t>
  </si>
  <si>
    <t>SmartLoad-Dual.BC-504A.BATCH_STATUS</t>
  </si>
  <si>
    <t>SmartLoad-Dual.BC-504A.NOMINAL_ARM1_COMP1_KFACTOR_CHANGED</t>
  </si>
  <si>
    <t>SmartLoad-Dual.BC-504A.NOMINAL_ARM1_COMP2_KFACTOR_CHANGED</t>
  </si>
  <si>
    <t>SmartLoad-Dual.BC-504A.MFM_BCU_QTY_BEYOND_TOLERANCE_LIMIT_STATUS</t>
  </si>
  <si>
    <t>SmartLoad-Dual.BC-504A.BCU_C1_TOTALIZER_MISMATCH_ALARM</t>
  </si>
  <si>
    <t>SmartLoad-Dual.BC-504A.BCU_C2_TOTALIZER_MISMATCH_ALARM</t>
  </si>
  <si>
    <t>LP-8</t>
  </si>
  <si>
    <t>BC-504B</t>
  </si>
  <si>
    <t>SmartLoad-Dual.BC-504B.EARTH_ALARM_STATUS</t>
  </si>
  <si>
    <t>SmartLoad-Dual.BC-504B.NO_FLOW_ALARM_STATUS_M3</t>
  </si>
  <si>
    <t>SmartLoad-Dual.BC-504B.NO_FLOW_ALARM_STATUS_M4</t>
  </si>
  <si>
    <t>SmartLoad-Dual.BC-504B.LOW_FLOW_ALARM_STATUS_M3</t>
  </si>
  <si>
    <t>SmartLoad-Dual.BC-504B.LOW_FLOW_ALARM_STATUS_M4</t>
  </si>
  <si>
    <t>SmartLoad-Dual.BC-504B.HIGH_FLOW_ALARM_STATUS_M3</t>
  </si>
  <si>
    <t>SmartLoad-Dual.BC-504B.HIGH_FLOW_ALARM_STATUS_M4</t>
  </si>
  <si>
    <t>SmartLoad-Dual.BC-504B.UNAUTHORIZE_FLOW_ALARM_STATUS_M3</t>
  </si>
  <si>
    <t>SmartLoad-Dual.BC-504B.METER_OVERRUN_ALARM_STATUS_M3</t>
  </si>
  <si>
    <t>SmartLoad-Dual.BC-504B.BLEND_OVERDOSE_ALARM_STATUS</t>
  </si>
  <si>
    <t>SmartLoad-Dual.BC-504B.BLEND_UNDERDOSE_ALARM_STATUS</t>
  </si>
  <si>
    <t>SmartLoad-Dual.BC-504B.ADDITIVE_OVERDOSE_ALARM_STATUS</t>
  </si>
  <si>
    <t>SmartLoad-Dual.BC-504B.ADDITIVE_UNDERDOSE_ALARM_STATUS</t>
  </si>
  <si>
    <t>SmartLoad-Dual.BC-504B.BATCH_STATUS</t>
  </si>
  <si>
    <t>SmartLoad-Dual.BC-504B.NOMINAL_ARM2_COMP1_KFACTOR_CHANGED</t>
  </si>
  <si>
    <t>SmartLoad-Dual.BC-504B.NOMINAL_ARM2_COMP2_KFACTOR_CHANGED</t>
  </si>
  <si>
    <t>SmartLoad-Dual.BC-504B.MFM_BCU_QTY_BEYOND_TOLERANCE_LIMIT_STATUS</t>
  </si>
  <si>
    <t>SmartLoad-Dual.BC-504B.BCU_C3_TOTALIZER_MISMATCH_ALARM</t>
  </si>
  <si>
    <t>SmartLoad-Dual.BC-504B.BCU_C4_TOTALIZER_MISMATCH_ALARM</t>
  </si>
  <si>
    <t>LP-9</t>
  </si>
  <si>
    <t>BC-505A</t>
  </si>
  <si>
    <t>SmartLoad-Dual.BC-505A.EARTH_ALARM_STATUS</t>
  </si>
  <si>
    <t>SmartLoad-Dual.BC-505A.NO_FLOW_ALARM_STATUS_M1</t>
  </si>
  <si>
    <t>SmartLoad-Dual.BC-505A.LOW_FLOW_ALARM_STATUS_M1</t>
  </si>
  <si>
    <t>SmartLoad-Dual.BC-505A.HIGH_FLOW_ALARM_STATUS_M1</t>
  </si>
  <si>
    <t>SmartLoad-Dual.BC-505A.UNAUTHORIZE_FLOW_ALARM_STATUS_M1</t>
  </si>
  <si>
    <t>SmartLoad-Dual.BC-505A.METER_OVERRUN_ALARM_STATUS_M1</t>
  </si>
  <si>
    <t>SmartLoad-Dual.BC-505A.BLEND_OVERDOSE_ALARM_STATUS</t>
  </si>
  <si>
    <t>SmartLoad-Dual.BC-505A.BLEND_UNDERDOSE_ALARM_STATUS</t>
  </si>
  <si>
    <t>SmartLoad-Dual.BC-505A.ADDITIVE_OVERDOSE_ALARM_STATUS</t>
  </si>
  <si>
    <t>SmartLoad-Dual.BC-505A.ADDITIVE_UNDERDOSE_ALARM_STATUS</t>
  </si>
  <si>
    <t>SmartLoad-Dual.BC-505A.BATCH_STATUS</t>
  </si>
  <si>
    <t>SmartLoad-Dual.BC-505A.NOMINAL_ARM1_COMP1_KFACTOR_CHANGED</t>
  </si>
  <si>
    <t>SmartLoad-Dual.BC-505A.MFM_BCU_QTY_BEYOND_TOLERANCE_LIMIT_STATUS</t>
  </si>
  <si>
    <t>SmartLoad-Dual.BC-505A.BCU_C1_TOTALIZER_MISMATCH_ALARM</t>
  </si>
  <si>
    <t>LP-10</t>
  </si>
  <si>
    <t>BC-505B</t>
  </si>
  <si>
    <t>SmartLoad-Dual.BC-505B.EARTH_ALARM_STATUS</t>
  </si>
  <si>
    <t>SmartLoad-Dual.BC-505B.NO_FLOW_ALARM_STATUS_M3</t>
  </si>
  <si>
    <t>SmartLoad-Dual.BC-505B.LOW_FLOW_ALARM_STATUS_M3</t>
  </si>
  <si>
    <t>SmartLoad-Dual.BC-505B.HIGH_FLOW_ALARM_STATUS_M3</t>
  </si>
  <si>
    <t>SmartLoad-Dual.BC-505B.UNAUTHORIZE_FLOW_ALARM_STATUS_M3</t>
  </si>
  <si>
    <t>SmartLoad-Dual.BC-505B.METER_OVERRUN_ALARM_STATUS_M3</t>
  </si>
  <si>
    <t>SmartLoad-Dual.BC-505B.BLEND_OVERDOSE_ALARM_STATUS</t>
  </si>
  <si>
    <t>SmartLoad-Dual.BC-505B.BLEND_UNDERDOSE_ALARM_STATUS</t>
  </si>
  <si>
    <t>SmartLoad-Dual.BC-505B.ADDITIVE_OVERDOSE_ALARM_STATUS</t>
  </si>
  <si>
    <t>SmartLoad-Dual.BC-505B.ADDITIVE_UNDERDOSE_ALARM_STATUS</t>
  </si>
  <si>
    <t>SmartLoad-Dual.BC-505B.BATCH_STATUS</t>
  </si>
  <si>
    <t>SmartLoad-Dual.BC-505B.NOMINAL_ARM2_COMP1_KFACTOR_CHANGED</t>
  </si>
  <si>
    <t>SmartLoad-Dual.BC-505B.MFM_BCU_QTY_BEYOND_TOLERANCE_LIMIT_STATUS</t>
  </si>
  <si>
    <t>SmartLoad-Dual.BC-505B.BCU_C3_TOTALIZER_MISMATCH_ALARM</t>
  </si>
  <si>
    <t>LP-11</t>
  </si>
  <si>
    <t>BC-506A</t>
  </si>
  <si>
    <t>SmartLoad-Dual.BC-506A.EARTH_ALARM_STATUS</t>
  </si>
  <si>
    <t>SmartLoad-Dual.BC-506A.NO_FLOW_ALARM_STATUS_M1</t>
  </si>
  <si>
    <t>SmartLoad-Dual.BC-506A.LOW_FLOW_ALARM_STATUS_M1</t>
  </si>
  <si>
    <t>SmartLoad-Dual.BC-506A.HIGH_FLOW_ALARM_STATUS_M1</t>
  </si>
  <si>
    <t>SmartLoad-Dual.BC-506A.UNAUTHORIZE_FLOW_ALARM_STATUS_M1</t>
  </si>
  <si>
    <t>SmartLoad-Dual.BC-506A.METER_OVERRUN_ALARM_STATUS_M1</t>
  </si>
  <si>
    <t>SmartLoad-Dual.BC-506A.BLEND_OVERDOSE_ALARM_STATUS</t>
  </si>
  <si>
    <t>SmartLoad-Dual.BC-506A.BLEND_UNDERDOSE_ALARM_STATUS</t>
  </si>
  <si>
    <t>SmartLoad-Dual.BC-506A.ADDITIVE_OVERDOSE_ALARM_STATUS</t>
  </si>
  <si>
    <t>SmartLoad-Dual.BC-506A.ADDITIVE_UNDERDOSE_ALARM_STATUS</t>
  </si>
  <si>
    <t>SmartLoad-Dual.BC-506A.BATCH_STATUS</t>
  </si>
  <si>
    <t>SmartLoad-Dual.BC-506A.NOMINAL_ARM1_COMP1_KFACTOR_CHANGED</t>
  </si>
  <si>
    <t>SmartLoad-Dual.BC-506A.MFM_BCU_QTY_BEYOND_TOLERANCE_LIMIT_STATUS</t>
  </si>
  <si>
    <t>SmartLoad-Dual.BC-506A.BCU_C1_TOTALIZER_MISMATCH_ALARM</t>
  </si>
  <si>
    <t>LP-12</t>
  </si>
  <si>
    <t>BC-506B</t>
  </si>
  <si>
    <t>SmartLoad-Dual.BC-506B.EARTH_ALARM_STATUS</t>
  </si>
  <si>
    <t>SmartLoad-Dual.BC-506B.NO_FLOW_ALARM_STATUS_M3</t>
  </si>
  <si>
    <t>SmartLoad-Dual.BC-506B.LOW_FLOW_ALARM_STATUS_M3</t>
  </si>
  <si>
    <t>SmartLoad-Dual.BC-506B.HIGH_FLOW_ALARM_STATUS_M3</t>
  </si>
  <si>
    <t>SmartLoad-Dual.BC-506B.UNAUTHORIZE_FLOW_ALARM_STATUS_M3</t>
  </si>
  <si>
    <t>SmartLoad-Dual.BC-506B.METER_OVERRUN_ALARM_STATUS_M3</t>
  </si>
  <si>
    <t>SmartLoad-Dual.BC-506B.BLEND_OVERDOSE_ALARM_STATUS</t>
  </si>
  <si>
    <t>SmartLoad-Dual.BC-506B.BLEND_UNDERDOSE_ALARM_STATUS</t>
  </si>
  <si>
    <t>SmartLoad-Dual.BC-506B.ADDITIVE_OVERDOSE_ALARM_STATUS</t>
  </si>
  <si>
    <t>SmartLoad-Dual.BC-506B.ADDITIVE_UNDERDOSE_ALARM_STATUS</t>
  </si>
  <si>
    <t>SmartLoad-Dual.BC-506B.BATCH_STATUS</t>
  </si>
  <si>
    <t>SmartLoad-Dual.BC-506B.NOMINAL_ARM2_COMP1_KFACTOR_CHANGED</t>
  </si>
  <si>
    <t>SmartLoad-Dual.BC-506B.MFM_BCU_QTY_BEYOND_TOLERANCE_LIMIT_STATUS</t>
  </si>
  <si>
    <t>SmartLoad-Dual.BC-506B.BCU_C3_TOTALIZER_MISMATCH_ALARM</t>
  </si>
  <si>
    <t>LP-13</t>
  </si>
  <si>
    <t>BC-507A</t>
  </si>
  <si>
    <t>SmartLoad-Dual.BC-507A.EARTH_ALARM_STATUS</t>
  </si>
  <si>
    <t>SmartLoad-Dual.BC-507A.NO_FLOW_ALARM_STATUS_M1</t>
  </si>
  <si>
    <t>SmartLoad-Dual.BC-507A.NO_FLOW_ALARM_STATUS_M2</t>
  </si>
  <si>
    <t>SmartLoad-Dual.BC-507A.LOW_FLOW_ALARM_STATUS_M1</t>
  </si>
  <si>
    <t>SmartLoad-Dual.BC-507A.LOW_FLOW_ALARM_STATUS_M2</t>
  </si>
  <si>
    <t>SmartLoad-Dual.BC-507A.HIGH_FLOW_ALARM_STATUS_M1</t>
  </si>
  <si>
    <t>SmartLoad-Dual.BC-507A.HIGH_FLOW_ALARM_STATUS_M2</t>
  </si>
  <si>
    <t>SmartLoad-Dual.BC-507A.UNAUTHORIZE_FLOW_ALARM_STATUS_M1</t>
  </si>
  <si>
    <t>SmartLoad-Dual.BC-507A.METER_OVERRUN_ALARM_STATUS_M1</t>
  </si>
  <si>
    <t>SmartLoad-Dual.BC-507A.BLEND_OVERDOSE_ALARM_STATUS</t>
  </si>
  <si>
    <t>SmartLoad-Dual.BC-507A.BLEND_UNDERDOSE_ALARM_STATUS</t>
  </si>
  <si>
    <t>SmartLoad-Dual.BC-507A.ADDITIVE_OVERDOSE_ALARM_STATUS</t>
  </si>
  <si>
    <t>SmartLoad-Dual.BC-507A.ADDITIVE_UNDERDOSE_ALARM_STATUS</t>
  </si>
  <si>
    <t>SmartLoad-Dual.BC-507A.BATCH_STATUS</t>
  </si>
  <si>
    <t>SmartLoad-Dual.BC-507A.NOMINAL_ARM1_COMP1_KFACTOR_CHANGED</t>
  </si>
  <si>
    <t>SmartLoad-Dual.BC-507A.NOMINAL_ARM1_COMP2_KFACTOR_CHANGED</t>
  </si>
  <si>
    <t>SmartLoad-Dual.BC-507A.MFM_BCU_QTY_BEYOND_TOLERANCE_LIMIT_STATUS</t>
  </si>
  <si>
    <t>SmartLoad-Dual.BC-507A.BCU_C1_TOTALIZER_MISMATCH_ALARM</t>
  </si>
  <si>
    <t>SmartLoad-Dual.BC-507A.BCU_C2_TOTALIZER_MISMATCH_ALARM</t>
  </si>
  <si>
    <t>LP-14</t>
  </si>
  <si>
    <t>BC-507B</t>
  </si>
  <si>
    <t>SmartLoad-Dual.BC-507B.EARTH_ALARM_STATUS</t>
  </si>
  <si>
    <t>SmartLoad-Dual.BC-507B.NO_FLOW_ALARM_STATUS_M3</t>
  </si>
  <si>
    <t>SmartLoad-Dual.BC-507B.NO_FLOW_ALARM_STATUS_M4</t>
  </si>
  <si>
    <t>SmartLoad-Dual.BC-507B.LOW_FLOW_ALARM_STATUS_M3</t>
  </si>
  <si>
    <t>SmartLoad-Dual.BC-507B.LOW_FLOW_ALARM_STATUS_M4</t>
  </si>
  <si>
    <t>SmartLoad-Dual.BC-507B.HIGH_FLOW_ALARM_STATUS_M3</t>
  </si>
  <si>
    <t>SmartLoad-Dual.BC-507B.HIGH_FLOW_ALARM_STATUS_M4</t>
  </si>
  <si>
    <t>SmartLoad-Dual.BC-507B.UNAUTHORIZE_FLOW_ALARM_STATUS_M3</t>
  </si>
  <si>
    <t>SmartLoad-Dual.BC-507B.METER_OVERRUN_ALARM_STATUS_M3</t>
  </si>
  <si>
    <t>SmartLoad-Dual.BC-507B.BLEND_OVERDOSE_ALARM_STATUS</t>
  </si>
  <si>
    <t>SmartLoad-Dual.BC-507B.BLEND_UNDERDOSE_ALARM_STATUS</t>
  </si>
  <si>
    <t>SmartLoad-Dual.BC-507B.ADDITIVE_OVERDOSE_ALARM_STATUS</t>
  </si>
  <si>
    <t>SmartLoad-Dual.BC-507B.ADDITIVE_UNDERDOSE_ALARM_STATUS</t>
  </si>
  <si>
    <t>SmartLoad-Dual.BC-507B.BATCH_STATUS</t>
  </si>
  <si>
    <t>SmartLoad-Dual.BC-507B.NOMINAL_ARM2_COMP1_KFACTOR_CHANGED</t>
  </si>
  <si>
    <t>SmartLoad-Dual.BC-507B.NOMINAL_ARM2_COMP2_KFACTOR_CHANGED</t>
  </si>
  <si>
    <t>SmartLoad-Dual.BC-507B.MFM_BCU_QTY_BEYOND_TOLERANCE_LIMIT_STATUS</t>
  </si>
  <si>
    <t>SmartLoad-Dual.BC-507B.BCU_C3_TOTALIZER_MISMATCH_ALARM</t>
  </si>
  <si>
    <t>SmartLoad-Dual.BC-507B.BCU_C4_TOTALIZER_MISMATCH_ALARM</t>
  </si>
  <si>
    <t>LP-15</t>
  </si>
  <si>
    <t>BC-508A</t>
  </si>
  <si>
    <t>SmartLoad-Dual.BC-508A.EARTH_ALARM_STATUS</t>
  </si>
  <si>
    <t>SmartLoad-Dual.BC-508A.NO_FLOW_ALARM_STATUS_M1</t>
  </si>
  <si>
    <t>SmartLoad-Dual.BC-508A.LOW_FLOW_ALARM_STATUS_M1</t>
  </si>
  <si>
    <t>SmartLoad-Dual.BC-508A.HIGH_FLOW_ALARM_STATUS_M1</t>
  </si>
  <si>
    <t>SmartLoad-Dual.BC-508A.UNAUTHORIZE_FLOW_ALARM_STATUS_M1</t>
  </si>
  <si>
    <t>SmartLoad-Dual.BC-508A.METER_OVERRUN_ALARM_STATUS_M1</t>
  </si>
  <si>
    <t>SmartLoad-Dual.BC-508A.BLEND_OVERDOSE_ALARM_STATUS</t>
  </si>
  <si>
    <t>SmartLoad-Dual.BC-508A.BLEND_UNDERDOSE_ALARM_STATUS</t>
  </si>
  <si>
    <t>SmartLoad-Dual.BC-508A.ADDITIVE_OVERDOSE_ALARM_STATUS</t>
  </si>
  <si>
    <t>SmartLoad-Dual.BC-508A.ADDITIVE_UNDERDOSE_ALARM_STATUS</t>
  </si>
  <si>
    <t>SmartLoad-Dual.BC-508A.BATCH_STATUS</t>
  </si>
  <si>
    <t>SmartLoad-Dual.BC-508A.NOMINAL_ARM1_COMP1_KFACTOR_CHANGED</t>
  </si>
  <si>
    <t>SmartLoad-Dual.BC-508A.MFM_BCU_QTY_BEYOND_TOLERANCE_LIMIT_STATUS</t>
  </si>
  <si>
    <t>SmartLoad-Dual.BC-508A.BCU_C1_TOTALIZER_MISMATCH_ALARM</t>
  </si>
  <si>
    <t>LP-16</t>
  </si>
  <si>
    <t>BC-508B</t>
  </si>
  <si>
    <t>SmartLoad-Dual.BC-508B.EARTH_ALARM_STATUS</t>
  </si>
  <si>
    <t>SmartLoad-Dual.BC-508B.NO_FLOW_ALARM_STATUS_M3</t>
  </si>
  <si>
    <t>SmartLoad-Dual.BC-508B.LOW_FLOW_ALARM_STATUS_M3</t>
  </si>
  <si>
    <t>SmartLoad-Dual.BC-508B.HIGH_FLOW_ALARM_STATUS_M3</t>
  </si>
  <si>
    <t>SmartLoad-Dual.BC-508B.UNAUTHORIZE_FLOW_ALARM_STATUS_M3</t>
  </si>
  <si>
    <t>SmartLoad-Dual.BC-508B.METER_OVERRUN_ALARM_STATUS_M3</t>
  </si>
  <si>
    <t>SmartLoad-Dual.BC-508B.BLEND_OVERDOSE_ALARM_STATUS</t>
  </si>
  <si>
    <t>SmartLoad-Dual.BC-508B.BLEND_UNDERDOSE_ALARM_STATUS</t>
  </si>
  <si>
    <t>SmartLoad-Dual.BC-508B.ADDITIVE_OVERDOSE_ALARM_STATUS</t>
  </si>
  <si>
    <t>SmartLoad-Dual.BC-508B.ADDITIVE_UNDERDOSE_ALARM_STATUS</t>
  </si>
  <si>
    <t>SmartLoad-Dual.BC-508B.BATCH_STATUS</t>
  </si>
  <si>
    <t>SmartLoad-Dual.BC-508B.NOMINAL_ARM2_COMP1_KFACTOR_CHANGED</t>
  </si>
  <si>
    <t>SmartLoad-Dual.BC-508B.MFM_BCU_QTY_BEYOND_TOLERANCE_LIMIT_STATUS</t>
  </si>
  <si>
    <t>SmartLoad-Dual.BC-508B.BCU_C3_TOTALIZER_MISMATCH_ALARM</t>
  </si>
  <si>
    <t xml:space="preserve"> Permissive override ID</t>
  </si>
  <si>
    <t xml:space="preserve">OVERRIDE STATUS </t>
  </si>
  <si>
    <t>TLF Product Pumps Stopped</t>
  </si>
  <si>
    <t>Gantry Permissive override</t>
  </si>
  <si>
    <t>SmartLoad-Dual.BC-01A.PERMISSIVE_FROM_DNC_STATUS</t>
  </si>
  <si>
    <t>Cause ID</t>
  </si>
  <si>
    <t>Cause</t>
  </si>
  <si>
    <t>Cause Normal value</t>
  </si>
  <si>
    <t>TLF Gantry Permissive Power Off Normal value</t>
  </si>
  <si>
    <t>All TLF Product Pumps Stopped Normal value</t>
  </si>
  <si>
    <t>TLF Header Line MOV Close</t>
  </si>
  <si>
    <t>TLF Header Line MOV Close Normal value</t>
  </si>
  <si>
    <t>Hooter activated in control room</t>
  </si>
  <si>
    <t>Two Fire Engine Running status</t>
  </si>
  <si>
    <t>PLC.SFTPLC.FEP_2_RUNNING_STATUS</t>
  </si>
  <si>
    <t>Gantry Permissive Off</t>
  </si>
  <si>
    <t>Air Compressor ID</t>
  </si>
  <si>
    <t>AIR COMPRESSOR FAULT STATUS</t>
  </si>
  <si>
    <t>AIR COMPRESSOR FAULT STATUS Normal value</t>
  </si>
  <si>
    <t>LRC ID</t>
  </si>
  <si>
    <t>LRC SWITCHOVER 30 DAYS STATUS</t>
  </si>
  <si>
    <t>LRC Switch Over</t>
  </si>
  <si>
    <t>CLIENT.LRCA.HSB_COMMS_FAIL</t>
  </si>
  <si>
    <t>OI ID</t>
  </si>
  <si>
    <t>Fire Engine1</t>
  </si>
  <si>
    <t>Fire Engine2</t>
  </si>
  <si>
    <t>Fire Engine3</t>
  </si>
  <si>
    <t>Jockey Pump Run1</t>
  </si>
  <si>
    <t>Jockey Pump Run2</t>
  </si>
  <si>
    <t>Farthest Point Pt</t>
  </si>
  <si>
    <t>Nearest Point PT</t>
  </si>
  <si>
    <t>Water Volume</t>
  </si>
  <si>
    <t>Main Fire Engine not in Remote</t>
  </si>
  <si>
    <t>Jockey Pump1 Remote</t>
  </si>
  <si>
    <t>Jockey Pump1 Auto</t>
  </si>
  <si>
    <t>Jockey Pump2 Remote</t>
  </si>
  <si>
    <t>Jockey Pump2 Auto</t>
  </si>
  <si>
    <t>Operability Index</t>
  </si>
  <si>
    <t>PUMP.FWP-01.REMOTE_STATUS</t>
  </si>
  <si>
    <t>PUMP.FWP-02.REMOTE_STATUS</t>
  </si>
  <si>
    <t>PUMP.FWP-03.REMOTE_STATUS</t>
  </si>
  <si>
    <t>PressureTransmitter.PT-01.PRESSURE</t>
  </si>
  <si>
    <t>PressureTransmitter.PT-03.PRESSURE</t>
  </si>
  <si>
    <t>PLC.TASPLC.TOV_ON_SCREEN</t>
  </si>
  <si>
    <t>PUMP.JCY-01.REMOTE_STATUS</t>
  </si>
  <si>
    <t>PUMP.JCY-02.REMOTE_STATUS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</si>
</sst>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sz val="11.0"/>
      <color theme="1"/>
      <name val="Arial"/>
    </font>
    <font>
      <b/>
      <sz val="11.0"/>
      <color rgb="FF222222"/>
      <name val="Arial"/>
    </font>
    <font>
      <b/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7F7E7"/>
        <bgColor rgb="FFF7F7E7"/>
      </patternFill>
    </fill>
    <fill>
      <patternFill patternType="solid">
        <fgColor rgb="FFFAD9D6"/>
        <bgColor rgb="FFFAD9D6"/>
      </patternFill>
    </fill>
    <fill>
      <patternFill patternType="solid">
        <fgColor rgb="FFD8E5F8"/>
        <bgColor rgb="FFD8E5F8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1" fillId="0" fontId="2" numFmtId="0" xfId="0" applyAlignment="1" applyBorder="1" applyFont="1">
      <alignment vertical="top"/>
    </xf>
    <xf borderId="0" fillId="0" fontId="2" numFmtId="0" xfId="0" applyAlignment="1" applyFont="1">
      <alignment vertical="bottom"/>
    </xf>
    <xf borderId="1" fillId="4" fontId="2" numFmtId="0" xfId="0" applyAlignment="1" applyBorder="1" applyFill="1" applyFont="1">
      <alignment vertical="bottom"/>
    </xf>
    <xf borderId="2" fillId="4" fontId="2" numFmtId="0" xfId="0" applyAlignment="1" applyBorder="1" applyFont="1">
      <alignment vertical="bottom"/>
    </xf>
    <xf borderId="3" fillId="0" fontId="2" numFmtId="0" xfId="0" applyAlignment="1" applyBorder="1" applyFont="1">
      <alignment horizontal="center"/>
    </xf>
    <xf borderId="4" fillId="0" fontId="2" numFmtId="0" xfId="0" applyAlignment="1" applyBorder="1" applyFont="1">
      <alignment vertical="top"/>
    </xf>
    <xf borderId="0" fillId="0" fontId="2" numFmtId="0" xfId="0" applyAlignment="1" applyFont="1">
      <alignment horizontal="center" vertical="bottom"/>
    </xf>
    <xf borderId="4" fillId="0" fontId="2" numFmtId="0" xfId="0" applyAlignment="1" applyBorder="1" applyFont="1">
      <alignment horizontal="right" vertical="top"/>
    </xf>
    <xf borderId="1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top"/>
    </xf>
    <xf borderId="4" fillId="0" fontId="2" numFmtId="0" xfId="0" applyAlignment="1" applyBorder="1" applyFont="1">
      <alignment vertical="bottom"/>
    </xf>
    <xf borderId="1" fillId="4" fontId="2" numFmtId="0" xfId="0" applyAlignment="1" applyBorder="1" applyFont="1">
      <alignment shrinkToFit="0" vertical="bottom" wrapText="1"/>
    </xf>
    <xf borderId="2" fillId="4" fontId="2" numFmtId="0" xfId="0" applyAlignment="1" applyBorder="1" applyFont="1">
      <alignment shrinkToFit="0" vertical="bottom" wrapText="1"/>
    </xf>
    <xf borderId="4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1" numFmtId="0" xfId="0" applyAlignment="1" applyBorder="1" applyFont="1">
      <alignment shrinkToFit="0" vertical="bottom" wrapText="1"/>
    </xf>
    <xf borderId="6" fillId="3" fontId="2" numFmtId="0" xfId="0" applyAlignment="1" applyBorder="1" applyFont="1">
      <alignment vertical="bottom"/>
    </xf>
    <xf borderId="1" fillId="2" fontId="1" numFmtId="0" xfId="0" applyAlignment="1" applyBorder="1" applyFont="1">
      <alignment horizontal="center" vertical="bottom"/>
    </xf>
    <xf borderId="1" fillId="2" fontId="2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shrinkToFit="0" vertical="bottom" wrapText="1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" fillId="4" fontId="2" numFmtId="0" xfId="0" applyAlignment="1" applyBorder="1" applyFont="1">
      <alignment shrinkToFit="0" vertical="top" wrapText="1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0" fontId="2" numFmtId="0" xfId="0" applyAlignment="1" applyBorder="1" applyFont="1">
      <alignment horizontal="center" vertical="top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top"/>
    </xf>
    <xf borderId="1" fillId="2" fontId="1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" fillId="0" fontId="2" numFmtId="0" xfId="0" applyAlignment="1" applyBorder="1" applyFont="1">
      <alignment shrinkToFit="0" vertical="bottom" wrapText="1"/>
    </xf>
    <xf borderId="1" fillId="5" fontId="2" numFmtId="0" xfId="0" applyAlignment="1" applyBorder="1" applyFill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/>
    </xf>
    <xf borderId="1" fillId="5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3" fillId="0" fontId="2" numFmtId="0" xfId="0" applyAlignment="1" applyBorder="1" applyFont="1">
      <alignment vertical="bottom"/>
    </xf>
    <xf borderId="0" fillId="6" fontId="4" numFmtId="0" xfId="0" applyAlignment="1" applyFill="1" applyFont="1">
      <alignment vertical="bottom"/>
    </xf>
    <xf borderId="1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center" vertical="top"/>
    </xf>
    <xf borderId="6" fillId="3" fontId="1" numFmtId="0" xfId="0" applyAlignment="1" applyBorder="1" applyFont="1">
      <alignment vertical="bottom"/>
    </xf>
    <xf borderId="1" fillId="3" fontId="1" numFmtId="0" xfId="0" applyAlignment="1" applyBorder="1" applyFont="1">
      <alignment horizontal="center" vertical="bottom"/>
    </xf>
    <xf borderId="0" fillId="3" fontId="2" numFmtId="0" xfId="0" applyAlignment="1" applyFont="1">
      <alignment vertical="bottom"/>
    </xf>
    <xf borderId="4" fillId="0" fontId="2" numFmtId="0" xfId="0" applyBorder="1" applyFont="1"/>
    <xf borderId="0" fillId="0" fontId="2" numFmtId="0" xfId="0" applyAlignment="1" applyFont="1">
      <alignment horizontal="center"/>
    </xf>
    <xf borderId="1" fillId="0" fontId="2" numFmtId="0" xfId="0" applyAlignment="1" applyBorder="1" applyFont="1">
      <alignment horizontal="center"/>
    </xf>
    <xf borderId="1" fillId="0" fontId="5" numFmtId="0" xfId="0" applyAlignment="1" applyBorder="1" applyFont="1">
      <alignment vertical="top"/>
    </xf>
    <xf borderId="3" fillId="0" fontId="2" numFmtId="0" xfId="0" applyBorder="1" applyFont="1"/>
    <xf borderId="1" fillId="0" fontId="2" numFmtId="0" xfId="0" applyAlignment="1" applyBorder="1" applyFont="1">
      <alignment horizontal="right" vertical="bottom"/>
    </xf>
    <xf borderId="4" fillId="0" fontId="2" numFmtId="0" xfId="0" applyAlignment="1" applyBorder="1" applyFont="1">
      <alignment horizontal="center"/>
    </xf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7</v>
      </c>
      <c r="M1" s="2" t="s">
        <v>8</v>
      </c>
      <c r="N1" s="2" t="s">
        <v>9</v>
      </c>
      <c r="O1" s="2" t="s">
        <v>11</v>
      </c>
      <c r="P1" s="2" t="s">
        <v>7</v>
      </c>
      <c r="Q1" s="2" t="s">
        <v>8</v>
      </c>
      <c r="R1" s="2" t="s">
        <v>9</v>
      </c>
      <c r="S1" s="2" t="s">
        <v>12</v>
      </c>
      <c r="T1" s="2" t="s">
        <v>13</v>
      </c>
      <c r="U1" s="2" t="s">
        <v>8</v>
      </c>
      <c r="V1" s="2" t="s">
        <v>9</v>
      </c>
      <c r="W1" s="3" t="s">
        <v>14</v>
      </c>
      <c r="X1" s="4" t="s">
        <v>15</v>
      </c>
      <c r="Y1" s="2" t="s">
        <v>8</v>
      </c>
      <c r="Z1" s="2" t="s">
        <v>9</v>
      </c>
      <c r="AA1" s="2" t="s">
        <v>16</v>
      </c>
      <c r="AB1" s="2" t="s">
        <v>17</v>
      </c>
      <c r="AC1" s="2" t="s">
        <v>8</v>
      </c>
      <c r="AD1" s="2" t="s">
        <v>9</v>
      </c>
      <c r="AE1" s="2" t="s">
        <v>18</v>
      </c>
      <c r="AF1" s="2" t="s">
        <v>19</v>
      </c>
      <c r="AG1" s="2" t="s">
        <v>8</v>
      </c>
      <c r="AH1" s="2" t="s">
        <v>9</v>
      </c>
      <c r="AI1" s="2" t="s">
        <v>20</v>
      </c>
      <c r="AJ1" s="2" t="s">
        <v>21</v>
      </c>
      <c r="AK1" s="2" t="s">
        <v>8</v>
      </c>
      <c r="AL1" s="2" t="s">
        <v>9</v>
      </c>
      <c r="AM1" s="2" t="s">
        <v>22</v>
      </c>
      <c r="AN1" s="2" t="s">
        <v>23</v>
      </c>
      <c r="AO1" s="2" t="s">
        <v>8</v>
      </c>
      <c r="AP1" s="2" t="s">
        <v>9</v>
      </c>
      <c r="AQ1" s="2" t="s">
        <v>24</v>
      </c>
      <c r="AR1" s="2" t="s">
        <v>25</v>
      </c>
      <c r="AS1" s="2" t="s">
        <v>8</v>
      </c>
      <c r="AT1" s="2" t="s">
        <v>9</v>
      </c>
      <c r="AU1" s="2" t="s">
        <v>26</v>
      </c>
      <c r="AV1" s="2" t="s">
        <v>27</v>
      </c>
      <c r="AW1" s="2" t="s">
        <v>8</v>
      </c>
      <c r="AX1" s="2" t="s">
        <v>9</v>
      </c>
      <c r="AY1" s="2" t="s">
        <v>28</v>
      </c>
      <c r="AZ1" s="2" t="s">
        <v>29</v>
      </c>
      <c r="BA1" s="2" t="s">
        <v>8</v>
      </c>
      <c r="BB1" s="2" t="s">
        <v>9</v>
      </c>
      <c r="BC1" s="2" t="s">
        <v>30</v>
      </c>
      <c r="BD1" s="2" t="s">
        <v>7</v>
      </c>
      <c r="BE1" s="2" t="s">
        <v>8</v>
      </c>
      <c r="BF1" s="2" t="s">
        <v>9</v>
      </c>
      <c r="BG1" s="2" t="s">
        <v>31</v>
      </c>
      <c r="BH1" s="2" t="s">
        <v>13</v>
      </c>
      <c r="BI1" s="2" t="s">
        <v>8</v>
      </c>
      <c r="BJ1" s="2" t="s">
        <v>9</v>
      </c>
      <c r="BK1" s="2" t="s">
        <v>32</v>
      </c>
      <c r="BL1" s="2" t="s">
        <v>7</v>
      </c>
      <c r="BM1" s="2" t="s">
        <v>8</v>
      </c>
      <c r="BN1" s="2" t="s">
        <v>9</v>
      </c>
      <c r="BO1" s="2" t="s">
        <v>33</v>
      </c>
      <c r="BP1" s="2" t="s">
        <v>34</v>
      </c>
      <c r="BQ1" s="2" t="s">
        <v>8</v>
      </c>
      <c r="BR1" s="2" t="s">
        <v>9</v>
      </c>
      <c r="BS1" s="2" t="s">
        <v>35</v>
      </c>
      <c r="BT1" s="2" t="s">
        <v>36</v>
      </c>
      <c r="BU1" s="2" t="s">
        <v>8</v>
      </c>
      <c r="BV1" s="2" t="s">
        <v>9</v>
      </c>
      <c r="BW1" s="2" t="s">
        <v>37</v>
      </c>
      <c r="BX1" s="2" t="s">
        <v>38</v>
      </c>
      <c r="BY1" s="2" t="s">
        <v>8</v>
      </c>
      <c r="BZ1" s="2" t="s">
        <v>9</v>
      </c>
      <c r="CA1" s="2" t="s">
        <v>39</v>
      </c>
      <c r="CB1" s="2" t="s">
        <v>7</v>
      </c>
      <c r="CC1" s="2" t="s">
        <v>8</v>
      </c>
      <c r="CD1" s="2" t="s">
        <v>9</v>
      </c>
      <c r="CE1" s="2" t="s">
        <v>40</v>
      </c>
      <c r="CF1" s="2" t="s">
        <v>7</v>
      </c>
      <c r="CG1" s="2" t="s">
        <v>8</v>
      </c>
      <c r="CH1" s="2" t="s">
        <v>9</v>
      </c>
      <c r="CI1" s="2" t="s">
        <v>41</v>
      </c>
      <c r="CJ1" s="2" t="s">
        <v>13</v>
      </c>
      <c r="CK1" s="2" t="s">
        <v>8</v>
      </c>
      <c r="CL1" s="2" t="s">
        <v>9</v>
      </c>
      <c r="CM1" s="2" t="s">
        <v>42</v>
      </c>
      <c r="CN1" s="2" t="s">
        <v>13</v>
      </c>
      <c r="CO1" s="2" t="s">
        <v>8</v>
      </c>
      <c r="CP1" s="2" t="s">
        <v>9</v>
      </c>
      <c r="CQ1" s="2" t="s">
        <v>43</v>
      </c>
      <c r="CR1" s="2" t="s">
        <v>13</v>
      </c>
      <c r="CS1" s="2" t="s">
        <v>8</v>
      </c>
      <c r="CT1" s="2" t="s">
        <v>9</v>
      </c>
      <c r="CU1" s="2" t="s">
        <v>44</v>
      </c>
      <c r="CV1" s="2" t="s">
        <v>13</v>
      </c>
      <c r="CW1" s="2" t="s">
        <v>8</v>
      </c>
      <c r="CX1" s="2" t="s">
        <v>9</v>
      </c>
      <c r="CY1" s="2" t="s">
        <v>45</v>
      </c>
      <c r="CZ1" s="2" t="s">
        <v>13</v>
      </c>
      <c r="DA1" s="2" t="s">
        <v>8</v>
      </c>
      <c r="DB1" s="2" t="s">
        <v>9</v>
      </c>
      <c r="DC1" s="2" t="s">
        <v>46</v>
      </c>
      <c r="DD1" s="2" t="s">
        <v>13</v>
      </c>
      <c r="DE1" s="2" t="s">
        <v>8</v>
      </c>
      <c r="DF1" s="2" t="s">
        <v>9</v>
      </c>
    </row>
    <row r="2">
      <c r="A2" s="5">
        <v>1334.0</v>
      </c>
      <c r="B2" s="6" t="s">
        <v>47</v>
      </c>
      <c r="C2" s="7" t="str">
        <f t="shared" ref="C2:C28" si="1">CONCATENATE(D2,"_",F2)</f>
        <v>TK-01_BS VI MS</v>
      </c>
      <c r="D2" s="8" t="s">
        <v>48</v>
      </c>
      <c r="E2" s="7"/>
      <c r="F2" s="9" t="s">
        <v>49</v>
      </c>
      <c r="G2" s="10" t="s">
        <v>50</v>
      </c>
      <c r="H2" s="5">
        <v>0.0</v>
      </c>
      <c r="I2" s="7"/>
      <c r="J2" s="7"/>
      <c r="K2" s="7"/>
      <c r="L2" s="7"/>
      <c r="M2" s="7"/>
      <c r="N2" s="7"/>
      <c r="O2" s="11" t="s">
        <v>51</v>
      </c>
      <c r="P2" s="7"/>
      <c r="Q2" s="7" t="s">
        <v>48</v>
      </c>
      <c r="R2" s="12" t="s">
        <v>52</v>
      </c>
      <c r="S2" s="11" t="s">
        <v>53</v>
      </c>
      <c r="T2" s="13">
        <v>0.0</v>
      </c>
      <c r="U2" s="7" t="s">
        <v>48</v>
      </c>
      <c r="V2" s="12" t="s">
        <v>52</v>
      </c>
      <c r="W2" s="11" t="s">
        <v>54</v>
      </c>
      <c r="X2" s="12">
        <v>0.0</v>
      </c>
      <c r="Y2" s="12" t="s">
        <v>48</v>
      </c>
      <c r="Z2" s="12" t="s">
        <v>52</v>
      </c>
      <c r="AA2" s="11" t="s">
        <v>55</v>
      </c>
      <c r="AB2" s="13">
        <v>0.0</v>
      </c>
      <c r="AC2" s="7" t="s">
        <v>48</v>
      </c>
      <c r="AD2" s="12" t="s">
        <v>52</v>
      </c>
      <c r="AE2" s="11" t="s">
        <v>56</v>
      </c>
      <c r="AF2" s="13">
        <v>0.0</v>
      </c>
      <c r="AG2" s="7" t="s">
        <v>57</v>
      </c>
      <c r="AH2" s="7" t="s">
        <v>58</v>
      </c>
      <c r="AI2" s="11" t="s">
        <v>59</v>
      </c>
      <c r="AJ2" s="13">
        <v>0.0</v>
      </c>
      <c r="AK2" s="7" t="s">
        <v>57</v>
      </c>
      <c r="AL2" s="7" t="s">
        <v>58</v>
      </c>
      <c r="AM2" s="11" t="s">
        <v>60</v>
      </c>
      <c r="AN2" s="13">
        <v>0.0</v>
      </c>
      <c r="AO2" s="7" t="s">
        <v>57</v>
      </c>
      <c r="AP2" s="7" t="s">
        <v>58</v>
      </c>
      <c r="AQ2" s="11" t="s">
        <v>61</v>
      </c>
      <c r="AR2" s="13">
        <v>0.0</v>
      </c>
      <c r="AS2" s="7" t="s">
        <v>62</v>
      </c>
      <c r="AT2" s="7" t="s">
        <v>63</v>
      </c>
      <c r="AU2" s="11" t="s">
        <v>64</v>
      </c>
      <c r="AV2" s="13">
        <v>0.0</v>
      </c>
      <c r="AW2" s="7" t="s">
        <v>62</v>
      </c>
      <c r="AX2" s="7" t="s">
        <v>63</v>
      </c>
      <c r="AY2" s="11" t="s">
        <v>65</v>
      </c>
      <c r="AZ2" s="13">
        <v>0.0</v>
      </c>
      <c r="BA2" s="7" t="s">
        <v>62</v>
      </c>
      <c r="BB2" s="7" t="s">
        <v>63</v>
      </c>
      <c r="BC2" s="11" t="s">
        <v>66</v>
      </c>
      <c r="BD2" s="13">
        <v>0.0</v>
      </c>
      <c r="BE2" s="7" t="s">
        <v>67</v>
      </c>
      <c r="BF2" s="14" t="s">
        <v>68</v>
      </c>
      <c r="BG2" s="11" t="s">
        <v>69</v>
      </c>
      <c r="BH2" s="13">
        <v>0.0</v>
      </c>
      <c r="BI2" s="7" t="s">
        <v>67</v>
      </c>
      <c r="BJ2" s="14" t="s">
        <v>70</v>
      </c>
      <c r="BK2" s="7"/>
      <c r="BL2" s="7"/>
      <c r="BM2" s="7"/>
      <c r="BN2" s="7"/>
      <c r="BO2" s="7"/>
      <c r="BP2" s="7"/>
      <c r="BQ2" s="7"/>
      <c r="BR2" s="7"/>
      <c r="BS2" s="15" t="s">
        <v>71</v>
      </c>
      <c r="BT2" s="13">
        <v>0.0</v>
      </c>
      <c r="BU2" s="7" t="s">
        <v>72</v>
      </c>
      <c r="BV2" s="14" t="s">
        <v>73</v>
      </c>
      <c r="BW2" s="11" t="s">
        <v>74</v>
      </c>
      <c r="BX2" s="13">
        <v>0.0</v>
      </c>
      <c r="BY2" s="7" t="s">
        <v>72</v>
      </c>
      <c r="BZ2" s="14" t="s">
        <v>75</v>
      </c>
      <c r="CA2" s="7"/>
      <c r="CB2" s="7"/>
      <c r="CC2" s="7"/>
      <c r="CD2" s="7"/>
      <c r="CE2" s="7"/>
      <c r="CF2" s="7"/>
      <c r="CG2" s="7"/>
      <c r="CH2" s="7"/>
      <c r="CI2" s="16" t="s">
        <v>76</v>
      </c>
      <c r="CJ2" s="13">
        <v>1.0</v>
      </c>
      <c r="CK2" s="7" t="s">
        <v>77</v>
      </c>
      <c r="CL2" s="7" t="s">
        <v>78</v>
      </c>
      <c r="CM2" s="7"/>
      <c r="CN2" s="7"/>
      <c r="CO2" s="7"/>
      <c r="CP2" s="7"/>
      <c r="CQ2" s="16" t="s">
        <v>79</v>
      </c>
      <c r="CR2" s="13">
        <v>1.0</v>
      </c>
      <c r="CS2" s="7" t="str">
        <f t="shared" ref="CS2:CS28" si="2">MID(CQ2,5,7)</f>
        <v>MOV-002</v>
      </c>
      <c r="CT2" s="7" t="s">
        <v>80</v>
      </c>
      <c r="CU2" s="16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</row>
    <row r="3">
      <c r="A3" s="5">
        <v>1334.0</v>
      </c>
      <c r="B3" s="6" t="s">
        <v>47</v>
      </c>
      <c r="C3" s="7" t="str">
        <f t="shared" si="1"/>
        <v>TK-02_BS VI MS</v>
      </c>
      <c r="D3" s="17" t="s">
        <v>81</v>
      </c>
      <c r="E3" s="7"/>
      <c r="F3" s="18" t="s">
        <v>49</v>
      </c>
      <c r="G3" s="10" t="s">
        <v>50</v>
      </c>
      <c r="H3" s="5">
        <v>0.0</v>
      </c>
      <c r="I3" s="7"/>
      <c r="J3" s="7"/>
      <c r="K3" s="7"/>
      <c r="L3" s="7"/>
      <c r="M3" s="7"/>
      <c r="N3" s="7"/>
      <c r="O3" s="11" t="s">
        <v>82</v>
      </c>
      <c r="P3" s="7"/>
      <c r="Q3" s="7" t="s">
        <v>81</v>
      </c>
      <c r="R3" s="12" t="s">
        <v>52</v>
      </c>
      <c r="S3" s="11" t="s">
        <v>83</v>
      </c>
      <c r="T3" s="13">
        <v>0.0</v>
      </c>
      <c r="U3" s="7" t="s">
        <v>81</v>
      </c>
      <c r="V3" s="12" t="s">
        <v>52</v>
      </c>
      <c r="W3" s="11" t="s">
        <v>84</v>
      </c>
      <c r="X3" s="12">
        <v>0.0</v>
      </c>
      <c r="Y3" s="12" t="s">
        <v>81</v>
      </c>
      <c r="Z3" s="12" t="s">
        <v>52</v>
      </c>
      <c r="AA3" s="11" t="s">
        <v>85</v>
      </c>
      <c r="AB3" s="13">
        <v>0.0</v>
      </c>
      <c r="AC3" s="7" t="s">
        <v>81</v>
      </c>
      <c r="AD3" s="12" t="s">
        <v>52</v>
      </c>
      <c r="AE3" s="11" t="s">
        <v>86</v>
      </c>
      <c r="AF3" s="13">
        <v>0.0</v>
      </c>
      <c r="AG3" s="7" t="s">
        <v>87</v>
      </c>
      <c r="AH3" s="7" t="s">
        <v>58</v>
      </c>
      <c r="AI3" s="11" t="s">
        <v>88</v>
      </c>
      <c r="AJ3" s="13">
        <v>0.0</v>
      </c>
      <c r="AK3" s="7" t="s">
        <v>87</v>
      </c>
      <c r="AL3" s="7" t="s">
        <v>58</v>
      </c>
      <c r="AM3" s="11" t="s">
        <v>89</v>
      </c>
      <c r="AN3" s="13">
        <v>0.0</v>
      </c>
      <c r="AO3" s="7" t="s">
        <v>87</v>
      </c>
      <c r="AP3" s="7" t="s">
        <v>58</v>
      </c>
      <c r="AQ3" s="11" t="s">
        <v>90</v>
      </c>
      <c r="AR3" s="13">
        <v>0.0</v>
      </c>
      <c r="AS3" s="7" t="s">
        <v>91</v>
      </c>
      <c r="AT3" s="7" t="s">
        <v>63</v>
      </c>
      <c r="AU3" s="11" t="s">
        <v>92</v>
      </c>
      <c r="AV3" s="13">
        <v>0.0</v>
      </c>
      <c r="AW3" s="7" t="s">
        <v>91</v>
      </c>
      <c r="AX3" s="7" t="s">
        <v>63</v>
      </c>
      <c r="AY3" s="11" t="s">
        <v>93</v>
      </c>
      <c r="AZ3" s="13">
        <v>0.0</v>
      </c>
      <c r="BA3" s="7" t="s">
        <v>91</v>
      </c>
      <c r="BB3" s="7" t="s">
        <v>63</v>
      </c>
      <c r="BC3" s="11" t="s">
        <v>94</v>
      </c>
      <c r="BD3" s="13">
        <v>0.0</v>
      </c>
      <c r="BE3" s="7" t="s">
        <v>95</v>
      </c>
      <c r="BF3" s="14" t="s">
        <v>68</v>
      </c>
      <c r="BG3" s="11" t="s">
        <v>96</v>
      </c>
      <c r="BH3" s="13">
        <v>0.0</v>
      </c>
      <c r="BI3" s="7" t="s">
        <v>95</v>
      </c>
      <c r="BJ3" s="14" t="s">
        <v>70</v>
      </c>
      <c r="BK3" s="7"/>
      <c r="BL3" s="7"/>
      <c r="BM3" s="7"/>
      <c r="BN3" s="7"/>
      <c r="BO3" s="7"/>
      <c r="BP3" s="7"/>
      <c r="BQ3" s="7"/>
      <c r="BR3" s="7"/>
      <c r="BS3" s="11" t="s">
        <v>97</v>
      </c>
      <c r="BT3" s="13">
        <v>0.0</v>
      </c>
      <c r="BU3" s="7" t="s">
        <v>98</v>
      </c>
      <c r="BV3" s="14" t="s">
        <v>73</v>
      </c>
      <c r="BW3" s="11" t="s">
        <v>99</v>
      </c>
      <c r="BX3" s="13">
        <v>0.0</v>
      </c>
      <c r="BY3" s="7" t="s">
        <v>98</v>
      </c>
      <c r="BZ3" s="14" t="s">
        <v>75</v>
      </c>
      <c r="CA3" s="7"/>
      <c r="CB3" s="7"/>
      <c r="CC3" s="7"/>
      <c r="CD3" s="7"/>
      <c r="CE3" s="7"/>
      <c r="CF3" s="7"/>
      <c r="CG3" s="7"/>
      <c r="CH3" s="7"/>
      <c r="CI3" s="19" t="s">
        <v>100</v>
      </c>
      <c r="CJ3" s="13">
        <v>1.0</v>
      </c>
      <c r="CK3" s="7" t="s">
        <v>101</v>
      </c>
      <c r="CL3" s="7" t="s">
        <v>78</v>
      </c>
      <c r="CM3" s="7"/>
      <c r="CN3" s="7"/>
      <c r="CO3" s="7"/>
      <c r="CP3" s="7"/>
      <c r="CQ3" s="19" t="s">
        <v>102</v>
      </c>
      <c r="CR3" s="13">
        <v>1.0</v>
      </c>
      <c r="CS3" s="7" t="str">
        <f t="shared" si="2"/>
        <v>MOV-005</v>
      </c>
      <c r="CT3" s="7" t="s">
        <v>80</v>
      </c>
      <c r="CU3" s="16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</row>
    <row r="4">
      <c r="A4" s="5">
        <v>1334.0</v>
      </c>
      <c r="B4" s="6" t="s">
        <v>47</v>
      </c>
      <c r="C4" s="7" t="str">
        <f t="shared" si="1"/>
        <v>TK-03_ETHANOL</v>
      </c>
      <c r="D4" s="17" t="s">
        <v>103</v>
      </c>
      <c r="E4" s="7"/>
      <c r="F4" s="18" t="s">
        <v>104</v>
      </c>
      <c r="G4" s="10" t="s">
        <v>50</v>
      </c>
      <c r="H4" s="5">
        <v>0.0</v>
      </c>
      <c r="I4" s="7"/>
      <c r="J4" s="7"/>
      <c r="K4" s="7"/>
      <c r="L4" s="7"/>
      <c r="M4" s="7"/>
      <c r="N4" s="7"/>
      <c r="O4" s="11" t="s">
        <v>105</v>
      </c>
      <c r="P4" s="7"/>
      <c r="Q4" s="7" t="s">
        <v>103</v>
      </c>
      <c r="R4" s="12" t="s">
        <v>52</v>
      </c>
      <c r="S4" s="11" t="s">
        <v>106</v>
      </c>
      <c r="T4" s="13">
        <v>0.0</v>
      </c>
      <c r="U4" s="7" t="s">
        <v>103</v>
      </c>
      <c r="V4" s="12" t="s">
        <v>52</v>
      </c>
      <c r="W4" s="11" t="s">
        <v>107</v>
      </c>
      <c r="X4" s="12">
        <v>0.0</v>
      </c>
      <c r="Y4" s="12" t="s">
        <v>103</v>
      </c>
      <c r="Z4" s="12" t="s">
        <v>52</v>
      </c>
      <c r="AA4" s="11" t="s">
        <v>108</v>
      </c>
      <c r="AB4" s="13">
        <v>0.0</v>
      </c>
      <c r="AC4" s="7" t="s">
        <v>103</v>
      </c>
      <c r="AD4" s="12" t="s">
        <v>52</v>
      </c>
      <c r="AE4" s="11" t="s">
        <v>109</v>
      </c>
      <c r="AF4" s="13">
        <v>0.0</v>
      </c>
      <c r="AG4" s="7" t="s">
        <v>110</v>
      </c>
      <c r="AH4" s="7" t="s">
        <v>58</v>
      </c>
      <c r="AI4" s="11" t="s">
        <v>111</v>
      </c>
      <c r="AJ4" s="13">
        <v>0.0</v>
      </c>
      <c r="AK4" s="7" t="s">
        <v>110</v>
      </c>
      <c r="AL4" s="7" t="s">
        <v>58</v>
      </c>
      <c r="AM4" s="11" t="s">
        <v>112</v>
      </c>
      <c r="AN4" s="13">
        <v>0.0</v>
      </c>
      <c r="AO4" s="7" t="s">
        <v>110</v>
      </c>
      <c r="AP4" s="7" t="s">
        <v>58</v>
      </c>
      <c r="AQ4" s="11" t="s">
        <v>113</v>
      </c>
      <c r="AR4" s="13">
        <v>0.0</v>
      </c>
      <c r="AS4" s="7" t="s">
        <v>114</v>
      </c>
      <c r="AT4" s="7" t="s">
        <v>63</v>
      </c>
      <c r="AU4" s="11" t="s">
        <v>115</v>
      </c>
      <c r="AV4" s="13">
        <v>0.0</v>
      </c>
      <c r="AW4" s="7" t="s">
        <v>114</v>
      </c>
      <c r="AX4" s="7" t="s">
        <v>63</v>
      </c>
      <c r="AY4" s="11" t="s">
        <v>116</v>
      </c>
      <c r="AZ4" s="13">
        <v>0.0</v>
      </c>
      <c r="BA4" s="7" t="s">
        <v>114</v>
      </c>
      <c r="BB4" s="7" t="s">
        <v>63</v>
      </c>
      <c r="BC4" s="11" t="s">
        <v>117</v>
      </c>
      <c r="BD4" s="13">
        <v>0.0</v>
      </c>
      <c r="BE4" s="7" t="s">
        <v>118</v>
      </c>
      <c r="BF4" s="14" t="s">
        <v>68</v>
      </c>
      <c r="BG4" s="11" t="s">
        <v>119</v>
      </c>
      <c r="BH4" s="13">
        <v>0.0</v>
      </c>
      <c r="BI4" s="7" t="s">
        <v>118</v>
      </c>
      <c r="BJ4" s="14" t="s">
        <v>70</v>
      </c>
      <c r="BK4" s="7"/>
      <c r="BL4" s="7"/>
      <c r="BM4" s="7"/>
      <c r="BN4" s="7"/>
      <c r="BO4" s="7"/>
      <c r="BP4" s="7"/>
      <c r="BQ4" s="7"/>
      <c r="BR4" s="7"/>
      <c r="BS4" s="11" t="s">
        <v>120</v>
      </c>
      <c r="BT4" s="13">
        <v>0.0</v>
      </c>
      <c r="BU4" s="7" t="s">
        <v>121</v>
      </c>
      <c r="BV4" s="14" t="s">
        <v>73</v>
      </c>
      <c r="BW4" s="11" t="s">
        <v>122</v>
      </c>
      <c r="BX4" s="13">
        <v>0.0</v>
      </c>
      <c r="BY4" s="7" t="s">
        <v>121</v>
      </c>
      <c r="BZ4" s="14" t="s">
        <v>75</v>
      </c>
      <c r="CA4" s="7"/>
      <c r="CB4" s="7"/>
      <c r="CC4" s="7"/>
      <c r="CD4" s="7"/>
      <c r="CE4" s="7"/>
      <c r="CF4" s="7"/>
      <c r="CG4" s="7"/>
      <c r="CH4" s="7"/>
      <c r="CI4" s="19" t="s">
        <v>123</v>
      </c>
      <c r="CJ4" s="13">
        <v>1.0</v>
      </c>
      <c r="CK4" s="7" t="s">
        <v>124</v>
      </c>
      <c r="CL4" s="7" t="s">
        <v>78</v>
      </c>
      <c r="CM4" s="7"/>
      <c r="CN4" s="7"/>
      <c r="CO4" s="7"/>
      <c r="CP4" s="7"/>
      <c r="CQ4" s="19" t="s">
        <v>125</v>
      </c>
      <c r="CR4" s="13">
        <v>1.0</v>
      </c>
      <c r="CS4" s="7" t="str">
        <f t="shared" si="2"/>
        <v>MOV-008</v>
      </c>
      <c r="CT4" s="7" t="s">
        <v>80</v>
      </c>
      <c r="CU4" s="16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</row>
    <row r="5">
      <c r="A5" s="5">
        <v>1334.0</v>
      </c>
      <c r="B5" s="6" t="s">
        <v>47</v>
      </c>
      <c r="C5" s="7" t="str">
        <f t="shared" si="1"/>
        <v>TK-04_ETHANOL</v>
      </c>
      <c r="D5" s="17" t="s">
        <v>126</v>
      </c>
      <c r="E5" s="7"/>
      <c r="F5" s="18" t="s">
        <v>104</v>
      </c>
      <c r="G5" s="10" t="s">
        <v>50</v>
      </c>
      <c r="H5" s="5">
        <v>0.0</v>
      </c>
      <c r="I5" s="7"/>
      <c r="J5" s="7"/>
      <c r="K5" s="7"/>
      <c r="L5" s="7"/>
      <c r="M5" s="7"/>
      <c r="N5" s="7"/>
      <c r="O5" s="11" t="s">
        <v>127</v>
      </c>
      <c r="P5" s="7"/>
      <c r="Q5" s="7" t="s">
        <v>126</v>
      </c>
      <c r="R5" s="12" t="s">
        <v>52</v>
      </c>
      <c r="S5" s="11" t="s">
        <v>128</v>
      </c>
      <c r="T5" s="13">
        <v>0.0</v>
      </c>
      <c r="U5" s="7" t="s">
        <v>126</v>
      </c>
      <c r="V5" s="12" t="s">
        <v>52</v>
      </c>
      <c r="W5" s="11" t="s">
        <v>129</v>
      </c>
      <c r="X5" s="12">
        <v>0.0</v>
      </c>
      <c r="Y5" s="12" t="s">
        <v>126</v>
      </c>
      <c r="Z5" s="12" t="s">
        <v>52</v>
      </c>
      <c r="AA5" s="11" t="s">
        <v>130</v>
      </c>
      <c r="AB5" s="13">
        <v>0.0</v>
      </c>
      <c r="AC5" s="7" t="s">
        <v>126</v>
      </c>
      <c r="AD5" s="12" t="s">
        <v>52</v>
      </c>
      <c r="AE5" s="11" t="s">
        <v>131</v>
      </c>
      <c r="AF5" s="13">
        <v>0.0</v>
      </c>
      <c r="AG5" s="7" t="s">
        <v>132</v>
      </c>
      <c r="AH5" s="7" t="s">
        <v>58</v>
      </c>
      <c r="AI5" s="11" t="s">
        <v>133</v>
      </c>
      <c r="AJ5" s="13">
        <v>0.0</v>
      </c>
      <c r="AK5" s="7" t="s">
        <v>132</v>
      </c>
      <c r="AL5" s="7" t="s">
        <v>58</v>
      </c>
      <c r="AM5" s="11" t="s">
        <v>134</v>
      </c>
      <c r="AN5" s="13">
        <v>0.0</v>
      </c>
      <c r="AO5" s="7" t="s">
        <v>132</v>
      </c>
      <c r="AP5" s="7" t="s">
        <v>58</v>
      </c>
      <c r="AQ5" s="11" t="s">
        <v>135</v>
      </c>
      <c r="AR5" s="13">
        <v>0.0</v>
      </c>
      <c r="AS5" s="7" t="s">
        <v>136</v>
      </c>
      <c r="AT5" s="7" t="s">
        <v>63</v>
      </c>
      <c r="AU5" s="11" t="s">
        <v>137</v>
      </c>
      <c r="AV5" s="13">
        <v>0.0</v>
      </c>
      <c r="AW5" s="7" t="s">
        <v>136</v>
      </c>
      <c r="AX5" s="7" t="s">
        <v>63</v>
      </c>
      <c r="AY5" s="11" t="s">
        <v>138</v>
      </c>
      <c r="AZ5" s="13">
        <v>0.0</v>
      </c>
      <c r="BA5" s="7" t="s">
        <v>136</v>
      </c>
      <c r="BB5" s="7" t="s">
        <v>63</v>
      </c>
      <c r="BC5" s="11" t="s">
        <v>139</v>
      </c>
      <c r="BD5" s="13">
        <v>0.0</v>
      </c>
      <c r="BE5" s="7" t="s">
        <v>140</v>
      </c>
      <c r="BF5" s="14" t="s">
        <v>68</v>
      </c>
      <c r="BG5" s="11" t="s">
        <v>141</v>
      </c>
      <c r="BH5" s="13">
        <v>0.0</v>
      </c>
      <c r="BI5" s="7" t="s">
        <v>140</v>
      </c>
      <c r="BJ5" s="14" t="s">
        <v>70</v>
      </c>
      <c r="BK5" s="7"/>
      <c r="BL5" s="7"/>
      <c r="BM5" s="7"/>
      <c r="BN5" s="7"/>
      <c r="BO5" s="7"/>
      <c r="BP5" s="7"/>
      <c r="BQ5" s="7"/>
      <c r="BR5" s="7"/>
      <c r="BS5" s="11" t="s">
        <v>142</v>
      </c>
      <c r="BT5" s="13">
        <v>0.0</v>
      </c>
      <c r="BU5" s="7" t="s">
        <v>143</v>
      </c>
      <c r="BV5" s="14" t="s">
        <v>73</v>
      </c>
      <c r="BW5" s="11" t="s">
        <v>144</v>
      </c>
      <c r="BX5" s="13">
        <v>0.0</v>
      </c>
      <c r="BY5" s="7" t="s">
        <v>143</v>
      </c>
      <c r="BZ5" s="14" t="s">
        <v>75</v>
      </c>
      <c r="CA5" s="7"/>
      <c r="CB5" s="7"/>
      <c r="CC5" s="7"/>
      <c r="CD5" s="7"/>
      <c r="CE5" s="7"/>
      <c r="CF5" s="7"/>
      <c r="CG5" s="7"/>
      <c r="CH5" s="7"/>
      <c r="CI5" s="19" t="s">
        <v>145</v>
      </c>
      <c r="CJ5" s="13">
        <v>1.0</v>
      </c>
      <c r="CK5" s="7" t="s">
        <v>146</v>
      </c>
      <c r="CL5" s="7" t="s">
        <v>78</v>
      </c>
      <c r="CM5" s="7"/>
      <c r="CN5" s="7"/>
      <c r="CO5" s="7"/>
      <c r="CP5" s="7"/>
      <c r="CQ5" s="19" t="s">
        <v>147</v>
      </c>
      <c r="CR5" s="13">
        <v>1.0</v>
      </c>
      <c r="CS5" s="7" t="str">
        <f t="shared" si="2"/>
        <v>MOV-011</v>
      </c>
      <c r="CT5" s="7" t="s">
        <v>80</v>
      </c>
      <c r="CU5" s="16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</row>
    <row r="6">
      <c r="A6" s="5">
        <v>1334.0</v>
      </c>
      <c r="B6" s="6" t="s">
        <v>47</v>
      </c>
      <c r="C6" s="7" t="str">
        <f t="shared" si="1"/>
        <v>TK-05_ETHANOL</v>
      </c>
      <c r="D6" s="17" t="s">
        <v>148</v>
      </c>
      <c r="E6" s="7"/>
      <c r="F6" s="18" t="s">
        <v>104</v>
      </c>
      <c r="G6" s="10" t="s">
        <v>50</v>
      </c>
      <c r="H6" s="5">
        <v>0.0</v>
      </c>
      <c r="I6" s="7"/>
      <c r="J6" s="7"/>
      <c r="K6" s="7"/>
      <c r="L6" s="7"/>
      <c r="M6" s="7"/>
      <c r="N6" s="7"/>
      <c r="O6" s="11" t="s">
        <v>149</v>
      </c>
      <c r="P6" s="7"/>
      <c r="Q6" s="7" t="s">
        <v>148</v>
      </c>
      <c r="R6" s="12" t="s">
        <v>52</v>
      </c>
      <c r="S6" s="11" t="s">
        <v>150</v>
      </c>
      <c r="T6" s="13">
        <v>0.0</v>
      </c>
      <c r="U6" s="7" t="s">
        <v>148</v>
      </c>
      <c r="V6" s="12" t="s">
        <v>52</v>
      </c>
      <c r="W6" s="11" t="s">
        <v>151</v>
      </c>
      <c r="X6" s="12">
        <v>0.0</v>
      </c>
      <c r="Y6" s="12" t="s">
        <v>148</v>
      </c>
      <c r="Z6" s="12" t="s">
        <v>52</v>
      </c>
      <c r="AA6" s="11" t="s">
        <v>152</v>
      </c>
      <c r="AB6" s="13">
        <v>0.0</v>
      </c>
      <c r="AC6" s="7" t="s">
        <v>148</v>
      </c>
      <c r="AD6" s="12" t="s">
        <v>52</v>
      </c>
      <c r="AE6" s="11" t="s">
        <v>153</v>
      </c>
      <c r="AF6" s="13">
        <v>0.0</v>
      </c>
      <c r="AG6" s="7" t="s">
        <v>154</v>
      </c>
      <c r="AH6" s="7" t="s">
        <v>58</v>
      </c>
      <c r="AI6" s="11" t="s">
        <v>155</v>
      </c>
      <c r="AJ6" s="13">
        <v>0.0</v>
      </c>
      <c r="AK6" s="7" t="s">
        <v>154</v>
      </c>
      <c r="AL6" s="7" t="s">
        <v>58</v>
      </c>
      <c r="AM6" s="11" t="s">
        <v>156</v>
      </c>
      <c r="AN6" s="13">
        <v>0.0</v>
      </c>
      <c r="AO6" s="7" t="s">
        <v>154</v>
      </c>
      <c r="AP6" s="7" t="s">
        <v>58</v>
      </c>
      <c r="AQ6" s="11" t="s">
        <v>157</v>
      </c>
      <c r="AR6" s="13">
        <v>0.0</v>
      </c>
      <c r="AS6" s="7" t="s">
        <v>158</v>
      </c>
      <c r="AT6" s="7" t="s">
        <v>63</v>
      </c>
      <c r="AU6" s="11" t="s">
        <v>159</v>
      </c>
      <c r="AV6" s="13">
        <v>0.0</v>
      </c>
      <c r="AW6" s="7" t="s">
        <v>158</v>
      </c>
      <c r="AX6" s="7" t="s">
        <v>63</v>
      </c>
      <c r="AY6" s="11" t="s">
        <v>160</v>
      </c>
      <c r="AZ6" s="13">
        <v>0.0</v>
      </c>
      <c r="BA6" s="7" t="s">
        <v>158</v>
      </c>
      <c r="BB6" s="7" t="s">
        <v>63</v>
      </c>
      <c r="BC6" s="11" t="s">
        <v>161</v>
      </c>
      <c r="BD6" s="13">
        <v>0.0</v>
      </c>
      <c r="BE6" s="7" t="s">
        <v>162</v>
      </c>
      <c r="BF6" s="14" t="s">
        <v>68</v>
      </c>
      <c r="BG6" s="11" t="s">
        <v>163</v>
      </c>
      <c r="BH6" s="13">
        <v>0.0</v>
      </c>
      <c r="BI6" s="7" t="s">
        <v>162</v>
      </c>
      <c r="BJ6" s="14" t="s">
        <v>70</v>
      </c>
      <c r="BK6" s="7"/>
      <c r="BL6" s="7"/>
      <c r="BM6" s="7"/>
      <c r="BN6" s="7"/>
      <c r="BO6" s="7"/>
      <c r="BP6" s="7"/>
      <c r="BQ6" s="7"/>
      <c r="BR6" s="7"/>
      <c r="BS6" s="11" t="s">
        <v>164</v>
      </c>
      <c r="BT6" s="13">
        <v>0.0</v>
      </c>
      <c r="BU6" s="7" t="s">
        <v>165</v>
      </c>
      <c r="BV6" s="14" t="s">
        <v>73</v>
      </c>
      <c r="BW6" s="11" t="s">
        <v>166</v>
      </c>
      <c r="BX6" s="13">
        <v>0.0</v>
      </c>
      <c r="BY6" s="7" t="s">
        <v>165</v>
      </c>
      <c r="BZ6" s="14" t="s">
        <v>75</v>
      </c>
      <c r="CA6" s="7"/>
      <c r="CB6" s="7"/>
      <c r="CC6" s="7"/>
      <c r="CD6" s="7"/>
      <c r="CE6" s="7"/>
      <c r="CF6" s="7"/>
      <c r="CG6" s="7"/>
      <c r="CH6" s="7"/>
      <c r="CI6" s="19" t="s">
        <v>167</v>
      </c>
      <c r="CJ6" s="13">
        <v>1.0</v>
      </c>
      <c r="CK6" s="7" t="s">
        <v>168</v>
      </c>
      <c r="CL6" s="7" t="s">
        <v>78</v>
      </c>
      <c r="CM6" s="7"/>
      <c r="CN6" s="7"/>
      <c r="CO6" s="7"/>
      <c r="CP6" s="7"/>
      <c r="CQ6" s="19" t="s">
        <v>169</v>
      </c>
      <c r="CR6" s="13">
        <v>1.0</v>
      </c>
      <c r="CS6" s="7" t="str">
        <f t="shared" si="2"/>
        <v>MOV-014</v>
      </c>
      <c r="CT6" s="7" t="s">
        <v>80</v>
      </c>
      <c r="CU6" s="16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</row>
    <row r="7">
      <c r="A7" s="5">
        <v>1334.0</v>
      </c>
      <c r="B7" s="6" t="s">
        <v>47</v>
      </c>
      <c r="C7" s="7" t="str">
        <f t="shared" si="1"/>
        <v>TK-06_BS VI HSD</v>
      </c>
      <c r="D7" s="17" t="s">
        <v>170</v>
      </c>
      <c r="E7" s="7"/>
      <c r="F7" s="18" t="s">
        <v>171</v>
      </c>
      <c r="G7" s="10" t="s">
        <v>50</v>
      </c>
      <c r="H7" s="5">
        <v>0.0</v>
      </c>
      <c r="I7" s="7"/>
      <c r="J7" s="7"/>
      <c r="K7" s="7"/>
      <c r="L7" s="7"/>
      <c r="M7" s="7"/>
      <c r="N7" s="7"/>
      <c r="O7" s="11" t="s">
        <v>172</v>
      </c>
      <c r="P7" s="7"/>
      <c r="Q7" s="7" t="s">
        <v>170</v>
      </c>
      <c r="R7" s="12" t="s">
        <v>52</v>
      </c>
      <c r="S7" s="11" t="s">
        <v>173</v>
      </c>
      <c r="T7" s="13">
        <v>0.0</v>
      </c>
      <c r="U7" s="7" t="s">
        <v>170</v>
      </c>
      <c r="V7" s="12" t="s">
        <v>52</v>
      </c>
      <c r="W7" s="11" t="s">
        <v>174</v>
      </c>
      <c r="X7" s="12">
        <v>0.0</v>
      </c>
      <c r="Y7" s="12" t="s">
        <v>170</v>
      </c>
      <c r="Z7" s="12" t="s">
        <v>52</v>
      </c>
      <c r="AA7" s="11" t="s">
        <v>175</v>
      </c>
      <c r="AB7" s="13">
        <v>0.0</v>
      </c>
      <c r="AC7" s="7" t="s">
        <v>170</v>
      </c>
      <c r="AD7" s="12" t="s">
        <v>52</v>
      </c>
      <c r="AE7" s="16"/>
      <c r="AF7" s="11"/>
      <c r="AG7" s="7"/>
      <c r="AH7" s="7"/>
      <c r="AI7" s="16"/>
      <c r="AJ7" s="11"/>
      <c r="AK7" s="7"/>
      <c r="AL7" s="7"/>
      <c r="AM7" s="16"/>
      <c r="AN7" s="11"/>
      <c r="AO7" s="7"/>
      <c r="AP7" s="7"/>
      <c r="AQ7" s="16"/>
      <c r="AR7" s="11"/>
      <c r="AS7" s="7"/>
      <c r="AT7" s="7"/>
      <c r="AU7" s="16"/>
      <c r="AV7" s="11"/>
      <c r="AW7" s="7"/>
      <c r="AX7" s="7"/>
      <c r="AY7" s="16"/>
      <c r="AZ7" s="11"/>
      <c r="BA7" s="7"/>
      <c r="BB7" s="7"/>
      <c r="BC7" s="11"/>
      <c r="BD7" s="11"/>
      <c r="BE7" s="7"/>
      <c r="BF7" s="20"/>
      <c r="BG7" s="11"/>
      <c r="BH7" s="11"/>
      <c r="BI7" s="7"/>
      <c r="BJ7" s="20"/>
      <c r="BK7" s="7"/>
      <c r="BL7" s="7"/>
      <c r="BM7" s="7"/>
      <c r="BN7" s="7"/>
      <c r="BO7" s="7"/>
      <c r="BP7" s="7"/>
      <c r="BQ7" s="7"/>
      <c r="BR7" s="7"/>
      <c r="BS7" s="11"/>
      <c r="BT7" s="11"/>
      <c r="BU7" s="7"/>
      <c r="BV7" s="7"/>
      <c r="BW7" s="11"/>
      <c r="BX7" s="11"/>
      <c r="BY7" s="7"/>
      <c r="BZ7" s="7"/>
      <c r="CA7" s="7"/>
      <c r="CB7" s="7"/>
      <c r="CC7" s="7"/>
      <c r="CD7" s="7"/>
      <c r="CE7" s="7"/>
      <c r="CF7" s="7"/>
      <c r="CG7" s="7"/>
      <c r="CH7" s="7"/>
      <c r="CI7" s="16"/>
      <c r="CJ7" s="11"/>
      <c r="CK7" s="7"/>
      <c r="CL7" s="7"/>
      <c r="CM7" s="7"/>
      <c r="CN7" s="7"/>
      <c r="CO7" s="7"/>
      <c r="CP7" s="7"/>
      <c r="CQ7" s="16"/>
      <c r="CR7" s="11"/>
      <c r="CS7" s="7" t="str">
        <f t="shared" si="2"/>
        <v/>
      </c>
      <c r="CT7" s="7"/>
      <c r="CU7" s="16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</row>
    <row r="8">
      <c r="A8" s="5">
        <v>1334.0</v>
      </c>
      <c r="B8" s="6" t="s">
        <v>47</v>
      </c>
      <c r="C8" s="7" t="str">
        <f t="shared" si="1"/>
        <v>TK-07_BS VI MS</v>
      </c>
      <c r="D8" s="17" t="s">
        <v>176</v>
      </c>
      <c r="E8" s="7"/>
      <c r="F8" s="18" t="s">
        <v>49</v>
      </c>
      <c r="G8" s="10" t="s">
        <v>50</v>
      </c>
      <c r="H8" s="5">
        <v>0.0</v>
      </c>
      <c r="I8" s="7"/>
      <c r="J8" s="7"/>
      <c r="K8" s="7"/>
      <c r="L8" s="7"/>
      <c r="M8" s="7"/>
      <c r="N8" s="7"/>
      <c r="O8" s="11" t="s">
        <v>177</v>
      </c>
      <c r="P8" s="7"/>
      <c r="Q8" s="7" t="s">
        <v>176</v>
      </c>
      <c r="R8" s="12" t="s">
        <v>52</v>
      </c>
      <c r="S8" s="11" t="s">
        <v>178</v>
      </c>
      <c r="T8" s="13">
        <v>0.0</v>
      </c>
      <c r="U8" s="7" t="s">
        <v>176</v>
      </c>
      <c r="V8" s="12" t="s">
        <v>52</v>
      </c>
      <c r="W8" s="11" t="s">
        <v>179</v>
      </c>
      <c r="X8" s="12">
        <v>0.0</v>
      </c>
      <c r="Y8" s="12" t="s">
        <v>176</v>
      </c>
      <c r="Z8" s="12" t="s">
        <v>52</v>
      </c>
      <c r="AA8" s="11" t="s">
        <v>180</v>
      </c>
      <c r="AB8" s="13">
        <v>0.0</v>
      </c>
      <c r="AC8" s="7" t="s">
        <v>176</v>
      </c>
      <c r="AD8" s="12" t="s">
        <v>52</v>
      </c>
      <c r="AE8" s="16"/>
      <c r="AF8" s="11"/>
      <c r="AG8" s="7"/>
      <c r="AH8" s="7"/>
      <c r="AI8" s="16"/>
      <c r="AJ8" s="11"/>
      <c r="AK8" s="7"/>
      <c r="AL8" s="7"/>
      <c r="AM8" s="16"/>
      <c r="AN8" s="11"/>
      <c r="AO8" s="7"/>
      <c r="AP8" s="7"/>
      <c r="AQ8" s="16"/>
      <c r="AR8" s="11"/>
      <c r="AS8" s="7"/>
      <c r="AT8" s="7"/>
      <c r="AU8" s="16"/>
      <c r="AV8" s="11"/>
      <c r="AW8" s="7"/>
      <c r="AX8" s="7"/>
      <c r="AY8" s="16"/>
      <c r="AZ8" s="11"/>
      <c r="BA8" s="7"/>
      <c r="BB8" s="7"/>
      <c r="BC8" s="11"/>
      <c r="BD8" s="11"/>
      <c r="BE8" s="7"/>
      <c r="BF8" s="20"/>
      <c r="BG8" s="11"/>
      <c r="BH8" s="11"/>
      <c r="BI8" s="7"/>
      <c r="BJ8" s="20"/>
      <c r="BK8" s="7"/>
      <c r="BL8" s="7"/>
      <c r="BM8" s="7"/>
      <c r="BN8" s="7"/>
      <c r="BO8" s="7"/>
      <c r="BP8" s="7"/>
      <c r="BQ8" s="7"/>
      <c r="BR8" s="7"/>
      <c r="BS8" s="11"/>
      <c r="BT8" s="11"/>
      <c r="BU8" s="7"/>
      <c r="BV8" s="7"/>
      <c r="BW8" s="11"/>
      <c r="BX8" s="11"/>
      <c r="BY8" s="7"/>
      <c r="BZ8" s="7"/>
      <c r="CA8" s="7"/>
      <c r="CB8" s="7"/>
      <c r="CC8" s="7"/>
      <c r="CD8" s="7"/>
      <c r="CE8" s="7"/>
      <c r="CF8" s="7"/>
      <c r="CG8" s="7"/>
      <c r="CH8" s="7"/>
      <c r="CI8" s="16"/>
      <c r="CJ8" s="11"/>
      <c r="CK8" s="7"/>
      <c r="CL8" s="7"/>
      <c r="CM8" s="7"/>
      <c r="CN8" s="7"/>
      <c r="CO8" s="7"/>
      <c r="CP8" s="7"/>
      <c r="CQ8" s="16"/>
      <c r="CR8" s="11"/>
      <c r="CS8" s="7" t="str">
        <f t="shared" si="2"/>
        <v/>
      </c>
      <c r="CT8" s="7"/>
      <c r="CU8" s="16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</row>
    <row r="9">
      <c r="A9" s="5">
        <v>1334.0</v>
      </c>
      <c r="B9" s="6" t="s">
        <v>47</v>
      </c>
      <c r="C9" s="7" t="str">
        <f t="shared" si="1"/>
        <v>TK-08_BS VI HSD</v>
      </c>
      <c r="D9" s="17" t="s">
        <v>181</v>
      </c>
      <c r="E9" s="7"/>
      <c r="F9" s="18" t="s">
        <v>171</v>
      </c>
      <c r="G9" s="10" t="s">
        <v>50</v>
      </c>
      <c r="H9" s="5">
        <v>0.0</v>
      </c>
      <c r="I9" s="7"/>
      <c r="J9" s="7"/>
      <c r="K9" s="7"/>
      <c r="L9" s="7"/>
      <c r="M9" s="7"/>
      <c r="N9" s="7"/>
      <c r="O9" s="11" t="s">
        <v>182</v>
      </c>
      <c r="P9" s="7"/>
      <c r="Q9" s="7" t="s">
        <v>181</v>
      </c>
      <c r="R9" s="12" t="s">
        <v>52</v>
      </c>
      <c r="S9" s="11" t="s">
        <v>183</v>
      </c>
      <c r="T9" s="13">
        <v>0.0</v>
      </c>
      <c r="U9" s="7" t="s">
        <v>181</v>
      </c>
      <c r="V9" s="12" t="s">
        <v>52</v>
      </c>
      <c r="W9" s="11" t="s">
        <v>184</v>
      </c>
      <c r="X9" s="12">
        <v>0.0</v>
      </c>
      <c r="Y9" s="12" t="s">
        <v>181</v>
      </c>
      <c r="Z9" s="12" t="s">
        <v>52</v>
      </c>
      <c r="AA9" s="11" t="s">
        <v>185</v>
      </c>
      <c r="AB9" s="13">
        <v>0.0</v>
      </c>
      <c r="AC9" s="7" t="s">
        <v>181</v>
      </c>
      <c r="AD9" s="12" t="s">
        <v>52</v>
      </c>
      <c r="AE9" s="16"/>
      <c r="AF9" s="11"/>
      <c r="AG9" s="7"/>
      <c r="AH9" s="7"/>
      <c r="AI9" s="16"/>
      <c r="AJ9" s="11"/>
      <c r="AK9" s="7"/>
      <c r="AL9" s="7"/>
      <c r="AM9" s="16"/>
      <c r="AN9" s="11"/>
      <c r="AO9" s="7"/>
      <c r="AP9" s="7"/>
      <c r="AQ9" s="16"/>
      <c r="AR9" s="11"/>
      <c r="AS9" s="7"/>
      <c r="AT9" s="7"/>
      <c r="AU9" s="16"/>
      <c r="AV9" s="11"/>
      <c r="AW9" s="7"/>
      <c r="AX9" s="7"/>
      <c r="AY9" s="16"/>
      <c r="AZ9" s="11"/>
      <c r="BA9" s="7"/>
      <c r="BB9" s="7"/>
      <c r="BC9" s="11"/>
      <c r="BD9" s="11"/>
      <c r="BE9" s="7"/>
      <c r="BF9" s="7"/>
      <c r="BG9" s="11"/>
      <c r="BH9" s="11"/>
      <c r="BI9" s="7"/>
      <c r="BJ9" s="7"/>
      <c r="BK9" s="7"/>
      <c r="BL9" s="7"/>
      <c r="BM9" s="7"/>
      <c r="BN9" s="7"/>
      <c r="BO9" s="7"/>
      <c r="BP9" s="7"/>
      <c r="BQ9" s="7"/>
      <c r="BR9" s="7"/>
      <c r="BS9" s="11"/>
      <c r="BT9" s="11"/>
      <c r="BU9" s="7"/>
      <c r="BV9" s="7"/>
      <c r="BW9" s="11"/>
      <c r="BX9" s="11"/>
      <c r="BY9" s="7"/>
      <c r="BZ9" s="7"/>
      <c r="CA9" s="7"/>
      <c r="CB9" s="7"/>
      <c r="CC9" s="7"/>
      <c r="CD9" s="7"/>
      <c r="CE9" s="7"/>
      <c r="CF9" s="7"/>
      <c r="CG9" s="7"/>
      <c r="CH9" s="7"/>
      <c r="CI9" s="16"/>
      <c r="CJ9" s="11"/>
      <c r="CK9" s="7"/>
      <c r="CL9" s="7"/>
      <c r="CM9" s="7"/>
      <c r="CN9" s="7"/>
      <c r="CO9" s="7"/>
      <c r="CP9" s="7"/>
      <c r="CQ9" s="16"/>
      <c r="CR9" s="11"/>
      <c r="CS9" s="7" t="str">
        <f t="shared" si="2"/>
        <v/>
      </c>
      <c r="CT9" s="7"/>
      <c r="CU9" s="16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</row>
    <row r="10">
      <c r="A10" s="5">
        <v>1334.0</v>
      </c>
      <c r="B10" s="6" t="s">
        <v>47</v>
      </c>
      <c r="C10" s="7" t="str">
        <f t="shared" si="1"/>
        <v>TK-09_WATER</v>
      </c>
      <c r="D10" s="17" t="s">
        <v>186</v>
      </c>
      <c r="E10" s="7"/>
      <c r="F10" s="18" t="s">
        <v>187</v>
      </c>
      <c r="G10" s="10" t="s">
        <v>50</v>
      </c>
      <c r="H10" s="5">
        <v>0.0</v>
      </c>
      <c r="I10" s="7"/>
      <c r="J10" s="7"/>
      <c r="K10" s="7"/>
      <c r="L10" s="7"/>
      <c r="M10" s="7"/>
      <c r="N10" s="7"/>
      <c r="O10" s="11" t="s">
        <v>188</v>
      </c>
      <c r="P10" s="7"/>
      <c r="Q10" s="7" t="s">
        <v>186</v>
      </c>
      <c r="R10" s="12" t="s">
        <v>52</v>
      </c>
      <c r="S10" s="11"/>
      <c r="T10" s="11"/>
      <c r="U10" s="7"/>
      <c r="V10" s="7"/>
      <c r="W10" s="11" t="s">
        <v>189</v>
      </c>
      <c r="X10" s="12">
        <v>0.0</v>
      </c>
      <c r="Y10" s="12" t="s">
        <v>186</v>
      </c>
      <c r="Z10" s="12" t="s">
        <v>52</v>
      </c>
      <c r="AA10" s="11"/>
      <c r="AB10" s="11"/>
      <c r="AC10" s="7"/>
      <c r="AD10" s="7"/>
      <c r="AE10" s="16"/>
      <c r="AF10" s="11"/>
      <c r="AG10" s="7"/>
      <c r="AH10" s="7"/>
      <c r="AI10" s="16"/>
      <c r="AJ10" s="11"/>
      <c r="AK10" s="7"/>
      <c r="AL10" s="7"/>
      <c r="AM10" s="16"/>
      <c r="AN10" s="11"/>
      <c r="AO10" s="7"/>
      <c r="AP10" s="7"/>
      <c r="AQ10" s="16"/>
      <c r="AR10" s="11"/>
      <c r="AS10" s="7"/>
      <c r="AT10" s="7"/>
      <c r="AU10" s="16"/>
      <c r="AV10" s="11"/>
      <c r="AW10" s="7"/>
      <c r="AX10" s="7"/>
      <c r="AY10" s="16"/>
      <c r="AZ10" s="11"/>
      <c r="BA10" s="7"/>
      <c r="BB10" s="7"/>
      <c r="BC10" s="11"/>
      <c r="BD10" s="11"/>
      <c r="BE10" s="7"/>
      <c r="BF10" s="7"/>
      <c r="BG10" s="11"/>
      <c r="BH10" s="11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11"/>
      <c r="BT10" s="11"/>
      <c r="BU10" s="7"/>
      <c r="BV10" s="7"/>
      <c r="BW10" s="11"/>
      <c r="BX10" s="11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16"/>
      <c r="CJ10" s="11"/>
      <c r="CK10" s="7"/>
      <c r="CL10" s="7"/>
      <c r="CM10" s="7"/>
      <c r="CN10" s="7"/>
      <c r="CO10" s="7"/>
      <c r="CP10" s="7"/>
      <c r="CQ10" s="16"/>
      <c r="CR10" s="11"/>
      <c r="CS10" s="7" t="str">
        <f t="shared" si="2"/>
        <v/>
      </c>
      <c r="CT10" s="7"/>
      <c r="CU10" s="16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</row>
    <row r="11">
      <c r="A11" s="5">
        <v>1334.0</v>
      </c>
      <c r="B11" s="6" t="s">
        <v>47</v>
      </c>
      <c r="C11" s="7" t="str">
        <f t="shared" si="1"/>
        <v>TK-10_WATER</v>
      </c>
      <c r="D11" s="17" t="s">
        <v>190</v>
      </c>
      <c r="E11" s="7"/>
      <c r="F11" s="18" t="s">
        <v>187</v>
      </c>
      <c r="G11" s="10" t="s">
        <v>50</v>
      </c>
      <c r="H11" s="5">
        <v>0.0</v>
      </c>
      <c r="I11" s="7"/>
      <c r="J11" s="7"/>
      <c r="K11" s="7"/>
      <c r="L11" s="7"/>
      <c r="M11" s="7"/>
      <c r="N11" s="7"/>
      <c r="O11" s="11" t="s">
        <v>191</v>
      </c>
      <c r="P11" s="7"/>
      <c r="Q11" s="7" t="s">
        <v>190</v>
      </c>
      <c r="R11" s="12" t="s">
        <v>52</v>
      </c>
      <c r="S11" s="11"/>
      <c r="T11" s="11"/>
      <c r="U11" s="7"/>
      <c r="V11" s="7"/>
      <c r="W11" s="11" t="s">
        <v>192</v>
      </c>
      <c r="X11" s="12">
        <v>0.0</v>
      </c>
      <c r="Y11" s="12" t="s">
        <v>190</v>
      </c>
      <c r="Z11" s="12" t="s">
        <v>52</v>
      </c>
      <c r="AA11" s="11"/>
      <c r="AB11" s="11"/>
      <c r="AC11" s="7"/>
      <c r="AD11" s="7"/>
      <c r="AE11" s="16"/>
      <c r="AF11" s="11"/>
      <c r="AG11" s="7"/>
      <c r="AH11" s="7"/>
      <c r="AI11" s="16"/>
      <c r="AJ11" s="11"/>
      <c r="AK11" s="7"/>
      <c r="AL11" s="7"/>
      <c r="AM11" s="16"/>
      <c r="AN11" s="11"/>
      <c r="AO11" s="7"/>
      <c r="AP11" s="7"/>
      <c r="AQ11" s="16"/>
      <c r="AR11" s="11"/>
      <c r="AS11" s="7"/>
      <c r="AT11" s="7"/>
      <c r="AU11" s="16"/>
      <c r="AV11" s="11"/>
      <c r="AW11" s="7"/>
      <c r="AX11" s="7"/>
      <c r="AY11" s="16"/>
      <c r="AZ11" s="11"/>
      <c r="BA11" s="7"/>
      <c r="BB11" s="7"/>
      <c r="BC11" s="11"/>
      <c r="BD11" s="11"/>
      <c r="BE11" s="7"/>
      <c r="BF11" s="7"/>
      <c r="BG11" s="11"/>
      <c r="BH11" s="11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11"/>
      <c r="BT11" s="11"/>
      <c r="BU11" s="7"/>
      <c r="BV11" s="7"/>
      <c r="BW11" s="11"/>
      <c r="BX11" s="11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16"/>
      <c r="CJ11" s="11"/>
      <c r="CK11" s="7"/>
      <c r="CL11" s="7"/>
      <c r="CM11" s="7"/>
      <c r="CN11" s="7"/>
      <c r="CO11" s="7"/>
      <c r="CP11" s="7"/>
      <c r="CQ11" s="16"/>
      <c r="CR11" s="11"/>
      <c r="CS11" s="7" t="str">
        <f t="shared" si="2"/>
        <v/>
      </c>
      <c r="CT11" s="7"/>
      <c r="CU11" s="16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</row>
    <row r="12">
      <c r="A12" s="5">
        <v>1334.0</v>
      </c>
      <c r="B12" s="6" t="s">
        <v>47</v>
      </c>
      <c r="C12" s="7" t="str">
        <f t="shared" si="1"/>
        <v>TK-11_BS VI HSD</v>
      </c>
      <c r="D12" s="17" t="s">
        <v>193</v>
      </c>
      <c r="E12" s="7"/>
      <c r="F12" s="18" t="s">
        <v>171</v>
      </c>
      <c r="G12" s="10" t="s">
        <v>50</v>
      </c>
      <c r="H12" s="5">
        <v>0.0</v>
      </c>
      <c r="I12" s="7"/>
      <c r="J12" s="7"/>
      <c r="K12" s="7"/>
      <c r="L12" s="7"/>
      <c r="M12" s="7"/>
      <c r="N12" s="7"/>
      <c r="O12" s="11" t="s">
        <v>194</v>
      </c>
      <c r="P12" s="7"/>
      <c r="Q12" s="7" t="s">
        <v>193</v>
      </c>
      <c r="R12" s="12" t="s">
        <v>52</v>
      </c>
      <c r="S12" s="11" t="s">
        <v>195</v>
      </c>
      <c r="T12" s="13">
        <v>0.0</v>
      </c>
      <c r="U12" s="7" t="s">
        <v>193</v>
      </c>
      <c r="V12" s="12" t="s">
        <v>52</v>
      </c>
      <c r="W12" s="11" t="s">
        <v>196</v>
      </c>
      <c r="X12" s="12">
        <v>0.0</v>
      </c>
      <c r="Y12" s="12" t="s">
        <v>193</v>
      </c>
      <c r="Z12" s="12" t="s">
        <v>52</v>
      </c>
      <c r="AA12" s="11" t="s">
        <v>197</v>
      </c>
      <c r="AB12" s="13">
        <v>0.0</v>
      </c>
      <c r="AC12" s="7" t="s">
        <v>193</v>
      </c>
      <c r="AD12" s="12" t="s">
        <v>52</v>
      </c>
      <c r="AE12" s="11" t="s">
        <v>198</v>
      </c>
      <c r="AF12" s="13">
        <v>0.0</v>
      </c>
      <c r="AG12" s="7" t="s">
        <v>199</v>
      </c>
      <c r="AH12" s="7" t="s">
        <v>58</v>
      </c>
      <c r="AI12" s="11" t="s">
        <v>200</v>
      </c>
      <c r="AJ12" s="13">
        <v>0.0</v>
      </c>
      <c r="AK12" s="7" t="s">
        <v>201</v>
      </c>
      <c r="AL12" s="7" t="s">
        <v>58</v>
      </c>
      <c r="AM12" s="11" t="s">
        <v>202</v>
      </c>
      <c r="AN12" s="13">
        <v>0.0</v>
      </c>
      <c r="AO12" s="7" t="s">
        <v>201</v>
      </c>
      <c r="AP12" s="7" t="s">
        <v>58</v>
      </c>
      <c r="AQ12" s="11" t="s">
        <v>203</v>
      </c>
      <c r="AR12" s="13">
        <v>0.0</v>
      </c>
      <c r="AS12" s="7" t="s">
        <v>204</v>
      </c>
      <c r="AT12" s="7" t="s">
        <v>63</v>
      </c>
      <c r="AU12" s="11" t="s">
        <v>205</v>
      </c>
      <c r="AV12" s="13">
        <v>0.0</v>
      </c>
      <c r="AW12" s="7" t="s">
        <v>204</v>
      </c>
      <c r="AX12" s="7" t="s">
        <v>63</v>
      </c>
      <c r="AY12" s="11" t="s">
        <v>206</v>
      </c>
      <c r="AZ12" s="13">
        <v>0.0</v>
      </c>
      <c r="BA12" s="7" t="s">
        <v>204</v>
      </c>
      <c r="BB12" s="7" t="s">
        <v>63</v>
      </c>
      <c r="BC12" s="11" t="s">
        <v>207</v>
      </c>
      <c r="BD12" s="13">
        <v>0.0</v>
      </c>
      <c r="BE12" s="7" t="s">
        <v>208</v>
      </c>
      <c r="BF12" s="14" t="s">
        <v>68</v>
      </c>
      <c r="BG12" s="11" t="s">
        <v>209</v>
      </c>
      <c r="BH12" s="13">
        <v>0.0</v>
      </c>
      <c r="BI12" s="7" t="s">
        <v>208</v>
      </c>
      <c r="BJ12" s="14" t="s">
        <v>70</v>
      </c>
      <c r="BK12" s="7"/>
      <c r="BL12" s="7"/>
      <c r="BM12" s="7"/>
      <c r="BN12" s="7"/>
      <c r="BO12" s="7"/>
      <c r="BP12" s="7"/>
      <c r="BQ12" s="7"/>
      <c r="BR12" s="7"/>
      <c r="BS12" s="11" t="s">
        <v>210</v>
      </c>
      <c r="BT12" s="13">
        <v>0.0</v>
      </c>
      <c r="BU12" s="7" t="s">
        <v>211</v>
      </c>
      <c r="BV12" s="14" t="s">
        <v>73</v>
      </c>
      <c r="BW12" s="11" t="s">
        <v>212</v>
      </c>
      <c r="BX12" s="13">
        <v>0.0</v>
      </c>
      <c r="BY12" s="7" t="s">
        <v>211</v>
      </c>
      <c r="BZ12" s="14" t="s">
        <v>75</v>
      </c>
      <c r="CA12" s="7"/>
      <c r="CB12" s="7"/>
      <c r="CC12" s="7"/>
      <c r="CD12" s="7"/>
      <c r="CE12" s="7"/>
      <c r="CF12" s="7"/>
      <c r="CG12" s="7"/>
      <c r="CH12" s="7"/>
      <c r="CI12" s="19" t="s">
        <v>213</v>
      </c>
      <c r="CJ12" s="13">
        <v>1.0</v>
      </c>
      <c r="CK12" s="7" t="s">
        <v>214</v>
      </c>
      <c r="CL12" s="7" t="s">
        <v>78</v>
      </c>
      <c r="CM12" s="7"/>
      <c r="CN12" s="7"/>
      <c r="CO12" s="7"/>
      <c r="CP12" s="7"/>
      <c r="CQ12" s="19" t="s">
        <v>215</v>
      </c>
      <c r="CR12" s="13">
        <v>1.0</v>
      </c>
      <c r="CS12" s="7" t="str">
        <f t="shared" si="2"/>
        <v>MOV-017</v>
      </c>
      <c r="CT12" s="7" t="s">
        <v>80</v>
      </c>
      <c r="CU12" s="16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</row>
    <row r="13">
      <c r="A13" s="5">
        <v>1334.0</v>
      </c>
      <c r="B13" s="6" t="s">
        <v>47</v>
      </c>
      <c r="C13" s="7" t="str">
        <f t="shared" si="1"/>
        <v>TK-12_BS VI MS</v>
      </c>
      <c r="D13" s="17" t="s">
        <v>216</v>
      </c>
      <c r="E13" s="7"/>
      <c r="F13" s="18" t="s">
        <v>49</v>
      </c>
      <c r="G13" s="10" t="s">
        <v>50</v>
      </c>
      <c r="H13" s="5">
        <v>0.0</v>
      </c>
      <c r="I13" s="7"/>
      <c r="J13" s="7"/>
      <c r="K13" s="7"/>
      <c r="L13" s="7"/>
      <c r="M13" s="7"/>
      <c r="N13" s="7"/>
      <c r="O13" s="11" t="s">
        <v>217</v>
      </c>
      <c r="P13" s="7"/>
      <c r="Q13" s="7" t="s">
        <v>216</v>
      </c>
      <c r="R13" s="12" t="s">
        <v>52</v>
      </c>
      <c r="S13" s="11" t="s">
        <v>218</v>
      </c>
      <c r="T13" s="13">
        <v>0.0</v>
      </c>
      <c r="U13" s="7" t="s">
        <v>216</v>
      </c>
      <c r="V13" s="12" t="s">
        <v>52</v>
      </c>
      <c r="W13" s="11" t="s">
        <v>219</v>
      </c>
      <c r="X13" s="12">
        <v>0.0</v>
      </c>
      <c r="Y13" s="12" t="s">
        <v>216</v>
      </c>
      <c r="Z13" s="12" t="s">
        <v>52</v>
      </c>
      <c r="AA13" s="11" t="s">
        <v>220</v>
      </c>
      <c r="AB13" s="13">
        <v>0.0</v>
      </c>
      <c r="AC13" s="7" t="s">
        <v>216</v>
      </c>
      <c r="AD13" s="12" t="s">
        <v>52</v>
      </c>
      <c r="AE13" s="11" t="s">
        <v>221</v>
      </c>
      <c r="AF13" s="13">
        <v>0.0</v>
      </c>
      <c r="AG13" s="7" t="s">
        <v>222</v>
      </c>
      <c r="AH13" s="7" t="s">
        <v>58</v>
      </c>
      <c r="AI13" s="11" t="s">
        <v>223</v>
      </c>
      <c r="AJ13" s="13">
        <v>0.0</v>
      </c>
      <c r="AK13" s="7" t="s">
        <v>224</v>
      </c>
      <c r="AL13" s="7" t="s">
        <v>58</v>
      </c>
      <c r="AM13" s="11" t="s">
        <v>225</v>
      </c>
      <c r="AN13" s="13">
        <v>0.0</v>
      </c>
      <c r="AO13" s="7" t="s">
        <v>224</v>
      </c>
      <c r="AP13" s="7" t="s">
        <v>58</v>
      </c>
      <c r="AQ13" s="11" t="s">
        <v>226</v>
      </c>
      <c r="AR13" s="13">
        <v>0.0</v>
      </c>
      <c r="AS13" s="7" t="s">
        <v>227</v>
      </c>
      <c r="AT13" s="7" t="s">
        <v>63</v>
      </c>
      <c r="AU13" s="11" t="s">
        <v>228</v>
      </c>
      <c r="AV13" s="13">
        <v>0.0</v>
      </c>
      <c r="AW13" s="7" t="s">
        <v>227</v>
      </c>
      <c r="AX13" s="7" t="s">
        <v>63</v>
      </c>
      <c r="AY13" s="11" t="s">
        <v>229</v>
      </c>
      <c r="AZ13" s="13">
        <v>0.0</v>
      </c>
      <c r="BA13" s="7" t="s">
        <v>227</v>
      </c>
      <c r="BB13" s="7" t="s">
        <v>63</v>
      </c>
      <c r="BC13" s="11" t="s">
        <v>230</v>
      </c>
      <c r="BD13" s="13">
        <v>0.0</v>
      </c>
      <c r="BE13" s="7" t="s">
        <v>231</v>
      </c>
      <c r="BF13" s="14" t="s">
        <v>68</v>
      </c>
      <c r="BG13" s="11" t="s">
        <v>232</v>
      </c>
      <c r="BH13" s="13">
        <v>0.0</v>
      </c>
      <c r="BI13" s="7" t="s">
        <v>231</v>
      </c>
      <c r="BJ13" s="14" t="s">
        <v>70</v>
      </c>
      <c r="BK13" s="7"/>
      <c r="BL13" s="7"/>
      <c r="BM13" s="7"/>
      <c r="BN13" s="7"/>
      <c r="BO13" s="7"/>
      <c r="BP13" s="7"/>
      <c r="BQ13" s="7"/>
      <c r="BR13" s="7"/>
      <c r="BS13" s="11" t="s">
        <v>233</v>
      </c>
      <c r="BT13" s="13">
        <v>0.0</v>
      </c>
      <c r="BU13" s="7" t="s">
        <v>234</v>
      </c>
      <c r="BV13" s="14" t="s">
        <v>73</v>
      </c>
      <c r="BW13" s="11" t="s">
        <v>235</v>
      </c>
      <c r="BX13" s="13">
        <v>0.0</v>
      </c>
      <c r="BY13" s="7" t="s">
        <v>234</v>
      </c>
      <c r="BZ13" s="14" t="s">
        <v>75</v>
      </c>
      <c r="CA13" s="7"/>
      <c r="CB13" s="7"/>
      <c r="CC13" s="7"/>
      <c r="CD13" s="7"/>
      <c r="CE13" s="7"/>
      <c r="CF13" s="7"/>
      <c r="CG13" s="7"/>
      <c r="CH13" s="7"/>
      <c r="CI13" s="19" t="s">
        <v>236</v>
      </c>
      <c r="CJ13" s="13">
        <v>1.0</v>
      </c>
      <c r="CK13" s="7" t="s">
        <v>237</v>
      </c>
      <c r="CL13" s="7" t="s">
        <v>78</v>
      </c>
      <c r="CM13" s="7"/>
      <c r="CN13" s="7"/>
      <c r="CO13" s="7"/>
      <c r="CP13" s="7"/>
      <c r="CQ13" s="19" t="s">
        <v>238</v>
      </c>
      <c r="CR13" s="13">
        <v>1.0</v>
      </c>
      <c r="CS13" s="7" t="str">
        <f t="shared" si="2"/>
        <v>MOV-020</v>
      </c>
      <c r="CT13" s="7" t="s">
        <v>80</v>
      </c>
      <c r="CU13" s="16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</row>
    <row r="14">
      <c r="A14" s="5">
        <v>1334.0</v>
      </c>
      <c r="B14" s="6" t="s">
        <v>47</v>
      </c>
      <c r="C14" s="7" t="str">
        <f t="shared" si="1"/>
        <v>TK-13_BS VI HSD</v>
      </c>
      <c r="D14" s="17" t="s">
        <v>239</v>
      </c>
      <c r="E14" s="7"/>
      <c r="F14" s="18" t="s">
        <v>171</v>
      </c>
      <c r="G14" s="10" t="s">
        <v>50</v>
      </c>
      <c r="H14" s="5">
        <v>0.0</v>
      </c>
      <c r="I14" s="7"/>
      <c r="J14" s="7"/>
      <c r="K14" s="7"/>
      <c r="L14" s="7"/>
      <c r="M14" s="7"/>
      <c r="N14" s="7"/>
      <c r="O14" s="11" t="s">
        <v>240</v>
      </c>
      <c r="P14" s="7"/>
      <c r="Q14" s="7" t="s">
        <v>239</v>
      </c>
      <c r="R14" s="12" t="s">
        <v>52</v>
      </c>
      <c r="S14" s="11" t="s">
        <v>241</v>
      </c>
      <c r="T14" s="13">
        <v>0.0</v>
      </c>
      <c r="U14" s="7" t="s">
        <v>239</v>
      </c>
      <c r="V14" s="12" t="s">
        <v>52</v>
      </c>
      <c r="W14" s="11" t="s">
        <v>242</v>
      </c>
      <c r="X14" s="12">
        <v>0.0</v>
      </c>
      <c r="Y14" s="12" t="s">
        <v>239</v>
      </c>
      <c r="Z14" s="12" t="s">
        <v>52</v>
      </c>
      <c r="AA14" s="11" t="s">
        <v>243</v>
      </c>
      <c r="AB14" s="13">
        <v>0.0</v>
      </c>
      <c r="AC14" s="7" t="s">
        <v>239</v>
      </c>
      <c r="AD14" s="12" t="s">
        <v>52</v>
      </c>
      <c r="AE14" s="11" t="s">
        <v>244</v>
      </c>
      <c r="AF14" s="13">
        <v>0.0</v>
      </c>
      <c r="AG14" s="7" t="s">
        <v>245</v>
      </c>
      <c r="AH14" s="7" t="s">
        <v>58</v>
      </c>
      <c r="AI14" s="11" t="s">
        <v>246</v>
      </c>
      <c r="AJ14" s="13">
        <v>0.0</v>
      </c>
      <c r="AK14" s="7" t="s">
        <v>247</v>
      </c>
      <c r="AL14" s="7" t="s">
        <v>58</v>
      </c>
      <c r="AM14" s="11" t="s">
        <v>248</v>
      </c>
      <c r="AN14" s="13">
        <v>0.0</v>
      </c>
      <c r="AO14" s="7" t="s">
        <v>247</v>
      </c>
      <c r="AP14" s="7" t="s">
        <v>58</v>
      </c>
      <c r="AQ14" s="11" t="s">
        <v>249</v>
      </c>
      <c r="AR14" s="13">
        <v>0.0</v>
      </c>
      <c r="AS14" s="7" t="s">
        <v>250</v>
      </c>
      <c r="AT14" s="7" t="s">
        <v>63</v>
      </c>
      <c r="AU14" s="11" t="s">
        <v>251</v>
      </c>
      <c r="AV14" s="13">
        <v>0.0</v>
      </c>
      <c r="AW14" s="7" t="s">
        <v>250</v>
      </c>
      <c r="AX14" s="7" t="s">
        <v>63</v>
      </c>
      <c r="AY14" s="11" t="s">
        <v>252</v>
      </c>
      <c r="AZ14" s="13">
        <v>0.0</v>
      </c>
      <c r="BA14" s="7" t="s">
        <v>250</v>
      </c>
      <c r="BB14" s="7" t="s">
        <v>63</v>
      </c>
      <c r="BC14" s="11" t="s">
        <v>253</v>
      </c>
      <c r="BD14" s="13">
        <v>0.0</v>
      </c>
      <c r="BE14" s="7" t="s">
        <v>254</v>
      </c>
      <c r="BF14" s="14" t="s">
        <v>68</v>
      </c>
      <c r="BG14" s="11" t="s">
        <v>255</v>
      </c>
      <c r="BH14" s="13">
        <v>0.0</v>
      </c>
      <c r="BI14" s="7" t="s">
        <v>254</v>
      </c>
      <c r="BJ14" s="14" t="s">
        <v>70</v>
      </c>
      <c r="BK14" s="7"/>
      <c r="BL14" s="7"/>
      <c r="BM14" s="7"/>
      <c r="BN14" s="7"/>
      <c r="BO14" s="7"/>
      <c r="BP14" s="7"/>
      <c r="BQ14" s="7"/>
      <c r="BR14" s="7"/>
      <c r="BS14" s="11" t="s">
        <v>256</v>
      </c>
      <c r="BT14" s="13">
        <v>0.0</v>
      </c>
      <c r="BU14" s="7" t="s">
        <v>257</v>
      </c>
      <c r="BV14" s="14" t="s">
        <v>73</v>
      </c>
      <c r="BW14" s="11" t="s">
        <v>258</v>
      </c>
      <c r="BX14" s="13">
        <v>0.0</v>
      </c>
      <c r="BY14" s="7" t="s">
        <v>257</v>
      </c>
      <c r="BZ14" s="14" t="s">
        <v>75</v>
      </c>
      <c r="CA14" s="7"/>
      <c r="CB14" s="7"/>
      <c r="CC14" s="7"/>
      <c r="CD14" s="7"/>
      <c r="CE14" s="7"/>
      <c r="CF14" s="7"/>
      <c r="CG14" s="7"/>
      <c r="CH14" s="7"/>
      <c r="CI14" s="19" t="s">
        <v>259</v>
      </c>
      <c r="CJ14" s="13">
        <v>1.0</v>
      </c>
      <c r="CK14" s="7" t="s">
        <v>260</v>
      </c>
      <c r="CL14" s="7" t="s">
        <v>78</v>
      </c>
      <c r="CM14" s="7"/>
      <c r="CN14" s="7"/>
      <c r="CO14" s="7"/>
      <c r="CP14" s="7"/>
      <c r="CQ14" s="19" t="s">
        <v>261</v>
      </c>
      <c r="CR14" s="13">
        <v>1.0</v>
      </c>
      <c r="CS14" s="7" t="str">
        <f t="shared" si="2"/>
        <v>MOV-023</v>
      </c>
      <c r="CT14" s="7" t="s">
        <v>80</v>
      </c>
      <c r="CU14" s="16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</row>
    <row r="15">
      <c r="A15" s="5">
        <v>1334.0</v>
      </c>
      <c r="B15" s="6" t="s">
        <v>47</v>
      </c>
      <c r="C15" s="7" t="str">
        <f t="shared" si="1"/>
        <v>TK-14_BS VI HSD</v>
      </c>
      <c r="D15" s="17" t="s">
        <v>262</v>
      </c>
      <c r="E15" s="7"/>
      <c r="F15" s="18" t="s">
        <v>171</v>
      </c>
      <c r="G15" s="10" t="s">
        <v>50</v>
      </c>
      <c r="H15" s="5">
        <v>0.0</v>
      </c>
      <c r="I15" s="7"/>
      <c r="J15" s="7"/>
      <c r="K15" s="7"/>
      <c r="L15" s="7"/>
      <c r="M15" s="7"/>
      <c r="N15" s="7"/>
      <c r="O15" s="11" t="s">
        <v>263</v>
      </c>
      <c r="P15" s="7"/>
      <c r="Q15" s="7" t="s">
        <v>262</v>
      </c>
      <c r="R15" s="12" t="s">
        <v>52</v>
      </c>
      <c r="S15" s="11" t="s">
        <v>264</v>
      </c>
      <c r="T15" s="13">
        <v>0.0</v>
      </c>
      <c r="U15" s="7" t="s">
        <v>262</v>
      </c>
      <c r="V15" s="12" t="s">
        <v>52</v>
      </c>
      <c r="W15" s="11" t="s">
        <v>265</v>
      </c>
      <c r="X15" s="12">
        <v>0.0</v>
      </c>
      <c r="Y15" s="12" t="s">
        <v>262</v>
      </c>
      <c r="Z15" s="12" t="s">
        <v>52</v>
      </c>
      <c r="AA15" s="11" t="s">
        <v>266</v>
      </c>
      <c r="AB15" s="13">
        <v>0.0</v>
      </c>
      <c r="AC15" s="7" t="s">
        <v>262</v>
      </c>
      <c r="AD15" s="12" t="s">
        <v>52</v>
      </c>
      <c r="AE15" s="11" t="s">
        <v>267</v>
      </c>
      <c r="AF15" s="13">
        <v>0.0</v>
      </c>
      <c r="AG15" s="7" t="s">
        <v>268</v>
      </c>
      <c r="AH15" s="7" t="s">
        <v>58</v>
      </c>
      <c r="AI15" s="11" t="s">
        <v>269</v>
      </c>
      <c r="AJ15" s="13">
        <v>0.0</v>
      </c>
      <c r="AK15" s="7" t="s">
        <v>270</v>
      </c>
      <c r="AL15" s="7" t="s">
        <v>58</v>
      </c>
      <c r="AM15" s="11" t="s">
        <v>271</v>
      </c>
      <c r="AN15" s="13">
        <v>0.0</v>
      </c>
      <c r="AO15" s="7" t="s">
        <v>270</v>
      </c>
      <c r="AP15" s="7" t="s">
        <v>58</v>
      </c>
      <c r="AQ15" s="11" t="s">
        <v>272</v>
      </c>
      <c r="AR15" s="13">
        <v>0.0</v>
      </c>
      <c r="AS15" s="7" t="s">
        <v>273</v>
      </c>
      <c r="AT15" s="7" t="s">
        <v>63</v>
      </c>
      <c r="AU15" s="11" t="s">
        <v>274</v>
      </c>
      <c r="AV15" s="13">
        <v>0.0</v>
      </c>
      <c r="AW15" s="7" t="s">
        <v>273</v>
      </c>
      <c r="AX15" s="7" t="s">
        <v>63</v>
      </c>
      <c r="AY15" s="11" t="s">
        <v>275</v>
      </c>
      <c r="AZ15" s="13">
        <v>0.0</v>
      </c>
      <c r="BA15" s="7" t="s">
        <v>273</v>
      </c>
      <c r="BB15" s="7" t="s">
        <v>63</v>
      </c>
      <c r="BC15" s="11" t="s">
        <v>276</v>
      </c>
      <c r="BD15" s="13">
        <v>0.0</v>
      </c>
      <c r="BE15" s="7" t="s">
        <v>277</v>
      </c>
      <c r="BF15" s="14" t="s">
        <v>68</v>
      </c>
      <c r="BG15" s="11" t="s">
        <v>278</v>
      </c>
      <c r="BH15" s="13">
        <v>0.0</v>
      </c>
      <c r="BI15" s="7" t="s">
        <v>277</v>
      </c>
      <c r="BJ15" s="14" t="s">
        <v>70</v>
      </c>
      <c r="BK15" s="7"/>
      <c r="BL15" s="7"/>
      <c r="BM15" s="7"/>
      <c r="BN15" s="7"/>
      <c r="BO15" s="7"/>
      <c r="BP15" s="7"/>
      <c r="BQ15" s="7"/>
      <c r="BR15" s="7"/>
      <c r="BS15" s="11" t="s">
        <v>279</v>
      </c>
      <c r="BT15" s="13">
        <v>0.0</v>
      </c>
      <c r="BU15" s="7" t="s">
        <v>280</v>
      </c>
      <c r="BV15" s="14" t="s">
        <v>73</v>
      </c>
      <c r="BW15" s="11" t="s">
        <v>281</v>
      </c>
      <c r="BX15" s="13">
        <v>0.0</v>
      </c>
      <c r="BY15" s="7" t="s">
        <v>280</v>
      </c>
      <c r="BZ15" s="14" t="s">
        <v>75</v>
      </c>
      <c r="CA15" s="7"/>
      <c r="CB15" s="7"/>
      <c r="CC15" s="7"/>
      <c r="CD15" s="7"/>
      <c r="CE15" s="7"/>
      <c r="CF15" s="7"/>
      <c r="CG15" s="7"/>
      <c r="CH15" s="7"/>
      <c r="CI15" s="19" t="s">
        <v>282</v>
      </c>
      <c r="CJ15" s="13">
        <v>1.0</v>
      </c>
      <c r="CK15" s="7" t="s">
        <v>283</v>
      </c>
      <c r="CL15" s="7" t="s">
        <v>78</v>
      </c>
      <c r="CM15" s="7"/>
      <c r="CN15" s="7"/>
      <c r="CO15" s="7"/>
      <c r="CP15" s="7"/>
      <c r="CQ15" s="19" t="s">
        <v>284</v>
      </c>
      <c r="CR15" s="13">
        <v>1.0</v>
      </c>
      <c r="CS15" s="7" t="str">
        <f t="shared" si="2"/>
        <v>MOV-026</v>
      </c>
      <c r="CT15" s="7" t="s">
        <v>80</v>
      </c>
      <c r="CU15" s="16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</row>
    <row r="16">
      <c r="A16" s="5">
        <v>1334.0</v>
      </c>
      <c r="B16" s="6" t="s">
        <v>47</v>
      </c>
      <c r="C16" s="7" t="str">
        <f t="shared" si="1"/>
        <v>TK-15_BS VI MS</v>
      </c>
      <c r="D16" s="17" t="s">
        <v>285</v>
      </c>
      <c r="E16" s="7"/>
      <c r="F16" s="18" t="s">
        <v>49</v>
      </c>
      <c r="G16" s="10" t="s">
        <v>50</v>
      </c>
      <c r="H16" s="5">
        <v>0.0</v>
      </c>
      <c r="I16" s="7"/>
      <c r="J16" s="7"/>
      <c r="K16" s="7"/>
      <c r="L16" s="7"/>
      <c r="M16" s="7"/>
      <c r="N16" s="7"/>
      <c r="O16" s="11" t="s">
        <v>286</v>
      </c>
      <c r="P16" s="7"/>
      <c r="Q16" s="7" t="s">
        <v>285</v>
      </c>
      <c r="R16" s="12" t="s">
        <v>52</v>
      </c>
      <c r="S16" s="11" t="s">
        <v>287</v>
      </c>
      <c r="T16" s="13">
        <v>0.0</v>
      </c>
      <c r="U16" s="7" t="s">
        <v>285</v>
      </c>
      <c r="V16" s="12" t="s">
        <v>52</v>
      </c>
      <c r="W16" s="11" t="s">
        <v>288</v>
      </c>
      <c r="X16" s="12">
        <v>0.0</v>
      </c>
      <c r="Y16" s="12" t="s">
        <v>285</v>
      </c>
      <c r="Z16" s="12" t="s">
        <v>52</v>
      </c>
      <c r="AA16" s="11" t="s">
        <v>289</v>
      </c>
      <c r="AB16" s="13">
        <v>0.0</v>
      </c>
      <c r="AC16" s="7" t="s">
        <v>285</v>
      </c>
      <c r="AD16" s="12" t="s">
        <v>52</v>
      </c>
      <c r="AE16" s="11" t="s">
        <v>290</v>
      </c>
      <c r="AF16" s="13">
        <v>0.0</v>
      </c>
      <c r="AG16" s="7" t="s">
        <v>291</v>
      </c>
      <c r="AH16" s="7" t="s">
        <v>58</v>
      </c>
      <c r="AI16" s="11" t="s">
        <v>292</v>
      </c>
      <c r="AJ16" s="13">
        <v>0.0</v>
      </c>
      <c r="AK16" s="7" t="s">
        <v>293</v>
      </c>
      <c r="AL16" s="7" t="s">
        <v>58</v>
      </c>
      <c r="AM16" s="11" t="s">
        <v>294</v>
      </c>
      <c r="AN16" s="13">
        <v>0.0</v>
      </c>
      <c r="AO16" s="7" t="s">
        <v>293</v>
      </c>
      <c r="AP16" s="7" t="s">
        <v>58</v>
      </c>
      <c r="AQ16" s="11" t="s">
        <v>295</v>
      </c>
      <c r="AR16" s="13">
        <v>0.0</v>
      </c>
      <c r="AS16" s="7" t="s">
        <v>296</v>
      </c>
      <c r="AT16" s="7" t="s">
        <v>63</v>
      </c>
      <c r="AU16" s="11" t="s">
        <v>297</v>
      </c>
      <c r="AV16" s="13">
        <v>0.0</v>
      </c>
      <c r="AW16" s="7" t="s">
        <v>296</v>
      </c>
      <c r="AX16" s="7" t="s">
        <v>63</v>
      </c>
      <c r="AY16" s="11" t="s">
        <v>298</v>
      </c>
      <c r="AZ16" s="13">
        <v>0.0</v>
      </c>
      <c r="BA16" s="7" t="s">
        <v>296</v>
      </c>
      <c r="BB16" s="7" t="s">
        <v>63</v>
      </c>
      <c r="BC16" s="11" t="s">
        <v>299</v>
      </c>
      <c r="BD16" s="13">
        <v>0.0</v>
      </c>
      <c r="BE16" s="7" t="s">
        <v>300</v>
      </c>
      <c r="BF16" s="14" t="s">
        <v>68</v>
      </c>
      <c r="BG16" s="11" t="s">
        <v>301</v>
      </c>
      <c r="BH16" s="13">
        <v>0.0</v>
      </c>
      <c r="BI16" s="7" t="s">
        <v>300</v>
      </c>
      <c r="BJ16" s="14" t="s">
        <v>70</v>
      </c>
      <c r="BK16" s="7"/>
      <c r="BL16" s="7"/>
      <c r="BM16" s="7"/>
      <c r="BN16" s="7"/>
      <c r="BO16" s="7"/>
      <c r="BP16" s="7"/>
      <c r="BQ16" s="7"/>
      <c r="BR16" s="7"/>
      <c r="BS16" s="11" t="s">
        <v>302</v>
      </c>
      <c r="BT16" s="13">
        <v>0.0</v>
      </c>
      <c r="BU16" s="7" t="s">
        <v>303</v>
      </c>
      <c r="BV16" s="14" t="s">
        <v>73</v>
      </c>
      <c r="BW16" s="11" t="s">
        <v>304</v>
      </c>
      <c r="BX16" s="13">
        <v>0.0</v>
      </c>
      <c r="BY16" s="7" t="s">
        <v>303</v>
      </c>
      <c r="BZ16" s="14" t="s">
        <v>75</v>
      </c>
      <c r="CA16" s="7"/>
      <c r="CB16" s="7"/>
      <c r="CC16" s="7"/>
      <c r="CD16" s="7"/>
      <c r="CE16" s="7"/>
      <c r="CF16" s="7"/>
      <c r="CG16" s="7"/>
      <c r="CH16" s="7"/>
      <c r="CI16" s="19" t="s">
        <v>305</v>
      </c>
      <c r="CJ16" s="13">
        <v>1.0</v>
      </c>
      <c r="CK16" s="7" t="s">
        <v>306</v>
      </c>
      <c r="CL16" s="7" t="s">
        <v>78</v>
      </c>
      <c r="CM16" s="7"/>
      <c r="CN16" s="7"/>
      <c r="CO16" s="7"/>
      <c r="CP16" s="7"/>
      <c r="CQ16" s="19" t="s">
        <v>307</v>
      </c>
      <c r="CR16" s="13">
        <v>1.0</v>
      </c>
      <c r="CS16" s="7" t="str">
        <f t="shared" si="2"/>
        <v>MOV-029</v>
      </c>
      <c r="CT16" s="7" t="s">
        <v>80</v>
      </c>
      <c r="CU16" s="16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</row>
    <row r="17">
      <c r="A17" s="5">
        <v>1334.0</v>
      </c>
      <c r="B17" s="6" t="s">
        <v>47</v>
      </c>
      <c r="C17" s="7" t="str">
        <f t="shared" si="1"/>
        <v>TK-16_SLOP</v>
      </c>
      <c r="D17" s="17" t="s">
        <v>308</v>
      </c>
      <c r="E17" s="7"/>
      <c r="F17" s="18" t="s">
        <v>309</v>
      </c>
      <c r="G17" s="10" t="s">
        <v>50</v>
      </c>
      <c r="H17" s="5">
        <v>0.0</v>
      </c>
      <c r="I17" s="7"/>
      <c r="J17" s="7"/>
      <c r="K17" s="7"/>
      <c r="L17" s="7"/>
      <c r="M17" s="7"/>
      <c r="N17" s="7"/>
      <c r="O17" s="11" t="s">
        <v>310</v>
      </c>
      <c r="P17" s="7"/>
      <c r="Q17" s="7" t="s">
        <v>308</v>
      </c>
      <c r="R17" s="12" t="s">
        <v>52</v>
      </c>
      <c r="S17" s="11"/>
      <c r="T17" s="11"/>
      <c r="U17" s="7"/>
      <c r="V17" s="7"/>
      <c r="W17" s="11" t="s">
        <v>311</v>
      </c>
      <c r="X17" s="12">
        <v>0.0</v>
      </c>
      <c r="Y17" s="12" t="s">
        <v>308</v>
      </c>
      <c r="Z17" s="12" t="s">
        <v>52</v>
      </c>
      <c r="AA17" s="11"/>
      <c r="AB17" s="11"/>
      <c r="AC17" s="7"/>
      <c r="AD17" s="7"/>
      <c r="AE17" s="11" t="s">
        <v>312</v>
      </c>
      <c r="AF17" s="13">
        <v>0.0</v>
      </c>
      <c r="AG17" s="7" t="s">
        <v>313</v>
      </c>
      <c r="AH17" s="7" t="s">
        <v>58</v>
      </c>
      <c r="AI17" s="11" t="s">
        <v>314</v>
      </c>
      <c r="AJ17" s="13">
        <v>0.0</v>
      </c>
      <c r="AK17" s="7" t="s">
        <v>315</v>
      </c>
      <c r="AL17" s="7" t="s">
        <v>58</v>
      </c>
      <c r="AM17" s="11" t="s">
        <v>316</v>
      </c>
      <c r="AN17" s="13">
        <v>0.0</v>
      </c>
      <c r="AO17" s="7" t="s">
        <v>315</v>
      </c>
      <c r="AP17" s="7" t="s">
        <v>58</v>
      </c>
      <c r="AQ17" s="11" t="s">
        <v>317</v>
      </c>
      <c r="AR17" s="13">
        <v>0.0</v>
      </c>
      <c r="AS17" s="7" t="s">
        <v>318</v>
      </c>
      <c r="AT17" s="7" t="s">
        <v>63</v>
      </c>
      <c r="AU17" s="11" t="s">
        <v>319</v>
      </c>
      <c r="AV17" s="13">
        <v>0.0</v>
      </c>
      <c r="AW17" s="7" t="s">
        <v>318</v>
      </c>
      <c r="AX17" s="7" t="s">
        <v>63</v>
      </c>
      <c r="AY17" s="11" t="s">
        <v>320</v>
      </c>
      <c r="AZ17" s="13">
        <v>0.0</v>
      </c>
      <c r="BA17" s="7" t="s">
        <v>318</v>
      </c>
      <c r="BB17" s="7" t="s">
        <v>63</v>
      </c>
      <c r="BC17" s="11" t="s">
        <v>321</v>
      </c>
      <c r="BD17" s="13">
        <v>0.0</v>
      </c>
      <c r="BE17" s="7" t="s">
        <v>322</v>
      </c>
      <c r="BF17" s="14" t="s">
        <v>68</v>
      </c>
      <c r="BG17" s="11" t="s">
        <v>323</v>
      </c>
      <c r="BH17" s="13">
        <v>0.0</v>
      </c>
      <c r="BI17" s="7" t="s">
        <v>322</v>
      </c>
      <c r="BJ17" s="14" t="s">
        <v>70</v>
      </c>
      <c r="BK17" s="7"/>
      <c r="BL17" s="7"/>
      <c r="BM17" s="7"/>
      <c r="BN17" s="7"/>
      <c r="BO17" s="7"/>
      <c r="BP17" s="7"/>
      <c r="BQ17" s="7"/>
      <c r="BR17" s="7"/>
      <c r="BS17" s="11" t="s">
        <v>324</v>
      </c>
      <c r="BT17" s="13">
        <v>0.0</v>
      </c>
      <c r="BU17" s="7" t="s">
        <v>325</v>
      </c>
      <c r="BV17" s="14" t="s">
        <v>73</v>
      </c>
      <c r="BW17" s="11" t="s">
        <v>326</v>
      </c>
      <c r="BX17" s="13">
        <v>0.0</v>
      </c>
      <c r="BY17" s="7" t="s">
        <v>325</v>
      </c>
      <c r="BZ17" s="14" t="s">
        <v>75</v>
      </c>
      <c r="CA17" s="7"/>
      <c r="CB17" s="7"/>
      <c r="CC17" s="7"/>
      <c r="CD17" s="7"/>
      <c r="CE17" s="7"/>
      <c r="CF17" s="7"/>
      <c r="CG17" s="7"/>
      <c r="CH17" s="7"/>
      <c r="CI17" s="19" t="s">
        <v>327</v>
      </c>
      <c r="CJ17" s="13">
        <v>1.0</v>
      </c>
      <c r="CK17" s="7" t="s">
        <v>328</v>
      </c>
      <c r="CL17" s="7" t="s">
        <v>78</v>
      </c>
      <c r="CM17" s="7"/>
      <c r="CN17" s="7"/>
      <c r="CO17" s="7"/>
      <c r="CP17" s="7"/>
      <c r="CQ17" s="19" t="s">
        <v>329</v>
      </c>
      <c r="CR17" s="13">
        <v>1.0</v>
      </c>
      <c r="CS17" s="7" t="str">
        <f t="shared" si="2"/>
        <v>MOV-032</v>
      </c>
      <c r="CT17" s="7" t="s">
        <v>80</v>
      </c>
      <c r="CU17" s="19" t="s">
        <v>330</v>
      </c>
      <c r="CV17" s="7"/>
      <c r="CW17" s="7" t="s">
        <v>331</v>
      </c>
      <c r="CX17" s="7" t="s">
        <v>332</v>
      </c>
      <c r="CY17" s="7"/>
      <c r="CZ17" s="7"/>
      <c r="DA17" s="7"/>
      <c r="DB17" s="7"/>
      <c r="DC17" s="7"/>
      <c r="DD17" s="7"/>
      <c r="DE17" s="7"/>
      <c r="DF17" s="7"/>
    </row>
    <row r="18">
      <c r="A18" s="5">
        <v>1334.0</v>
      </c>
      <c r="B18" s="6" t="s">
        <v>47</v>
      </c>
      <c r="C18" s="7" t="str">
        <f t="shared" si="1"/>
        <v>TK-17_SLOP</v>
      </c>
      <c r="D18" s="17" t="s">
        <v>333</v>
      </c>
      <c r="E18" s="7"/>
      <c r="F18" s="18" t="s">
        <v>309</v>
      </c>
      <c r="G18" s="10" t="s">
        <v>50</v>
      </c>
      <c r="H18" s="5">
        <v>0.0</v>
      </c>
      <c r="I18" s="7"/>
      <c r="J18" s="7"/>
      <c r="K18" s="7"/>
      <c r="L18" s="7"/>
      <c r="M18" s="7"/>
      <c r="N18" s="7"/>
      <c r="O18" s="11" t="s">
        <v>334</v>
      </c>
      <c r="P18" s="7"/>
      <c r="Q18" s="7" t="s">
        <v>333</v>
      </c>
      <c r="R18" s="12" t="s">
        <v>52</v>
      </c>
      <c r="S18" s="11"/>
      <c r="T18" s="11"/>
      <c r="U18" s="7"/>
      <c r="V18" s="7"/>
      <c r="W18" s="11" t="s">
        <v>335</v>
      </c>
      <c r="X18" s="12">
        <v>0.0</v>
      </c>
      <c r="Y18" s="12" t="s">
        <v>333</v>
      </c>
      <c r="Z18" s="12" t="s">
        <v>52</v>
      </c>
      <c r="AA18" s="11"/>
      <c r="AB18" s="11"/>
      <c r="AC18" s="7"/>
      <c r="AD18" s="7"/>
      <c r="AE18" s="11" t="s">
        <v>336</v>
      </c>
      <c r="AF18" s="13">
        <v>0.0</v>
      </c>
      <c r="AG18" s="7" t="s">
        <v>337</v>
      </c>
      <c r="AH18" s="7" t="s">
        <v>58</v>
      </c>
      <c r="AI18" s="11" t="s">
        <v>338</v>
      </c>
      <c r="AJ18" s="13">
        <v>0.0</v>
      </c>
      <c r="AK18" s="7" t="s">
        <v>339</v>
      </c>
      <c r="AL18" s="7" t="s">
        <v>58</v>
      </c>
      <c r="AM18" s="11" t="s">
        <v>340</v>
      </c>
      <c r="AN18" s="13">
        <v>0.0</v>
      </c>
      <c r="AO18" s="7" t="s">
        <v>339</v>
      </c>
      <c r="AP18" s="7" t="s">
        <v>58</v>
      </c>
      <c r="AQ18" s="11" t="s">
        <v>341</v>
      </c>
      <c r="AR18" s="13">
        <v>0.0</v>
      </c>
      <c r="AS18" s="7" t="s">
        <v>342</v>
      </c>
      <c r="AT18" s="7" t="s">
        <v>63</v>
      </c>
      <c r="AU18" s="11" t="s">
        <v>343</v>
      </c>
      <c r="AV18" s="13">
        <v>0.0</v>
      </c>
      <c r="AW18" s="7" t="s">
        <v>342</v>
      </c>
      <c r="AX18" s="7" t="s">
        <v>63</v>
      </c>
      <c r="AY18" s="11" t="s">
        <v>344</v>
      </c>
      <c r="AZ18" s="13">
        <v>0.0</v>
      </c>
      <c r="BA18" s="7" t="s">
        <v>342</v>
      </c>
      <c r="BB18" s="7" t="s">
        <v>63</v>
      </c>
      <c r="BC18" s="11" t="s">
        <v>345</v>
      </c>
      <c r="BD18" s="13">
        <v>0.0</v>
      </c>
      <c r="BE18" s="7" t="s">
        <v>346</v>
      </c>
      <c r="BF18" s="14" t="s">
        <v>68</v>
      </c>
      <c r="BG18" s="11" t="s">
        <v>347</v>
      </c>
      <c r="BH18" s="13">
        <v>0.0</v>
      </c>
      <c r="BI18" s="7" t="s">
        <v>346</v>
      </c>
      <c r="BJ18" s="14" t="s">
        <v>70</v>
      </c>
      <c r="BK18" s="7"/>
      <c r="BL18" s="7"/>
      <c r="BM18" s="7"/>
      <c r="BN18" s="7"/>
      <c r="BO18" s="7"/>
      <c r="BP18" s="7"/>
      <c r="BQ18" s="7"/>
      <c r="BR18" s="7"/>
      <c r="BS18" s="11" t="s">
        <v>348</v>
      </c>
      <c r="BT18" s="13">
        <v>0.0</v>
      </c>
      <c r="BU18" s="7" t="s">
        <v>349</v>
      </c>
      <c r="BV18" s="14" t="s">
        <v>73</v>
      </c>
      <c r="BW18" s="11" t="s">
        <v>350</v>
      </c>
      <c r="BX18" s="13">
        <v>0.0</v>
      </c>
      <c r="BY18" s="7" t="s">
        <v>349</v>
      </c>
      <c r="BZ18" s="14" t="s">
        <v>75</v>
      </c>
      <c r="CA18" s="7"/>
      <c r="CB18" s="7"/>
      <c r="CC18" s="7"/>
      <c r="CD18" s="7"/>
      <c r="CE18" s="7"/>
      <c r="CF18" s="7"/>
      <c r="CG18" s="7"/>
      <c r="CH18" s="7"/>
      <c r="CI18" s="19" t="s">
        <v>351</v>
      </c>
      <c r="CJ18" s="13">
        <v>1.0</v>
      </c>
      <c r="CK18" s="7" t="s">
        <v>352</v>
      </c>
      <c r="CL18" s="7" t="s">
        <v>78</v>
      </c>
      <c r="CM18" s="7"/>
      <c r="CN18" s="7"/>
      <c r="CO18" s="7"/>
      <c r="CP18" s="7"/>
      <c r="CQ18" s="19" t="s">
        <v>353</v>
      </c>
      <c r="CR18" s="13">
        <v>1.0</v>
      </c>
      <c r="CS18" s="7" t="str">
        <f t="shared" si="2"/>
        <v>MOV-035</v>
      </c>
      <c r="CT18" s="7" t="s">
        <v>80</v>
      </c>
      <c r="CU18" s="11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</row>
    <row r="19">
      <c r="A19" s="5">
        <v>1334.0</v>
      </c>
      <c r="B19" s="6" t="s">
        <v>47</v>
      </c>
      <c r="C19" s="7" t="str">
        <f t="shared" si="1"/>
        <v>TK-18_ETHANOL</v>
      </c>
      <c r="D19" s="17" t="s">
        <v>354</v>
      </c>
      <c r="E19" s="7"/>
      <c r="F19" s="18" t="s">
        <v>104</v>
      </c>
      <c r="G19" s="10" t="s">
        <v>50</v>
      </c>
      <c r="H19" s="5">
        <v>0.0</v>
      </c>
      <c r="I19" s="7"/>
      <c r="J19" s="7"/>
      <c r="K19" s="7"/>
      <c r="L19" s="7"/>
      <c r="M19" s="7"/>
      <c r="N19" s="7"/>
      <c r="O19" s="11" t="s">
        <v>355</v>
      </c>
      <c r="P19" s="7"/>
      <c r="Q19" s="7" t="s">
        <v>354</v>
      </c>
      <c r="R19" s="12" t="s">
        <v>52</v>
      </c>
      <c r="S19" s="11" t="s">
        <v>356</v>
      </c>
      <c r="T19" s="13">
        <v>0.0</v>
      </c>
      <c r="U19" s="7" t="s">
        <v>354</v>
      </c>
      <c r="V19" s="12" t="s">
        <v>52</v>
      </c>
      <c r="W19" s="11" t="s">
        <v>357</v>
      </c>
      <c r="X19" s="12">
        <v>0.0</v>
      </c>
      <c r="Y19" s="12" t="s">
        <v>354</v>
      </c>
      <c r="Z19" s="12" t="s">
        <v>52</v>
      </c>
      <c r="AA19" s="11" t="s">
        <v>358</v>
      </c>
      <c r="AB19" s="13">
        <v>0.0</v>
      </c>
      <c r="AC19" s="7" t="s">
        <v>354</v>
      </c>
      <c r="AD19" s="12" t="s">
        <v>52</v>
      </c>
      <c r="AE19" s="16"/>
      <c r="AF19" s="11"/>
      <c r="AG19" s="7"/>
      <c r="AH19" s="7"/>
      <c r="AI19" s="16"/>
      <c r="AJ19" s="11"/>
      <c r="AK19" s="7"/>
      <c r="AL19" s="7"/>
      <c r="AM19" s="16"/>
      <c r="AN19" s="11"/>
      <c r="AO19" s="7"/>
      <c r="AP19" s="7"/>
      <c r="AQ19" s="16"/>
      <c r="AR19" s="11"/>
      <c r="AS19" s="7"/>
      <c r="AT19" s="7"/>
      <c r="AU19" s="16"/>
      <c r="AV19" s="11"/>
      <c r="AW19" s="7"/>
      <c r="AX19" s="7"/>
      <c r="AY19" s="16"/>
      <c r="AZ19" s="11"/>
      <c r="BA19" s="7"/>
      <c r="BB19" s="7"/>
      <c r="BC19" s="11"/>
      <c r="BD19" s="11"/>
      <c r="BE19" s="7"/>
      <c r="BF19" s="7"/>
      <c r="BG19" s="11"/>
      <c r="BH19" s="11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11"/>
      <c r="BT19" s="11"/>
      <c r="BU19" s="7"/>
      <c r="BV19" s="7"/>
      <c r="BW19" s="11"/>
      <c r="BX19" s="11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16"/>
      <c r="CJ19" s="11"/>
      <c r="CK19" s="7"/>
      <c r="CL19" s="7"/>
      <c r="CM19" s="7"/>
      <c r="CN19" s="7"/>
      <c r="CO19" s="7"/>
      <c r="CP19" s="7"/>
      <c r="CQ19" s="16"/>
      <c r="CR19" s="11"/>
      <c r="CS19" s="7" t="str">
        <f t="shared" si="2"/>
        <v/>
      </c>
      <c r="CT19" s="7"/>
      <c r="CU19" s="11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</row>
    <row r="20">
      <c r="A20" s="5">
        <v>1334.0</v>
      </c>
      <c r="B20" s="6" t="s">
        <v>47</v>
      </c>
      <c r="C20" s="7" t="str">
        <f t="shared" si="1"/>
        <v>TK-19_ETHANOL</v>
      </c>
      <c r="D20" s="17" t="s">
        <v>359</v>
      </c>
      <c r="E20" s="7"/>
      <c r="F20" s="18" t="s">
        <v>104</v>
      </c>
      <c r="G20" s="10" t="s">
        <v>50</v>
      </c>
      <c r="H20" s="5">
        <v>0.0</v>
      </c>
      <c r="I20" s="7"/>
      <c r="J20" s="7"/>
      <c r="K20" s="7"/>
      <c r="L20" s="7"/>
      <c r="M20" s="7"/>
      <c r="N20" s="7"/>
      <c r="O20" s="11" t="s">
        <v>360</v>
      </c>
      <c r="P20" s="7"/>
      <c r="Q20" s="7" t="s">
        <v>359</v>
      </c>
      <c r="R20" s="12" t="s">
        <v>52</v>
      </c>
      <c r="S20" s="11" t="s">
        <v>361</v>
      </c>
      <c r="T20" s="13">
        <v>0.0</v>
      </c>
      <c r="U20" s="7" t="s">
        <v>359</v>
      </c>
      <c r="V20" s="12" t="s">
        <v>52</v>
      </c>
      <c r="W20" s="11" t="s">
        <v>362</v>
      </c>
      <c r="X20" s="12">
        <v>0.0</v>
      </c>
      <c r="Y20" s="12" t="s">
        <v>359</v>
      </c>
      <c r="Z20" s="12" t="s">
        <v>52</v>
      </c>
      <c r="AA20" s="11" t="s">
        <v>363</v>
      </c>
      <c r="AB20" s="13">
        <v>0.0</v>
      </c>
      <c r="AC20" s="7" t="s">
        <v>359</v>
      </c>
      <c r="AD20" s="12" t="s">
        <v>52</v>
      </c>
      <c r="AE20" s="16"/>
      <c r="AF20" s="11"/>
      <c r="AG20" s="7"/>
      <c r="AH20" s="7"/>
      <c r="AI20" s="16"/>
      <c r="AJ20" s="11"/>
      <c r="AK20" s="7"/>
      <c r="AL20" s="7"/>
      <c r="AM20" s="16"/>
      <c r="AN20" s="11"/>
      <c r="AO20" s="7"/>
      <c r="AP20" s="7"/>
      <c r="AQ20" s="16"/>
      <c r="AR20" s="11"/>
      <c r="AS20" s="7"/>
      <c r="AT20" s="7"/>
      <c r="AU20" s="16"/>
      <c r="AV20" s="11"/>
      <c r="AW20" s="7"/>
      <c r="AX20" s="7"/>
      <c r="AY20" s="16"/>
      <c r="AZ20" s="11"/>
      <c r="BA20" s="7"/>
      <c r="BB20" s="7"/>
      <c r="BC20" s="11"/>
      <c r="BD20" s="11"/>
      <c r="BE20" s="7"/>
      <c r="BF20" s="7"/>
      <c r="BG20" s="11"/>
      <c r="BH20" s="11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11"/>
      <c r="BT20" s="11"/>
      <c r="BU20" s="7"/>
      <c r="BV20" s="7"/>
      <c r="BW20" s="11"/>
      <c r="BX20" s="11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16"/>
      <c r="CJ20" s="11"/>
      <c r="CK20" s="7"/>
      <c r="CL20" s="7"/>
      <c r="CM20" s="7"/>
      <c r="CN20" s="7"/>
      <c r="CO20" s="7"/>
      <c r="CP20" s="7"/>
      <c r="CQ20" s="16"/>
      <c r="CR20" s="11"/>
      <c r="CS20" s="7" t="str">
        <f t="shared" si="2"/>
        <v/>
      </c>
      <c r="CT20" s="7"/>
      <c r="CU20" s="11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</row>
    <row r="21">
      <c r="A21" s="5">
        <v>1334.0</v>
      </c>
      <c r="B21" s="6" t="s">
        <v>47</v>
      </c>
      <c r="C21" s="7" t="str">
        <f t="shared" si="1"/>
        <v>TK-20_ETHANOL</v>
      </c>
      <c r="D21" s="17" t="s">
        <v>364</v>
      </c>
      <c r="E21" s="7"/>
      <c r="F21" s="18" t="s">
        <v>104</v>
      </c>
      <c r="G21" s="10" t="s">
        <v>50</v>
      </c>
      <c r="H21" s="5">
        <v>0.0</v>
      </c>
      <c r="I21" s="7"/>
      <c r="J21" s="7"/>
      <c r="K21" s="7"/>
      <c r="L21" s="7"/>
      <c r="M21" s="7"/>
      <c r="N21" s="7"/>
      <c r="O21" s="11" t="s">
        <v>365</v>
      </c>
      <c r="P21" s="7"/>
      <c r="Q21" s="7" t="s">
        <v>364</v>
      </c>
      <c r="R21" s="12" t="s">
        <v>52</v>
      </c>
      <c r="S21" s="11" t="s">
        <v>366</v>
      </c>
      <c r="T21" s="13">
        <v>0.0</v>
      </c>
      <c r="U21" s="7" t="s">
        <v>364</v>
      </c>
      <c r="V21" s="12" t="s">
        <v>52</v>
      </c>
      <c r="W21" s="11" t="s">
        <v>367</v>
      </c>
      <c r="X21" s="12">
        <v>0.0</v>
      </c>
      <c r="Y21" s="12" t="s">
        <v>364</v>
      </c>
      <c r="Z21" s="12" t="s">
        <v>52</v>
      </c>
      <c r="AA21" s="11" t="s">
        <v>368</v>
      </c>
      <c r="AB21" s="13">
        <v>0.0</v>
      </c>
      <c r="AC21" s="7" t="s">
        <v>364</v>
      </c>
      <c r="AD21" s="12" t="s">
        <v>52</v>
      </c>
      <c r="AE21" s="16"/>
      <c r="AF21" s="11"/>
      <c r="AG21" s="7"/>
      <c r="AH21" s="7"/>
      <c r="AI21" s="16"/>
      <c r="AJ21" s="11"/>
      <c r="AK21" s="7"/>
      <c r="AL21" s="7"/>
      <c r="AM21" s="16"/>
      <c r="AN21" s="11"/>
      <c r="AO21" s="7"/>
      <c r="AP21" s="7"/>
      <c r="AQ21" s="16"/>
      <c r="AR21" s="11"/>
      <c r="AS21" s="7"/>
      <c r="AT21" s="7"/>
      <c r="AU21" s="16"/>
      <c r="AV21" s="11"/>
      <c r="AW21" s="7"/>
      <c r="AX21" s="7"/>
      <c r="AY21" s="16"/>
      <c r="AZ21" s="11"/>
      <c r="BA21" s="7"/>
      <c r="BB21" s="7"/>
      <c r="BC21" s="11"/>
      <c r="BD21" s="11"/>
      <c r="BE21" s="7"/>
      <c r="BF21" s="7"/>
      <c r="BG21" s="11"/>
      <c r="BH21" s="11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11"/>
      <c r="BT21" s="11"/>
      <c r="BU21" s="7"/>
      <c r="BV21" s="7"/>
      <c r="BW21" s="11"/>
      <c r="BX21" s="11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11"/>
      <c r="CJ21" s="11"/>
      <c r="CK21" s="7"/>
      <c r="CL21" s="7"/>
      <c r="CM21" s="7"/>
      <c r="CN21" s="7"/>
      <c r="CO21" s="7"/>
      <c r="CP21" s="7"/>
      <c r="CQ21" s="16"/>
      <c r="CR21" s="11"/>
      <c r="CS21" s="7" t="str">
        <f t="shared" si="2"/>
        <v/>
      </c>
      <c r="CT21" s="7"/>
      <c r="CU21" s="11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</row>
    <row r="22">
      <c r="A22" s="5">
        <v>1334.0</v>
      </c>
      <c r="B22" s="6" t="s">
        <v>47</v>
      </c>
      <c r="C22" s="7" t="str">
        <f t="shared" si="1"/>
        <v>TK-21_ETHANOL</v>
      </c>
      <c r="D22" s="17" t="s">
        <v>369</v>
      </c>
      <c r="E22" s="7"/>
      <c r="F22" s="18" t="s">
        <v>104</v>
      </c>
      <c r="G22" s="10" t="s">
        <v>50</v>
      </c>
      <c r="H22" s="5">
        <v>0.0</v>
      </c>
      <c r="I22" s="7"/>
      <c r="J22" s="7"/>
      <c r="K22" s="7"/>
      <c r="L22" s="7"/>
      <c r="M22" s="7"/>
      <c r="N22" s="7"/>
      <c r="O22" s="11" t="s">
        <v>370</v>
      </c>
      <c r="P22" s="7"/>
      <c r="Q22" s="7" t="s">
        <v>369</v>
      </c>
      <c r="R22" s="12" t="s">
        <v>52</v>
      </c>
      <c r="S22" s="11" t="s">
        <v>371</v>
      </c>
      <c r="T22" s="13">
        <v>0.0</v>
      </c>
      <c r="U22" s="7" t="s">
        <v>369</v>
      </c>
      <c r="V22" s="12" t="s">
        <v>52</v>
      </c>
      <c r="W22" s="11" t="s">
        <v>372</v>
      </c>
      <c r="X22" s="12">
        <v>0.0</v>
      </c>
      <c r="Y22" s="12" t="s">
        <v>369</v>
      </c>
      <c r="Z22" s="12" t="s">
        <v>52</v>
      </c>
      <c r="AA22" s="11" t="s">
        <v>373</v>
      </c>
      <c r="AB22" s="13">
        <v>0.0</v>
      </c>
      <c r="AC22" s="7" t="s">
        <v>369</v>
      </c>
      <c r="AD22" s="12" t="s">
        <v>52</v>
      </c>
      <c r="AE22" s="16"/>
      <c r="AF22" s="11"/>
      <c r="AG22" s="7"/>
      <c r="AH22" s="7"/>
      <c r="AI22" s="16"/>
      <c r="AJ22" s="11"/>
      <c r="AK22" s="7"/>
      <c r="AL22" s="7"/>
      <c r="AM22" s="16"/>
      <c r="AN22" s="11"/>
      <c r="AO22" s="7"/>
      <c r="AP22" s="7"/>
      <c r="AQ22" s="16"/>
      <c r="AR22" s="11"/>
      <c r="AS22" s="7"/>
      <c r="AT22" s="7"/>
      <c r="AU22" s="16"/>
      <c r="AV22" s="11"/>
      <c r="AW22" s="7"/>
      <c r="AX22" s="7"/>
      <c r="AY22" s="16"/>
      <c r="AZ22" s="11"/>
      <c r="BA22" s="7"/>
      <c r="BB22" s="7"/>
      <c r="BC22" s="11"/>
      <c r="BD22" s="11"/>
      <c r="BE22" s="7"/>
      <c r="BF22" s="7"/>
      <c r="BG22" s="11"/>
      <c r="BH22" s="11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11"/>
      <c r="BT22" s="11"/>
      <c r="BU22" s="7"/>
      <c r="BV22" s="7"/>
      <c r="BW22" s="11"/>
      <c r="BX22" s="11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11"/>
      <c r="CJ22" s="11"/>
      <c r="CK22" s="7"/>
      <c r="CL22" s="7"/>
      <c r="CM22" s="7"/>
      <c r="CN22" s="7"/>
      <c r="CO22" s="7"/>
      <c r="CP22" s="7"/>
      <c r="CQ22" s="16"/>
      <c r="CR22" s="11"/>
      <c r="CS22" s="7" t="str">
        <f t="shared" si="2"/>
        <v/>
      </c>
      <c r="CT22" s="7"/>
      <c r="CU22" s="11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</row>
    <row r="23">
      <c r="A23" s="5">
        <v>1334.0</v>
      </c>
      <c r="B23" s="6" t="s">
        <v>47</v>
      </c>
      <c r="C23" s="7" t="str">
        <f t="shared" si="1"/>
        <v>TK-26_BS VI MS</v>
      </c>
      <c r="D23" s="17" t="s">
        <v>374</v>
      </c>
      <c r="E23" s="7"/>
      <c r="F23" s="18" t="s">
        <v>49</v>
      </c>
      <c r="G23" s="10" t="s">
        <v>50</v>
      </c>
      <c r="H23" s="5">
        <v>0.0</v>
      </c>
      <c r="I23" s="7"/>
      <c r="J23" s="7"/>
      <c r="K23" s="7"/>
      <c r="L23" s="7"/>
      <c r="M23" s="7"/>
      <c r="N23" s="7"/>
      <c r="O23" s="11" t="s">
        <v>375</v>
      </c>
      <c r="P23" s="7"/>
      <c r="Q23" s="7" t="s">
        <v>374</v>
      </c>
      <c r="R23" s="12" t="s">
        <v>52</v>
      </c>
      <c r="S23" s="11" t="s">
        <v>376</v>
      </c>
      <c r="T23" s="13">
        <v>0.0</v>
      </c>
      <c r="U23" s="7" t="s">
        <v>374</v>
      </c>
      <c r="V23" s="12" t="s">
        <v>52</v>
      </c>
      <c r="W23" s="11" t="s">
        <v>377</v>
      </c>
      <c r="X23" s="12">
        <v>0.0</v>
      </c>
      <c r="Y23" s="12" t="s">
        <v>374</v>
      </c>
      <c r="Z23" s="12" t="s">
        <v>52</v>
      </c>
      <c r="AA23" s="11" t="s">
        <v>378</v>
      </c>
      <c r="AB23" s="13">
        <v>0.0</v>
      </c>
      <c r="AC23" s="7" t="s">
        <v>374</v>
      </c>
      <c r="AD23" s="12" t="s">
        <v>52</v>
      </c>
      <c r="AE23" s="11" t="s">
        <v>379</v>
      </c>
      <c r="AF23" s="13">
        <v>0.0</v>
      </c>
      <c r="AG23" s="7" t="s">
        <v>380</v>
      </c>
      <c r="AH23" s="7" t="s">
        <v>58</v>
      </c>
      <c r="AI23" s="11" t="s">
        <v>381</v>
      </c>
      <c r="AJ23" s="13">
        <v>0.0</v>
      </c>
      <c r="AK23" s="7" t="s">
        <v>380</v>
      </c>
      <c r="AL23" s="7" t="s">
        <v>58</v>
      </c>
      <c r="AM23" s="11" t="s">
        <v>382</v>
      </c>
      <c r="AN23" s="13">
        <v>0.0</v>
      </c>
      <c r="AO23" s="7" t="s">
        <v>380</v>
      </c>
      <c r="AP23" s="7" t="s">
        <v>58</v>
      </c>
      <c r="AQ23" s="11" t="s">
        <v>383</v>
      </c>
      <c r="AR23" s="13">
        <v>0.0</v>
      </c>
      <c r="AS23" s="7" t="s">
        <v>384</v>
      </c>
      <c r="AT23" s="7" t="s">
        <v>63</v>
      </c>
      <c r="AU23" s="11" t="s">
        <v>385</v>
      </c>
      <c r="AV23" s="13">
        <v>0.0</v>
      </c>
      <c r="AW23" s="7" t="s">
        <v>384</v>
      </c>
      <c r="AX23" s="7" t="s">
        <v>63</v>
      </c>
      <c r="AY23" s="11" t="s">
        <v>386</v>
      </c>
      <c r="AZ23" s="13">
        <v>0.0</v>
      </c>
      <c r="BA23" s="7" t="s">
        <v>384</v>
      </c>
      <c r="BB23" s="7" t="s">
        <v>63</v>
      </c>
      <c r="BC23" s="11" t="s">
        <v>387</v>
      </c>
      <c r="BD23" s="13">
        <v>0.0</v>
      </c>
      <c r="BE23" s="7" t="s">
        <v>388</v>
      </c>
      <c r="BF23" s="14" t="s">
        <v>68</v>
      </c>
      <c r="BG23" s="11" t="s">
        <v>389</v>
      </c>
      <c r="BH23" s="13">
        <v>0.0</v>
      </c>
      <c r="BI23" s="7" t="s">
        <v>388</v>
      </c>
      <c r="BJ23" s="14" t="s">
        <v>70</v>
      </c>
      <c r="BK23" s="7"/>
      <c r="BL23" s="7"/>
      <c r="BM23" s="7"/>
      <c r="BN23" s="7"/>
      <c r="BO23" s="7"/>
      <c r="BP23" s="7"/>
      <c r="BQ23" s="7"/>
      <c r="BR23" s="7"/>
      <c r="BS23" s="11" t="s">
        <v>390</v>
      </c>
      <c r="BT23" s="13">
        <v>0.0</v>
      </c>
      <c r="BU23" s="7" t="s">
        <v>391</v>
      </c>
      <c r="BV23" s="14" t="s">
        <v>73</v>
      </c>
      <c r="BW23" s="11" t="s">
        <v>392</v>
      </c>
      <c r="BX23" s="13">
        <v>0.0</v>
      </c>
      <c r="BY23" s="7" t="s">
        <v>391</v>
      </c>
      <c r="BZ23" s="14" t="s">
        <v>75</v>
      </c>
      <c r="CA23" s="7"/>
      <c r="CB23" s="7"/>
      <c r="CC23" s="7"/>
      <c r="CD23" s="7"/>
      <c r="CE23" s="7"/>
      <c r="CF23" s="7"/>
      <c r="CG23" s="7"/>
      <c r="CH23" s="7"/>
      <c r="CI23" s="19" t="s">
        <v>393</v>
      </c>
      <c r="CJ23" s="13">
        <v>1.0</v>
      </c>
      <c r="CK23" s="7" t="s">
        <v>394</v>
      </c>
      <c r="CL23" s="7" t="s">
        <v>78</v>
      </c>
      <c r="CM23" s="7"/>
      <c r="CN23" s="7"/>
      <c r="CO23" s="7"/>
      <c r="CP23" s="7"/>
      <c r="CQ23" s="19" t="s">
        <v>395</v>
      </c>
      <c r="CR23" s="13">
        <v>1.0</v>
      </c>
      <c r="CS23" s="7" t="str">
        <f t="shared" si="2"/>
        <v>MOV-038</v>
      </c>
      <c r="CT23" s="7" t="s">
        <v>80</v>
      </c>
      <c r="CU23" s="16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</row>
    <row r="24">
      <c r="A24" s="5">
        <v>1334.0</v>
      </c>
      <c r="B24" s="6" t="s">
        <v>47</v>
      </c>
      <c r="C24" s="7" t="str">
        <f t="shared" si="1"/>
        <v>TK-27_BS VI HSD</v>
      </c>
      <c r="D24" s="17" t="s">
        <v>396</v>
      </c>
      <c r="E24" s="7"/>
      <c r="F24" s="18" t="s">
        <v>171</v>
      </c>
      <c r="G24" s="10" t="s">
        <v>50</v>
      </c>
      <c r="H24" s="5">
        <v>0.0</v>
      </c>
      <c r="I24" s="7"/>
      <c r="J24" s="7"/>
      <c r="K24" s="7"/>
      <c r="L24" s="7"/>
      <c r="M24" s="7"/>
      <c r="N24" s="7"/>
      <c r="O24" s="11" t="s">
        <v>397</v>
      </c>
      <c r="P24" s="7"/>
      <c r="Q24" s="7" t="s">
        <v>396</v>
      </c>
      <c r="R24" s="12" t="s">
        <v>52</v>
      </c>
      <c r="S24" s="11" t="s">
        <v>398</v>
      </c>
      <c r="T24" s="13">
        <v>0.0</v>
      </c>
      <c r="U24" s="7" t="s">
        <v>396</v>
      </c>
      <c r="V24" s="12" t="s">
        <v>52</v>
      </c>
      <c r="W24" s="11" t="s">
        <v>399</v>
      </c>
      <c r="X24" s="12">
        <v>0.0</v>
      </c>
      <c r="Y24" s="12" t="s">
        <v>396</v>
      </c>
      <c r="Z24" s="12" t="s">
        <v>52</v>
      </c>
      <c r="AA24" s="11" t="s">
        <v>400</v>
      </c>
      <c r="AB24" s="13">
        <v>0.0</v>
      </c>
      <c r="AC24" s="7" t="s">
        <v>396</v>
      </c>
      <c r="AD24" s="12" t="s">
        <v>52</v>
      </c>
      <c r="AE24" s="11" t="s">
        <v>401</v>
      </c>
      <c r="AF24" s="13">
        <v>0.0</v>
      </c>
      <c r="AG24" s="7" t="s">
        <v>402</v>
      </c>
      <c r="AH24" s="7" t="s">
        <v>58</v>
      </c>
      <c r="AI24" s="11" t="s">
        <v>403</v>
      </c>
      <c r="AJ24" s="13">
        <v>0.0</v>
      </c>
      <c r="AK24" s="7" t="s">
        <v>402</v>
      </c>
      <c r="AL24" s="7" t="s">
        <v>58</v>
      </c>
      <c r="AM24" s="11" t="s">
        <v>404</v>
      </c>
      <c r="AN24" s="13">
        <v>0.0</v>
      </c>
      <c r="AO24" s="7" t="s">
        <v>402</v>
      </c>
      <c r="AP24" s="7" t="s">
        <v>58</v>
      </c>
      <c r="AQ24" s="11" t="s">
        <v>405</v>
      </c>
      <c r="AR24" s="13">
        <v>0.0</v>
      </c>
      <c r="AS24" s="7" t="s">
        <v>406</v>
      </c>
      <c r="AT24" s="7" t="s">
        <v>63</v>
      </c>
      <c r="AU24" s="11" t="s">
        <v>407</v>
      </c>
      <c r="AV24" s="13">
        <v>0.0</v>
      </c>
      <c r="AW24" s="7" t="s">
        <v>406</v>
      </c>
      <c r="AX24" s="7" t="s">
        <v>63</v>
      </c>
      <c r="AY24" s="11" t="s">
        <v>408</v>
      </c>
      <c r="AZ24" s="13">
        <v>0.0</v>
      </c>
      <c r="BA24" s="7" t="s">
        <v>406</v>
      </c>
      <c r="BB24" s="7" t="s">
        <v>63</v>
      </c>
      <c r="BC24" s="11" t="s">
        <v>409</v>
      </c>
      <c r="BD24" s="13">
        <v>0.0</v>
      </c>
      <c r="BE24" s="7" t="s">
        <v>410</v>
      </c>
      <c r="BF24" s="14" t="s">
        <v>68</v>
      </c>
      <c r="BG24" s="11" t="s">
        <v>411</v>
      </c>
      <c r="BH24" s="13">
        <v>0.0</v>
      </c>
      <c r="BI24" s="7" t="s">
        <v>410</v>
      </c>
      <c r="BJ24" s="14" t="s">
        <v>70</v>
      </c>
      <c r="BK24" s="7"/>
      <c r="BL24" s="7"/>
      <c r="BM24" s="7"/>
      <c r="BN24" s="7"/>
      <c r="BO24" s="7"/>
      <c r="BP24" s="7"/>
      <c r="BQ24" s="7"/>
      <c r="BR24" s="7"/>
      <c r="BS24" s="11" t="s">
        <v>412</v>
      </c>
      <c r="BT24" s="13">
        <v>0.0</v>
      </c>
      <c r="BU24" s="7" t="s">
        <v>413</v>
      </c>
      <c r="BV24" s="14" t="s">
        <v>73</v>
      </c>
      <c r="BW24" s="11" t="s">
        <v>414</v>
      </c>
      <c r="BX24" s="13">
        <v>0.0</v>
      </c>
      <c r="BY24" s="7" t="s">
        <v>413</v>
      </c>
      <c r="BZ24" s="14" t="s">
        <v>75</v>
      </c>
      <c r="CA24" s="7"/>
      <c r="CB24" s="7"/>
      <c r="CC24" s="7"/>
      <c r="CD24" s="7"/>
      <c r="CE24" s="7"/>
      <c r="CF24" s="7"/>
      <c r="CG24" s="7"/>
      <c r="CH24" s="7"/>
      <c r="CI24" s="19" t="s">
        <v>415</v>
      </c>
      <c r="CJ24" s="13">
        <v>1.0</v>
      </c>
      <c r="CK24" s="7" t="s">
        <v>416</v>
      </c>
      <c r="CL24" s="7" t="s">
        <v>78</v>
      </c>
      <c r="CM24" s="7"/>
      <c r="CN24" s="7"/>
      <c r="CO24" s="7"/>
      <c r="CP24" s="7"/>
      <c r="CQ24" s="19" t="s">
        <v>417</v>
      </c>
      <c r="CR24" s="13">
        <v>1.0</v>
      </c>
      <c r="CS24" s="7" t="str">
        <f t="shared" si="2"/>
        <v>MOV-041</v>
      </c>
      <c r="CT24" s="7" t="s">
        <v>80</v>
      </c>
      <c r="CU24" s="16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</row>
    <row r="25">
      <c r="A25" s="5">
        <v>1334.0</v>
      </c>
      <c r="B25" s="6" t="s">
        <v>47</v>
      </c>
      <c r="C25" s="7" t="str">
        <f t="shared" si="1"/>
        <v>TK-28_BS VI HSD</v>
      </c>
      <c r="D25" s="17" t="s">
        <v>418</v>
      </c>
      <c r="E25" s="7"/>
      <c r="F25" s="18" t="s">
        <v>171</v>
      </c>
      <c r="G25" s="10" t="s">
        <v>50</v>
      </c>
      <c r="H25" s="5">
        <v>0.0</v>
      </c>
      <c r="I25" s="7"/>
      <c r="J25" s="7"/>
      <c r="K25" s="7"/>
      <c r="L25" s="7"/>
      <c r="M25" s="7"/>
      <c r="N25" s="7"/>
      <c r="O25" s="11" t="s">
        <v>419</v>
      </c>
      <c r="P25" s="7"/>
      <c r="Q25" s="7" t="s">
        <v>418</v>
      </c>
      <c r="R25" s="12" t="s">
        <v>52</v>
      </c>
      <c r="S25" s="11" t="s">
        <v>420</v>
      </c>
      <c r="T25" s="13">
        <v>0.0</v>
      </c>
      <c r="U25" s="7" t="s">
        <v>418</v>
      </c>
      <c r="V25" s="12" t="s">
        <v>52</v>
      </c>
      <c r="W25" s="11" t="s">
        <v>421</v>
      </c>
      <c r="X25" s="12">
        <v>0.0</v>
      </c>
      <c r="Y25" s="12" t="s">
        <v>418</v>
      </c>
      <c r="Z25" s="12" t="s">
        <v>52</v>
      </c>
      <c r="AA25" s="11" t="s">
        <v>422</v>
      </c>
      <c r="AB25" s="13">
        <v>0.0</v>
      </c>
      <c r="AC25" s="7" t="s">
        <v>418</v>
      </c>
      <c r="AD25" s="12" t="s">
        <v>52</v>
      </c>
      <c r="AE25" s="11" t="s">
        <v>423</v>
      </c>
      <c r="AF25" s="13">
        <v>0.0</v>
      </c>
      <c r="AG25" s="7" t="s">
        <v>424</v>
      </c>
      <c r="AH25" s="7" t="s">
        <v>58</v>
      </c>
      <c r="AI25" s="11" t="s">
        <v>425</v>
      </c>
      <c r="AJ25" s="13">
        <v>0.0</v>
      </c>
      <c r="AK25" s="7" t="s">
        <v>424</v>
      </c>
      <c r="AL25" s="7" t="s">
        <v>58</v>
      </c>
      <c r="AM25" s="11" t="s">
        <v>426</v>
      </c>
      <c r="AN25" s="13">
        <v>0.0</v>
      </c>
      <c r="AO25" s="7" t="s">
        <v>424</v>
      </c>
      <c r="AP25" s="7" t="s">
        <v>58</v>
      </c>
      <c r="AQ25" s="11" t="s">
        <v>427</v>
      </c>
      <c r="AR25" s="13">
        <v>0.0</v>
      </c>
      <c r="AS25" s="7" t="s">
        <v>428</v>
      </c>
      <c r="AT25" s="7" t="s">
        <v>63</v>
      </c>
      <c r="AU25" s="11" t="s">
        <v>429</v>
      </c>
      <c r="AV25" s="13">
        <v>0.0</v>
      </c>
      <c r="AW25" s="7" t="s">
        <v>428</v>
      </c>
      <c r="AX25" s="7" t="s">
        <v>63</v>
      </c>
      <c r="AY25" s="11" t="s">
        <v>430</v>
      </c>
      <c r="AZ25" s="13">
        <v>0.0</v>
      </c>
      <c r="BA25" s="7" t="s">
        <v>428</v>
      </c>
      <c r="BB25" s="7" t="s">
        <v>63</v>
      </c>
      <c r="BC25" s="11" t="s">
        <v>431</v>
      </c>
      <c r="BD25" s="13">
        <v>0.0</v>
      </c>
      <c r="BE25" s="7" t="s">
        <v>432</v>
      </c>
      <c r="BF25" s="14" t="s">
        <v>68</v>
      </c>
      <c r="BG25" s="11" t="s">
        <v>433</v>
      </c>
      <c r="BH25" s="13">
        <v>0.0</v>
      </c>
      <c r="BI25" s="7" t="s">
        <v>432</v>
      </c>
      <c r="BJ25" s="14" t="s">
        <v>70</v>
      </c>
      <c r="BK25" s="7"/>
      <c r="BL25" s="7"/>
      <c r="BM25" s="7"/>
      <c r="BN25" s="7"/>
      <c r="BO25" s="7"/>
      <c r="BP25" s="7"/>
      <c r="BQ25" s="7"/>
      <c r="BR25" s="7"/>
      <c r="BS25" s="11" t="s">
        <v>434</v>
      </c>
      <c r="BT25" s="13">
        <v>0.0</v>
      </c>
      <c r="BU25" s="7" t="s">
        <v>435</v>
      </c>
      <c r="BV25" s="14" t="s">
        <v>73</v>
      </c>
      <c r="BW25" s="11" t="s">
        <v>436</v>
      </c>
      <c r="BX25" s="13">
        <v>0.0</v>
      </c>
      <c r="BY25" s="7" t="s">
        <v>435</v>
      </c>
      <c r="BZ25" s="14" t="s">
        <v>75</v>
      </c>
      <c r="CA25" s="7"/>
      <c r="CB25" s="7"/>
      <c r="CC25" s="7"/>
      <c r="CD25" s="7"/>
      <c r="CE25" s="7"/>
      <c r="CF25" s="7"/>
      <c r="CG25" s="7"/>
      <c r="CH25" s="7"/>
      <c r="CI25" s="19" t="s">
        <v>437</v>
      </c>
      <c r="CJ25" s="13">
        <v>1.0</v>
      </c>
      <c r="CK25" s="7" t="s">
        <v>438</v>
      </c>
      <c r="CL25" s="7" t="s">
        <v>78</v>
      </c>
      <c r="CM25" s="7"/>
      <c r="CN25" s="7"/>
      <c r="CO25" s="7"/>
      <c r="CP25" s="7"/>
      <c r="CQ25" s="19" t="s">
        <v>439</v>
      </c>
      <c r="CR25" s="13">
        <v>1.0</v>
      </c>
      <c r="CS25" s="7" t="str">
        <f t="shared" si="2"/>
        <v>MOV-044</v>
      </c>
      <c r="CT25" s="7" t="s">
        <v>80</v>
      </c>
      <c r="CU25" s="16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</row>
    <row r="26">
      <c r="A26" s="5">
        <v>1334.0</v>
      </c>
      <c r="B26" s="6" t="s">
        <v>47</v>
      </c>
      <c r="C26" s="7" t="str">
        <f t="shared" si="1"/>
        <v>TK-29_WATER</v>
      </c>
      <c r="D26" s="17" t="s">
        <v>440</v>
      </c>
      <c r="E26" s="7"/>
      <c r="F26" s="18" t="s">
        <v>187</v>
      </c>
      <c r="G26" s="10" t="s">
        <v>50</v>
      </c>
      <c r="H26" s="5">
        <v>0.0</v>
      </c>
      <c r="I26" s="7"/>
      <c r="J26" s="7"/>
      <c r="K26" s="7"/>
      <c r="L26" s="7"/>
      <c r="M26" s="7"/>
      <c r="N26" s="7"/>
      <c r="O26" s="11" t="s">
        <v>441</v>
      </c>
      <c r="P26" s="7"/>
      <c r="Q26" s="7" t="s">
        <v>440</v>
      </c>
      <c r="R26" s="12" t="s">
        <v>52</v>
      </c>
      <c r="S26" s="11"/>
      <c r="T26" s="11"/>
      <c r="U26" s="7"/>
      <c r="V26" s="7"/>
      <c r="W26" s="11" t="s">
        <v>442</v>
      </c>
      <c r="X26" s="12">
        <v>0.0</v>
      </c>
      <c r="Y26" s="12" t="s">
        <v>440</v>
      </c>
      <c r="Z26" s="12" t="s">
        <v>52</v>
      </c>
      <c r="AA26" s="11"/>
      <c r="AB26" s="11"/>
      <c r="AC26" s="7"/>
      <c r="AD26" s="7"/>
      <c r="AE26" s="16"/>
      <c r="AF26" s="11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 t="str">
        <f t="shared" si="2"/>
        <v/>
      </c>
      <c r="CT26" s="7"/>
      <c r="CU26" s="16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</row>
    <row r="27">
      <c r="A27" s="5">
        <v>1334.0</v>
      </c>
      <c r="B27" s="6" t="s">
        <v>47</v>
      </c>
      <c r="C27" s="7" t="str">
        <f t="shared" si="1"/>
        <v>TK-30_WATER</v>
      </c>
      <c r="D27" s="17" t="s">
        <v>443</v>
      </c>
      <c r="E27" s="7"/>
      <c r="F27" s="18" t="s">
        <v>187</v>
      </c>
      <c r="G27" s="10" t="s">
        <v>50</v>
      </c>
      <c r="H27" s="5">
        <v>0.0</v>
      </c>
      <c r="I27" s="7"/>
      <c r="J27" s="7"/>
      <c r="K27" s="7"/>
      <c r="L27" s="7"/>
      <c r="M27" s="7"/>
      <c r="N27" s="7"/>
      <c r="O27" s="11" t="s">
        <v>444</v>
      </c>
      <c r="P27" s="7"/>
      <c r="Q27" s="7" t="s">
        <v>443</v>
      </c>
      <c r="R27" s="12" t="s">
        <v>52</v>
      </c>
      <c r="S27" s="11"/>
      <c r="T27" s="11"/>
      <c r="U27" s="7"/>
      <c r="V27" s="7"/>
      <c r="W27" s="11" t="s">
        <v>445</v>
      </c>
      <c r="X27" s="12">
        <v>0.0</v>
      </c>
      <c r="Y27" s="12" t="s">
        <v>443</v>
      </c>
      <c r="Z27" s="12" t="s">
        <v>52</v>
      </c>
      <c r="AA27" s="11"/>
      <c r="AB27" s="11"/>
      <c r="AC27" s="7"/>
      <c r="AD27" s="7"/>
      <c r="AE27" s="16"/>
      <c r="AF27" s="11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 t="str">
        <f t="shared" si="2"/>
        <v/>
      </c>
      <c r="CT27" s="7"/>
      <c r="CU27" s="16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</row>
    <row r="28">
      <c r="A28" s="5">
        <v>1334.0</v>
      </c>
      <c r="B28" s="6" t="s">
        <v>47</v>
      </c>
      <c r="C28" s="7" t="str">
        <f t="shared" si="1"/>
        <v>TK-32_ETHANOL</v>
      </c>
      <c r="D28" s="17" t="s">
        <v>446</v>
      </c>
      <c r="E28" s="7"/>
      <c r="F28" s="18" t="s">
        <v>104</v>
      </c>
      <c r="G28" s="10" t="s">
        <v>50</v>
      </c>
      <c r="H28" s="5">
        <v>0.0</v>
      </c>
      <c r="I28" s="7"/>
      <c r="J28" s="7"/>
      <c r="K28" s="7"/>
      <c r="L28" s="7"/>
      <c r="M28" s="7"/>
      <c r="N28" s="7"/>
      <c r="O28" s="11" t="s">
        <v>447</v>
      </c>
      <c r="P28" s="7"/>
      <c r="Q28" s="7" t="s">
        <v>446</v>
      </c>
      <c r="R28" s="12" t="s">
        <v>52</v>
      </c>
      <c r="S28" s="11" t="s">
        <v>448</v>
      </c>
      <c r="T28" s="13">
        <v>0.0</v>
      </c>
      <c r="U28" s="7" t="s">
        <v>446</v>
      </c>
      <c r="V28" s="12" t="s">
        <v>52</v>
      </c>
      <c r="W28" s="11" t="s">
        <v>449</v>
      </c>
      <c r="X28" s="12">
        <v>0.0</v>
      </c>
      <c r="Y28" s="12" t="s">
        <v>446</v>
      </c>
      <c r="Z28" s="12" t="s">
        <v>52</v>
      </c>
      <c r="AA28" s="11" t="s">
        <v>450</v>
      </c>
      <c r="AB28" s="13">
        <v>0.0</v>
      </c>
      <c r="AC28" s="7" t="s">
        <v>446</v>
      </c>
      <c r="AD28" s="12" t="s">
        <v>52</v>
      </c>
      <c r="AE28" s="16"/>
      <c r="AF28" s="11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 t="str">
        <f t="shared" si="2"/>
        <v/>
      </c>
      <c r="CT28" s="7"/>
      <c r="CU28" s="16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451</v>
      </c>
      <c r="H1" s="2" t="s">
        <v>7</v>
      </c>
      <c r="I1" s="2" t="s">
        <v>8</v>
      </c>
      <c r="J1" s="2" t="s">
        <v>9</v>
      </c>
      <c r="K1" s="2" t="s">
        <v>452</v>
      </c>
      <c r="L1" s="2" t="s">
        <v>13</v>
      </c>
      <c r="M1" s="2" t="s">
        <v>8</v>
      </c>
      <c r="N1" s="2" t="s">
        <v>9</v>
      </c>
      <c r="O1" s="2" t="s">
        <v>453</v>
      </c>
      <c r="P1" s="2" t="s">
        <v>7</v>
      </c>
      <c r="Q1" s="2" t="s">
        <v>8</v>
      </c>
      <c r="R1" s="2" t="s">
        <v>9</v>
      </c>
      <c r="S1" s="2" t="s">
        <v>454</v>
      </c>
      <c r="T1" s="2" t="s">
        <v>13</v>
      </c>
      <c r="U1" s="2" t="s">
        <v>8</v>
      </c>
      <c r="V1" s="2" t="s">
        <v>9</v>
      </c>
      <c r="W1" s="2" t="s">
        <v>455</v>
      </c>
      <c r="X1" s="2" t="s">
        <v>13</v>
      </c>
      <c r="Y1" s="2" t="s">
        <v>456</v>
      </c>
      <c r="Z1" s="2" t="s">
        <v>457</v>
      </c>
      <c r="AA1" s="2" t="s">
        <v>458</v>
      </c>
      <c r="AB1" s="2" t="s">
        <v>13</v>
      </c>
      <c r="AC1" s="2" t="s">
        <v>456</v>
      </c>
      <c r="AD1" s="2" t="s">
        <v>9</v>
      </c>
      <c r="AE1" s="2" t="s">
        <v>459</v>
      </c>
      <c r="AF1" s="2" t="s">
        <v>13</v>
      </c>
      <c r="AG1" s="2" t="s">
        <v>8</v>
      </c>
      <c r="AH1" s="2" t="s">
        <v>457</v>
      </c>
      <c r="AI1" s="2" t="s">
        <v>460</v>
      </c>
      <c r="AJ1" s="2" t="s">
        <v>13</v>
      </c>
      <c r="AK1" s="2" t="s">
        <v>8</v>
      </c>
      <c r="AL1" s="2" t="s">
        <v>9</v>
      </c>
      <c r="AM1" s="2" t="s">
        <v>461</v>
      </c>
      <c r="AN1" s="2" t="s">
        <v>13</v>
      </c>
      <c r="AO1" s="2" t="s">
        <v>8</v>
      </c>
      <c r="AP1" s="2" t="s">
        <v>9</v>
      </c>
      <c r="AQ1" s="2" t="s">
        <v>462</v>
      </c>
      <c r="AR1" s="2" t="s">
        <v>13</v>
      </c>
      <c r="AS1" s="2" t="s">
        <v>8</v>
      </c>
      <c r="AT1" s="2" t="s">
        <v>9</v>
      </c>
      <c r="AU1" s="2" t="s">
        <v>463</v>
      </c>
      <c r="AV1" s="2" t="s">
        <v>13</v>
      </c>
      <c r="AW1" s="2" t="s">
        <v>456</v>
      </c>
      <c r="AX1" s="2" t="s">
        <v>9</v>
      </c>
      <c r="AY1" s="21" t="s">
        <v>464</v>
      </c>
      <c r="AZ1" s="21" t="s">
        <v>13</v>
      </c>
      <c r="BA1" s="2" t="s">
        <v>456</v>
      </c>
      <c r="BB1" s="2" t="s">
        <v>9</v>
      </c>
      <c r="BC1" s="7"/>
      <c r="BD1" s="7"/>
      <c r="BE1" s="7"/>
      <c r="BF1" s="7"/>
      <c r="BG1" s="7"/>
    </row>
    <row r="2">
      <c r="A2" s="5">
        <v>1334.0</v>
      </c>
      <c r="B2" s="6" t="s">
        <v>465</v>
      </c>
      <c r="C2" s="7" t="str">
        <f t="shared" ref="C2:C28" si="1">CONCATENATE(D2,"_",F2)</f>
        <v>TK-01_BS VI MS</v>
      </c>
      <c r="D2" s="8" t="s">
        <v>48</v>
      </c>
      <c r="E2" s="7"/>
      <c r="F2" s="9" t="s">
        <v>49</v>
      </c>
      <c r="G2" s="11" t="s">
        <v>466</v>
      </c>
      <c r="H2" s="13">
        <v>0.0</v>
      </c>
      <c r="I2" s="11"/>
      <c r="J2" s="11"/>
      <c r="K2" s="11" t="s">
        <v>467</v>
      </c>
      <c r="L2" s="13">
        <v>0.0</v>
      </c>
      <c r="M2" s="7" t="str">
        <f t="shared" ref="M2:M25" si="2">MID(K2,13,6)</f>
        <v>LSW-01</v>
      </c>
      <c r="N2" s="7" t="s">
        <v>58</v>
      </c>
      <c r="O2" s="11" t="s">
        <v>468</v>
      </c>
      <c r="P2" s="13">
        <v>0.0</v>
      </c>
      <c r="Q2" s="7" t="str">
        <f t="shared" ref="Q2:Q28" si="3">MID(O2,13,6)</f>
        <v>RDR-01</v>
      </c>
      <c r="R2" s="7" t="s">
        <v>63</v>
      </c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16" t="s">
        <v>469</v>
      </c>
      <c r="AJ2" s="13">
        <v>0.0</v>
      </c>
      <c r="AK2" s="22" t="str">
        <f t="shared" ref="AK2:AK28" si="4">MID(AI2,5,7)</f>
        <v>MOV-001</v>
      </c>
      <c r="AL2" s="22" t="s">
        <v>78</v>
      </c>
      <c r="AM2" s="22"/>
      <c r="AN2" s="22"/>
      <c r="AO2" s="22"/>
      <c r="AP2" s="22"/>
      <c r="AQ2" s="16"/>
      <c r="AR2" s="11"/>
      <c r="AS2" s="22"/>
      <c r="AT2" s="22"/>
      <c r="AU2" s="22"/>
      <c r="AV2" s="22"/>
      <c r="AW2" s="22"/>
      <c r="AX2" s="22"/>
      <c r="AY2" s="7"/>
      <c r="AZ2" s="7"/>
      <c r="BA2" s="7"/>
      <c r="BB2" s="7"/>
      <c r="BC2" s="7"/>
      <c r="BD2" s="7"/>
      <c r="BE2" s="7"/>
      <c r="BF2" s="7"/>
      <c r="BG2" s="7"/>
    </row>
    <row r="3">
      <c r="A3" s="5">
        <v>1334.0</v>
      </c>
      <c r="B3" s="6" t="s">
        <v>465</v>
      </c>
      <c r="C3" s="7" t="str">
        <f t="shared" si="1"/>
        <v>TK-02_BS VI MS</v>
      </c>
      <c r="D3" s="17" t="s">
        <v>81</v>
      </c>
      <c r="E3" s="7"/>
      <c r="F3" s="18" t="s">
        <v>49</v>
      </c>
      <c r="G3" s="11" t="s">
        <v>470</v>
      </c>
      <c r="H3" s="13">
        <v>0.0</v>
      </c>
      <c r="I3" s="11"/>
      <c r="J3" s="11"/>
      <c r="K3" s="11" t="s">
        <v>471</v>
      </c>
      <c r="L3" s="13">
        <v>0.0</v>
      </c>
      <c r="M3" s="7" t="str">
        <f t="shared" si="2"/>
        <v>LSW-02</v>
      </c>
      <c r="N3" s="7" t="s">
        <v>58</v>
      </c>
      <c r="O3" s="11" t="s">
        <v>472</v>
      </c>
      <c r="P3" s="13">
        <v>0.0</v>
      </c>
      <c r="Q3" s="7" t="str">
        <f t="shared" si="3"/>
        <v>RDR-02</v>
      </c>
      <c r="R3" s="7" t="s">
        <v>63</v>
      </c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19" t="s">
        <v>473</v>
      </c>
      <c r="AJ3" s="13">
        <v>0.0</v>
      </c>
      <c r="AK3" s="22" t="str">
        <f t="shared" si="4"/>
        <v>MOV-004</v>
      </c>
      <c r="AL3" s="22" t="s">
        <v>78</v>
      </c>
      <c r="AM3" s="22"/>
      <c r="AN3" s="22"/>
      <c r="AO3" s="22"/>
      <c r="AP3" s="22"/>
      <c r="AQ3" s="16"/>
      <c r="AR3" s="11"/>
      <c r="AS3" s="22"/>
      <c r="AT3" s="22"/>
      <c r="AU3" s="22"/>
      <c r="AV3" s="22"/>
      <c r="AW3" s="22"/>
      <c r="AX3" s="22"/>
      <c r="AY3" s="7"/>
      <c r="AZ3" s="7"/>
      <c r="BA3" s="7"/>
      <c r="BB3" s="7"/>
      <c r="BC3" s="7"/>
      <c r="BD3" s="7"/>
      <c r="BE3" s="7"/>
      <c r="BF3" s="7"/>
      <c r="BG3" s="7"/>
    </row>
    <row r="4">
      <c r="A4" s="5">
        <v>1334.0</v>
      </c>
      <c r="B4" s="6" t="s">
        <v>465</v>
      </c>
      <c r="C4" s="7" t="str">
        <f t="shared" si="1"/>
        <v>TK-03_ETHANOL</v>
      </c>
      <c r="D4" s="17" t="s">
        <v>103</v>
      </c>
      <c r="E4" s="7"/>
      <c r="F4" s="18" t="s">
        <v>104</v>
      </c>
      <c r="G4" s="11" t="s">
        <v>474</v>
      </c>
      <c r="H4" s="13">
        <v>0.0</v>
      </c>
      <c r="I4" s="11"/>
      <c r="J4" s="11"/>
      <c r="K4" s="11" t="s">
        <v>475</v>
      </c>
      <c r="L4" s="13">
        <v>0.0</v>
      </c>
      <c r="M4" s="7" t="str">
        <f t="shared" si="2"/>
        <v>LSW-03</v>
      </c>
      <c r="N4" s="7" t="s">
        <v>58</v>
      </c>
      <c r="O4" s="11" t="s">
        <v>476</v>
      </c>
      <c r="P4" s="13">
        <v>0.0</v>
      </c>
      <c r="Q4" s="7" t="str">
        <f t="shared" si="3"/>
        <v>RDR-03</v>
      </c>
      <c r="R4" s="7" t="s">
        <v>63</v>
      </c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19" t="s">
        <v>477</v>
      </c>
      <c r="AJ4" s="13">
        <v>0.0</v>
      </c>
      <c r="AK4" s="22" t="str">
        <f t="shared" si="4"/>
        <v>MOV-007</v>
      </c>
      <c r="AL4" s="22" t="s">
        <v>78</v>
      </c>
      <c r="AM4" s="22"/>
      <c r="AN4" s="22"/>
      <c r="AO4" s="22"/>
      <c r="AP4" s="22"/>
      <c r="AQ4" s="16"/>
      <c r="AR4" s="11"/>
      <c r="AS4" s="22"/>
      <c r="AT4" s="22"/>
      <c r="AU4" s="22"/>
      <c r="AV4" s="22"/>
      <c r="AW4" s="22"/>
      <c r="AX4" s="22"/>
      <c r="AY4" s="7"/>
      <c r="AZ4" s="7"/>
      <c r="BA4" s="7"/>
      <c r="BB4" s="7"/>
      <c r="BC4" s="7"/>
      <c r="BD4" s="7"/>
      <c r="BE4" s="7"/>
      <c r="BF4" s="7"/>
      <c r="BG4" s="7"/>
    </row>
    <row r="5">
      <c r="A5" s="5">
        <v>1334.0</v>
      </c>
      <c r="B5" s="6" t="s">
        <v>465</v>
      </c>
      <c r="C5" s="7" t="str">
        <f t="shared" si="1"/>
        <v>TK-04_ETHANOL</v>
      </c>
      <c r="D5" s="17" t="s">
        <v>126</v>
      </c>
      <c r="E5" s="7"/>
      <c r="F5" s="18" t="s">
        <v>104</v>
      </c>
      <c r="G5" s="11" t="s">
        <v>478</v>
      </c>
      <c r="H5" s="13">
        <v>0.0</v>
      </c>
      <c r="I5" s="11"/>
      <c r="J5" s="11"/>
      <c r="K5" s="11" t="s">
        <v>479</v>
      </c>
      <c r="L5" s="13">
        <v>0.0</v>
      </c>
      <c r="M5" s="7" t="str">
        <f t="shared" si="2"/>
        <v>LSW-04</v>
      </c>
      <c r="N5" s="7" t="s">
        <v>58</v>
      </c>
      <c r="O5" s="11" t="s">
        <v>480</v>
      </c>
      <c r="P5" s="13">
        <v>0.0</v>
      </c>
      <c r="Q5" s="7" t="str">
        <f t="shared" si="3"/>
        <v>RDR-04</v>
      </c>
      <c r="R5" s="7" t="s">
        <v>63</v>
      </c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19" t="s">
        <v>481</v>
      </c>
      <c r="AJ5" s="13">
        <v>0.0</v>
      </c>
      <c r="AK5" s="22" t="str">
        <f t="shared" si="4"/>
        <v>MOV-010</v>
      </c>
      <c r="AL5" s="22" t="s">
        <v>78</v>
      </c>
      <c r="AM5" s="22"/>
      <c r="AN5" s="22"/>
      <c r="AO5" s="22"/>
      <c r="AP5" s="22"/>
      <c r="AQ5" s="16"/>
      <c r="AR5" s="11"/>
      <c r="AS5" s="22"/>
      <c r="AT5" s="22"/>
      <c r="AU5" s="22"/>
      <c r="AV5" s="22"/>
      <c r="AW5" s="22"/>
      <c r="AX5" s="22"/>
      <c r="AY5" s="7"/>
      <c r="AZ5" s="7"/>
      <c r="BA5" s="7"/>
      <c r="BB5" s="7"/>
      <c r="BC5" s="7"/>
      <c r="BD5" s="7"/>
      <c r="BE5" s="7"/>
      <c r="BF5" s="7"/>
      <c r="BG5" s="7"/>
    </row>
    <row r="6">
      <c r="A6" s="5">
        <v>1334.0</v>
      </c>
      <c r="B6" s="6" t="s">
        <v>465</v>
      </c>
      <c r="C6" s="7" t="str">
        <f t="shared" si="1"/>
        <v>TK-05_ETHANOL</v>
      </c>
      <c r="D6" s="17" t="s">
        <v>148</v>
      </c>
      <c r="E6" s="7"/>
      <c r="F6" s="18" t="s">
        <v>104</v>
      </c>
      <c r="G6" s="11" t="s">
        <v>482</v>
      </c>
      <c r="H6" s="13">
        <v>0.0</v>
      </c>
      <c r="I6" s="11"/>
      <c r="J6" s="11"/>
      <c r="K6" s="11" t="s">
        <v>483</v>
      </c>
      <c r="L6" s="13">
        <v>0.0</v>
      </c>
      <c r="M6" s="7" t="str">
        <f t="shared" si="2"/>
        <v>LSW-05</v>
      </c>
      <c r="N6" s="7" t="s">
        <v>58</v>
      </c>
      <c r="O6" s="11" t="s">
        <v>484</v>
      </c>
      <c r="P6" s="13">
        <v>0.0</v>
      </c>
      <c r="Q6" s="7" t="str">
        <f t="shared" si="3"/>
        <v>RDR-05</v>
      </c>
      <c r="R6" s="7" t="s">
        <v>63</v>
      </c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19" t="s">
        <v>485</v>
      </c>
      <c r="AJ6" s="13">
        <v>0.0</v>
      </c>
      <c r="AK6" s="22" t="str">
        <f t="shared" si="4"/>
        <v>MOV-013</v>
      </c>
      <c r="AL6" s="22" t="s">
        <v>78</v>
      </c>
      <c r="AM6" s="22"/>
      <c r="AN6" s="22"/>
      <c r="AO6" s="22"/>
      <c r="AP6" s="22"/>
      <c r="AQ6" s="16"/>
      <c r="AR6" s="11"/>
      <c r="AS6" s="22"/>
      <c r="AT6" s="22"/>
      <c r="AU6" s="22"/>
      <c r="AV6" s="22"/>
      <c r="AW6" s="22"/>
      <c r="AX6" s="22"/>
      <c r="AY6" s="7"/>
      <c r="AZ6" s="7"/>
      <c r="BA6" s="7"/>
      <c r="BB6" s="7"/>
      <c r="BC6" s="7"/>
      <c r="BD6" s="7"/>
      <c r="BE6" s="7"/>
      <c r="BF6" s="7"/>
      <c r="BG6" s="7"/>
    </row>
    <row r="7">
      <c r="A7" s="5">
        <v>1334.0</v>
      </c>
      <c r="B7" s="6" t="s">
        <v>465</v>
      </c>
      <c r="C7" s="7" t="str">
        <f t="shared" si="1"/>
        <v>TK-06_BS VI HSD</v>
      </c>
      <c r="D7" s="17" t="s">
        <v>170</v>
      </c>
      <c r="E7" s="7"/>
      <c r="F7" s="18" t="s">
        <v>171</v>
      </c>
      <c r="G7" s="11" t="s">
        <v>486</v>
      </c>
      <c r="H7" s="13">
        <v>0.0</v>
      </c>
      <c r="I7" s="11"/>
      <c r="J7" s="11"/>
      <c r="K7" s="16"/>
      <c r="L7" s="11"/>
      <c r="M7" s="7" t="str">
        <f t="shared" si="2"/>
        <v/>
      </c>
      <c r="N7" s="7"/>
      <c r="O7" s="16"/>
      <c r="P7" s="11"/>
      <c r="Q7" s="7" t="str">
        <f t="shared" si="3"/>
        <v/>
      </c>
      <c r="R7" s="7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16"/>
      <c r="AJ7" s="11"/>
      <c r="AK7" s="22" t="str">
        <f t="shared" si="4"/>
        <v/>
      </c>
      <c r="AL7" s="22"/>
      <c r="AM7" s="22"/>
      <c r="AN7" s="22"/>
      <c r="AO7" s="22"/>
      <c r="AP7" s="22"/>
      <c r="AQ7" s="16"/>
      <c r="AR7" s="11"/>
      <c r="AS7" s="22"/>
      <c r="AT7" s="22"/>
      <c r="AU7" s="22"/>
      <c r="AV7" s="22"/>
      <c r="AW7" s="22"/>
      <c r="AX7" s="22"/>
      <c r="AY7" s="7"/>
      <c r="AZ7" s="7"/>
      <c r="BA7" s="7"/>
      <c r="BB7" s="7"/>
      <c r="BC7" s="7"/>
      <c r="BD7" s="7"/>
      <c r="BE7" s="7"/>
      <c r="BF7" s="7"/>
      <c r="BG7" s="7"/>
    </row>
    <row r="8">
      <c r="A8" s="5">
        <v>1334.0</v>
      </c>
      <c r="B8" s="6" t="s">
        <v>465</v>
      </c>
      <c r="C8" s="7" t="str">
        <f t="shared" si="1"/>
        <v>TK-07_BS VI MS</v>
      </c>
      <c r="D8" s="17" t="s">
        <v>176</v>
      </c>
      <c r="E8" s="7"/>
      <c r="F8" s="18" t="s">
        <v>49</v>
      </c>
      <c r="G8" s="11" t="s">
        <v>487</v>
      </c>
      <c r="H8" s="13">
        <v>0.0</v>
      </c>
      <c r="I8" s="11"/>
      <c r="J8" s="11"/>
      <c r="K8" s="16"/>
      <c r="L8" s="11"/>
      <c r="M8" s="7" t="str">
        <f t="shared" si="2"/>
        <v/>
      </c>
      <c r="N8" s="7"/>
      <c r="O8" s="16"/>
      <c r="P8" s="11"/>
      <c r="Q8" s="7" t="str">
        <f t="shared" si="3"/>
        <v/>
      </c>
      <c r="R8" s="7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16"/>
      <c r="AJ8" s="11"/>
      <c r="AK8" s="22" t="str">
        <f t="shared" si="4"/>
        <v/>
      </c>
      <c r="AL8" s="22"/>
      <c r="AM8" s="22"/>
      <c r="AN8" s="22"/>
      <c r="AO8" s="22"/>
      <c r="AP8" s="22"/>
      <c r="AQ8" s="16"/>
      <c r="AR8" s="11"/>
      <c r="AS8" s="22"/>
      <c r="AT8" s="22"/>
      <c r="AU8" s="22"/>
      <c r="AV8" s="22"/>
      <c r="AW8" s="22"/>
      <c r="AX8" s="22"/>
      <c r="AY8" s="7"/>
      <c r="AZ8" s="7"/>
      <c r="BA8" s="7"/>
      <c r="BB8" s="7"/>
      <c r="BC8" s="7"/>
      <c r="BD8" s="7"/>
      <c r="BE8" s="7"/>
      <c r="BF8" s="7"/>
      <c r="BG8" s="7"/>
    </row>
    <row r="9">
      <c r="A9" s="5">
        <v>1334.0</v>
      </c>
      <c r="B9" s="6" t="s">
        <v>465</v>
      </c>
      <c r="C9" s="7" t="str">
        <f t="shared" si="1"/>
        <v>TK-08_BS VI HSD</v>
      </c>
      <c r="D9" s="17" t="s">
        <v>181</v>
      </c>
      <c r="E9" s="7"/>
      <c r="F9" s="18" t="s">
        <v>171</v>
      </c>
      <c r="G9" s="11" t="s">
        <v>488</v>
      </c>
      <c r="H9" s="13">
        <v>0.0</v>
      </c>
      <c r="I9" s="11"/>
      <c r="J9" s="11"/>
      <c r="K9" s="16"/>
      <c r="L9" s="11"/>
      <c r="M9" s="7" t="str">
        <f t="shared" si="2"/>
        <v/>
      </c>
      <c r="N9" s="7"/>
      <c r="O9" s="16"/>
      <c r="P9" s="11"/>
      <c r="Q9" s="7" t="str">
        <f t="shared" si="3"/>
        <v/>
      </c>
      <c r="R9" s="7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16"/>
      <c r="AJ9" s="11"/>
      <c r="AK9" s="22" t="str">
        <f t="shared" si="4"/>
        <v/>
      </c>
      <c r="AL9" s="22"/>
      <c r="AM9" s="22"/>
      <c r="AN9" s="22"/>
      <c r="AO9" s="22"/>
      <c r="AP9" s="22"/>
      <c r="AQ9" s="16"/>
      <c r="AR9" s="11"/>
      <c r="AS9" s="22"/>
      <c r="AT9" s="22"/>
      <c r="AU9" s="22"/>
      <c r="AV9" s="22"/>
      <c r="AW9" s="22"/>
      <c r="AX9" s="22"/>
      <c r="AY9" s="7"/>
      <c r="AZ9" s="7"/>
      <c r="BA9" s="7"/>
      <c r="BB9" s="7"/>
      <c r="BC9" s="7"/>
      <c r="BD9" s="7"/>
      <c r="BE9" s="7"/>
      <c r="BF9" s="7"/>
      <c r="BG9" s="7"/>
    </row>
    <row r="10">
      <c r="A10" s="5">
        <v>1334.0</v>
      </c>
      <c r="B10" s="6" t="s">
        <v>465</v>
      </c>
      <c r="C10" s="7" t="str">
        <f t="shared" si="1"/>
        <v>TK-09_WATER</v>
      </c>
      <c r="D10" s="17" t="s">
        <v>186</v>
      </c>
      <c r="E10" s="7"/>
      <c r="F10" s="18" t="s">
        <v>187</v>
      </c>
      <c r="G10" s="11"/>
      <c r="H10" s="11"/>
      <c r="I10" s="11"/>
      <c r="J10" s="11"/>
      <c r="K10" s="16"/>
      <c r="L10" s="11"/>
      <c r="M10" s="7" t="str">
        <f t="shared" si="2"/>
        <v/>
      </c>
      <c r="N10" s="7"/>
      <c r="O10" s="16"/>
      <c r="P10" s="11"/>
      <c r="Q10" s="7" t="str">
        <f t="shared" si="3"/>
        <v/>
      </c>
      <c r="R10" s="7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16"/>
      <c r="AJ10" s="11"/>
      <c r="AK10" s="22" t="str">
        <f t="shared" si="4"/>
        <v/>
      </c>
      <c r="AL10" s="22"/>
      <c r="AM10" s="22"/>
      <c r="AN10" s="22"/>
      <c r="AO10" s="22"/>
      <c r="AP10" s="22"/>
      <c r="AQ10" s="16"/>
      <c r="AR10" s="11"/>
      <c r="AS10" s="22"/>
      <c r="AT10" s="22"/>
      <c r="AU10" s="22"/>
      <c r="AV10" s="22"/>
      <c r="AW10" s="22"/>
      <c r="AX10" s="22"/>
      <c r="AY10" s="7"/>
      <c r="AZ10" s="7"/>
      <c r="BA10" s="7"/>
      <c r="BB10" s="7"/>
      <c r="BC10" s="7"/>
      <c r="BD10" s="7"/>
      <c r="BE10" s="7"/>
      <c r="BF10" s="7"/>
      <c r="BG10" s="7"/>
    </row>
    <row r="11">
      <c r="A11" s="5">
        <v>1334.0</v>
      </c>
      <c r="B11" s="6" t="s">
        <v>465</v>
      </c>
      <c r="C11" s="7" t="str">
        <f t="shared" si="1"/>
        <v>TK-10_WATER</v>
      </c>
      <c r="D11" s="17" t="s">
        <v>190</v>
      </c>
      <c r="E11" s="7"/>
      <c r="F11" s="18" t="s">
        <v>187</v>
      </c>
      <c r="G11" s="11"/>
      <c r="H11" s="11"/>
      <c r="I11" s="11"/>
      <c r="J11" s="11"/>
      <c r="K11" s="16"/>
      <c r="L11" s="11"/>
      <c r="M11" s="7" t="str">
        <f t="shared" si="2"/>
        <v/>
      </c>
      <c r="N11" s="7"/>
      <c r="O11" s="16"/>
      <c r="P11" s="11"/>
      <c r="Q11" s="7" t="str">
        <f t="shared" si="3"/>
        <v/>
      </c>
      <c r="R11" s="7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16"/>
      <c r="AJ11" s="11"/>
      <c r="AK11" s="22" t="str">
        <f t="shared" si="4"/>
        <v/>
      </c>
      <c r="AL11" s="22"/>
      <c r="AM11" s="22"/>
      <c r="AN11" s="22"/>
      <c r="AO11" s="22"/>
      <c r="AP11" s="22"/>
      <c r="AQ11" s="16"/>
      <c r="AR11" s="11"/>
      <c r="AS11" s="22"/>
      <c r="AT11" s="22"/>
      <c r="AU11" s="22"/>
      <c r="AV11" s="22"/>
      <c r="AW11" s="22"/>
      <c r="AX11" s="22"/>
      <c r="AY11" s="7"/>
      <c r="AZ11" s="7"/>
      <c r="BA11" s="7"/>
      <c r="BB11" s="7"/>
      <c r="BC11" s="7"/>
      <c r="BD11" s="7"/>
      <c r="BE11" s="7"/>
      <c r="BF11" s="7"/>
      <c r="BG11" s="7"/>
    </row>
    <row r="12">
      <c r="A12" s="5">
        <v>1334.0</v>
      </c>
      <c r="B12" s="6" t="s">
        <v>465</v>
      </c>
      <c r="C12" s="7" t="str">
        <f t="shared" si="1"/>
        <v>TK-11_BS VI HSD</v>
      </c>
      <c r="D12" s="17" t="s">
        <v>193</v>
      </c>
      <c r="E12" s="7"/>
      <c r="F12" s="18" t="s">
        <v>171</v>
      </c>
      <c r="G12" s="11" t="s">
        <v>489</v>
      </c>
      <c r="H12" s="13">
        <v>0.0</v>
      </c>
      <c r="I12" s="11"/>
      <c r="J12" s="11"/>
      <c r="K12" s="11" t="s">
        <v>490</v>
      </c>
      <c r="L12" s="13">
        <v>0.0</v>
      </c>
      <c r="M12" s="7" t="str">
        <f t="shared" si="2"/>
        <v>LSW-06</v>
      </c>
      <c r="N12" s="7" t="s">
        <v>58</v>
      </c>
      <c r="O12" s="11" t="s">
        <v>491</v>
      </c>
      <c r="P12" s="13">
        <v>0.0</v>
      </c>
      <c r="Q12" s="7" t="str">
        <f t="shared" si="3"/>
        <v>RDR-06</v>
      </c>
      <c r="R12" s="7" t="s">
        <v>63</v>
      </c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19" t="s">
        <v>492</v>
      </c>
      <c r="AJ12" s="13">
        <v>0.0</v>
      </c>
      <c r="AK12" s="22" t="str">
        <f t="shared" si="4"/>
        <v>MOV-016</v>
      </c>
      <c r="AL12" s="22" t="s">
        <v>78</v>
      </c>
      <c r="AM12" s="22"/>
      <c r="AN12" s="22"/>
      <c r="AO12" s="22"/>
      <c r="AP12" s="22"/>
      <c r="AQ12" s="16"/>
      <c r="AR12" s="11"/>
      <c r="AS12" s="22"/>
      <c r="AT12" s="22"/>
      <c r="AU12" s="22"/>
      <c r="AV12" s="22"/>
      <c r="AW12" s="22"/>
      <c r="AX12" s="22"/>
      <c r="AY12" s="7"/>
      <c r="AZ12" s="7"/>
      <c r="BA12" s="7"/>
      <c r="BB12" s="7"/>
      <c r="BC12" s="7"/>
      <c r="BD12" s="7"/>
      <c r="BE12" s="7"/>
      <c r="BF12" s="7"/>
      <c r="BG12" s="7"/>
    </row>
    <row r="13">
      <c r="A13" s="5">
        <v>1334.0</v>
      </c>
      <c r="B13" s="6" t="s">
        <v>465</v>
      </c>
      <c r="C13" s="7" t="str">
        <f t="shared" si="1"/>
        <v>TK-12_BS VI MS</v>
      </c>
      <c r="D13" s="17" t="s">
        <v>216</v>
      </c>
      <c r="E13" s="7"/>
      <c r="F13" s="18" t="s">
        <v>49</v>
      </c>
      <c r="G13" s="11" t="s">
        <v>493</v>
      </c>
      <c r="H13" s="13">
        <v>0.0</v>
      </c>
      <c r="I13" s="11"/>
      <c r="J13" s="11"/>
      <c r="K13" s="11" t="s">
        <v>494</v>
      </c>
      <c r="L13" s="13">
        <v>0.0</v>
      </c>
      <c r="M13" s="7" t="str">
        <f t="shared" si="2"/>
        <v>LSW-07</v>
      </c>
      <c r="N13" s="7" t="s">
        <v>58</v>
      </c>
      <c r="O13" s="11" t="s">
        <v>495</v>
      </c>
      <c r="P13" s="13">
        <v>0.0</v>
      </c>
      <c r="Q13" s="7" t="str">
        <f t="shared" si="3"/>
        <v>RDR-07</v>
      </c>
      <c r="R13" s="7" t="s">
        <v>63</v>
      </c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19" t="s">
        <v>496</v>
      </c>
      <c r="AJ13" s="13">
        <v>0.0</v>
      </c>
      <c r="AK13" s="22" t="str">
        <f t="shared" si="4"/>
        <v>MOV-019</v>
      </c>
      <c r="AL13" s="22" t="s">
        <v>78</v>
      </c>
      <c r="AM13" s="22"/>
      <c r="AN13" s="22"/>
      <c r="AO13" s="22"/>
      <c r="AP13" s="22"/>
      <c r="AQ13" s="16"/>
      <c r="AR13" s="11"/>
      <c r="AS13" s="22"/>
      <c r="AT13" s="22"/>
      <c r="AU13" s="22"/>
      <c r="AV13" s="22"/>
      <c r="AW13" s="22"/>
      <c r="AX13" s="22"/>
      <c r="AY13" s="7"/>
      <c r="AZ13" s="7"/>
      <c r="BA13" s="7"/>
      <c r="BB13" s="7"/>
      <c r="BC13" s="7"/>
      <c r="BD13" s="7"/>
      <c r="BE13" s="7"/>
      <c r="BF13" s="7"/>
      <c r="BG13" s="7"/>
    </row>
    <row r="14">
      <c r="A14" s="5">
        <v>1334.0</v>
      </c>
      <c r="B14" s="6" t="s">
        <v>465</v>
      </c>
      <c r="C14" s="7" t="str">
        <f t="shared" si="1"/>
        <v>TK-13_BS VI HSD</v>
      </c>
      <c r="D14" s="17" t="s">
        <v>239</v>
      </c>
      <c r="E14" s="7"/>
      <c r="F14" s="18" t="s">
        <v>171</v>
      </c>
      <c r="G14" s="11" t="s">
        <v>497</v>
      </c>
      <c r="H14" s="13">
        <v>0.0</v>
      </c>
      <c r="I14" s="11"/>
      <c r="J14" s="11"/>
      <c r="K14" s="11" t="s">
        <v>498</v>
      </c>
      <c r="L14" s="13">
        <v>0.0</v>
      </c>
      <c r="M14" s="7" t="str">
        <f t="shared" si="2"/>
        <v>LSW-08</v>
      </c>
      <c r="N14" s="7" t="s">
        <v>58</v>
      </c>
      <c r="O14" s="11" t="s">
        <v>499</v>
      </c>
      <c r="P14" s="13">
        <v>0.0</v>
      </c>
      <c r="Q14" s="7" t="str">
        <f t="shared" si="3"/>
        <v>RDR-08</v>
      </c>
      <c r="R14" s="7" t="s">
        <v>63</v>
      </c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19" t="s">
        <v>500</v>
      </c>
      <c r="AJ14" s="13">
        <v>0.0</v>
      </c>
      <c r="AK14" s="22" t="str">
        <f t="shared" si="4"/>
        <v>MOV-022</v>
      </c>
      <c r="AL14" s="22" t="s">
        <v>78</v>
      </c>
      <c r="AM14" s="22"/>
      <c r="AN14" s="22"/>
      <c r="AO14" s="22"/>
      <c r="AP14" s="22"/>
      <c r="AQ14" s="16"/>
      <c r="AR14" s="11"/>
      <c r="AS14" s="22"/>
      <c r="AT14" s="22"/>
      <c r="AU14" s="22"/>
      <c r="AV14" s="22"/>
      <c r="AW14" s="22"/>
      <c r="AX14" s="22"/>
      <c r="AY14" s="7"/>
      <c r="AZ14" s="7"/>
      <c r="BA14" s="7"/>
      <c r="BB14" s="7"/>
      <c r="BC14" s="7"/>
      <c r="BD14" s="7"/>
      <c r="BE14" s="7"/>
      <c r="BF14" s="7"/>
      <c r="BG14" s="7"/>
    </row>
    <row r="15">
      <c r="A15" s="5">
        <v>1334.0</v>
      </c>
      <c r="B15" s="6" t="s">
        <v>465</v>
      </c>
      <c r="C15" s="7" t="str">
        <f t="shared" si="1"/>
        <v>TK-14_BS VI HSD</v>
      </c>
      <c r="D15" s="17" t="s">
        <v>262</v>
      </c>
      <c r="E15" s="7"/>
      <c r="F15" s="18" t="s">
        <v>171</v>
      </c>
      <c r="G15" s="11" t="s">
        <v>501</v>
      </c>
      <c r="H15" s="13">
        <v>0.0</v>
      </c>
      <c r="I15" s="11"/>
      <c r="J15" s="11"/>
      <c r="K15" s="11" t="s">
        <v>502</v>
      </c>
      <c r="L15" s="13">
        <v>0.0</v>
      </c>
      <c r="M15" s="7" t="str">
        <f t="shared" si="2"/>
        <v>LSW-09</v>
      </c>
      <c r="N15" s="7" t="s">
        <v>58</v>
      </c>
      <c r="O15" s="11" t="s">
        <v>503</v>
      </c>
      <c r="P15" s="13">
        <v>0.0</v>
      </c>
      <c r="Q15" s="7" t="str">
        <f t="shared" si="3"/>
        <v>RDR-09</v>
      </c>
      <c r="R15" s="7" t="s">
        <v>63</v>
      </c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19" t="s">
        <v>504</v>
      </c>
      <c r="AJ15" s="13">
        <v>0.0</v>
      </c>
      <c r="AK15" s="22" t="str">
        <f t="shared" si="4"/>
        <v>MOV-025</v>
      </c>
      <c r="AL15" s="22" t="s">
        <v>78</v>
      </c>
      <c r="AM15" s="22"/>
      <c r="AN15" s="22"/>
      <c r="AO15" s="22"/>
      <c r="AP15" s="22"/>
      <c r="AQ15" s="16"/>
      <c r="AR15" s="11"/>
      <c r="AS15" s="22"/>
      <c r="AT15" s="22"/>
      <c r="AU15" s="22"/>
      <c r="AV15" s="22"/>
      <c r="AW15" s="22"/>
      <c r="AX15" s="22"/>
      <c r="AY15" s="7"/>
      <c r="AZ15" s="7"/>
      <c r="BA15" s="7"/>
      <c r="BB15" s="7"/>
      <c r="BC15" s="7"/>
      <c r="BD15" s="7"/>
      <c r="BE15" s="7"/>
      <c r="BF15" s="7"/>
      <c r="BG15" s="7"/>
    </row>
    <row r="16">
      <c r="A16" s="5">
        <v>1334.0</v>
      </c>
      <c r="B16" s="6" t="s">
        <v>465</v>
      </c>
      <c r="C16" s="7" t="str">
        <f t="shared" si="1"/>
        <v>TK-15_BS VI MS</v>
      </c>
      <c r="D16" s="17" t="s">
        <v>285</v>
      </c>
      <c r="E16" s="7"/>
      <c r="F16" s="18" t="s">
        <v>49</v>
      </c>
      <c r="G16" s="11" t="s">
        <v>505</v>
      </c>
      <c r="H16" s="13">
        <v>0.0</v>
      </c>
      <c r="I16" s="11"/>
      <c r="J16" s="11"/>
      <c r="K16" s="11" t="s">
        <v>506</v>
      </c>
      <c r="L16" s="13">
        <v>0.0</v>
      </c>
      <c r="M16" s="7" t="str">
        <f t="shared" si="2"/>
        <v>LSW-10</v>
      </c>
      <c r="N16" s="7" t="s">
        <v>58</v>
      </c>
      <c r="O16" s="11" t="s">
        <v>507</v>
      </c>
      <c r="P16" s="13">
        <v>0.0</v>
      </c>
      <c r="Q16" s="7" t="str">
        <f t="shared" si="3"/>
        <v>RDR-10</v>
      </c>
      <c r="R16" s="7" t="s">
        <v>63</v>
      </c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19" t="s">
        <v>508</v>
      </c>
      <c r="AJ16" s="13">
        <v>0.0</v>
      </c>
      <c r="AK16" s="22" t="str">
        <f t="shared" si="4"/>
        <v>MOV-028</v>
      </c>
      <c r="AL16" s="22" t="s">
        <v>78</v>
      </c>
      <c r="AM16" s="22"/>
      <c r="AN16" s="22"/>
      <c r="AO16" s="22"/>
      <c r="AP16" s="22"/>
      <c r="AQ16" s="16"/>
      <c r="AR16" s="11"/>
      <c r="AS16" s="22"/>
      <c r="AT16" s="22"/>
      <c r="AU16" s="22"/>
      <c r="AV16" s="22"/>
      <c r="AW16" s="22"/>
      <c r="AX16" s="22"/>
      <c r="AY16" s="7"/>
      <c r="AZ16" s="7"/>
      <c r="BA16" s="7"/>
      <c r="BB16" s="7"/>
      <c r="BC16" s="7"/>
      <c r="BD16" s="7"/>
      <c r="BE16" s="7"/>
      <c r="BF16" s="7"/>
      <c r="BG16" s="7"/>
    </row>
    <row r="17">
      <c r="A17" s="5">
        <v>1334.0</v>
      </c>
      <c r="B17" s="6" t="s">
        <v>465</v>
      </c>
      <c r="C17" s="7" t="str">
        <f t="shared" si="1"/>
        <v>TK-16_SLOP</v>
      </c>
      <c r="D17" s="17" t="s">
        <v>308</v>
      </c>
      <c r="E17" s="7"/>
      <c r="F17" s="18" t="s">
        <v>309</v>
      </c>
      <c r="G17" s="11"/>
      <c r="H17" s="11"/>
      <c r="I17" s="11"/>
      <c r="J17" s="11"/>
      <c r="K17" s="11" t="s">
        <v>509</v>
      </c>
      <c r="L17" s="13">
        <v>0.0</v>
      </c>
      <c r="M17" s="7" t="str">
        <f t="shared" si="2"/>
        <v>LSW-11</v>
      </c>
      <c r="N17" s="7" t="s">
        <v>58</v>
      </c>
      <c r="O17" s="11" t="s">
        <v>510</v>
      </c>
      <c r="P17" s="13">
        <v>0.0</v>
      </c>
      <c r="Q17" s="7" t="str">
        <f t="shared" si="3"/>
        <v>RDR-11</v>
      </c>
      <c r="R17" s="7" t="s">
        <v>63</v>
      </c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19" t="s">
        <v>511</v>
      </c>
      <c r="AJ17" s="13">
        <v>0.0</v>
      </c>
      <c r="AK17" s="22" t="str">
        <f t="shared" si="4"/>
        <v>MOV-031</v>
      </c>
      <c r="AL17" s="22" t="s">
        <v>78</v>
      </c>
      <c r="AM17" s="22"/>
      <c r="AN17" s="22"/>
      <c r="AO17" s="22"/>
      <c r="AP17" s="22"/>
      <c r="AQ17" s="19" t="s">
        <v>512</v>
      </c>
      <c r="AR17" s="13">
        <v>0.0</v>
      </c>
      <c r="AS17" s="22" t="s">
        <v>331</v>
      </c>
      <c r="AT17" s="22" t="s">
        <v>332</v>
      </c>
      <c r="AU17" s="22"/>
      <c r="AV17" s="22"/>
      <c r="AW17" s="22"/>
      <c r="AX17" s="22"/>
      <c r="AY17" s="7"/>
      <c r="AZ17" s="7"/>
      <c r="BA17" s="7"/>
      <c r="BB17" s="7"/>
      <c r="BC17" s="7"/>
      <c r="BD17" s="7"/>
      <c r="BE17" s="7"/>
      <c r="BF17" s="7"/>
      <c r="BG17" s="7"/>
    </row>
    <row r="18">
      <c r="A18" s="5">
        <v>1334.0</v>
      </c>
      <c r="B18" s="6" t="s">
        <v>465</v>
      </c>
      <c r="C18" s="7" t="str">
        <f t="shared" si="1"/>
        <v>TK-17_SLOP</v>
      </c>
      <c r="D18" s="17" t="s">
        <v>333</v>
      </c>
      <c r="E18" s="7"/>
      <c r="F18" s="18" t="s">
        <v>309</v>
      </c>
      <c r="G18" s="11"/>
      <c r="H18" s="11"/>
      <c r="I18" s="11"/>
      <c r="J18" s="11"/>
      <c r="K18" s="11" t="s">
        <v>513</v>
      </c>
      <c r="L18" s="13">
        <v>0.0</v>
      </c>
      <c r="M18" s="7" t="str">
        <f t="shared" si="2"/>
        <v>LSW-12</v>
      </c>
      <c r="N18" s="7" t="s">
        <v>58</v>
      </c>
      <c r="O18" s="11" t="s">
        <v>514</v>
      </c>
      <c r="P18" s="13">
        <v>0.0</v>
      </c>
      <c r="Q18" s="7" t="str">
        <f t="shared" si="3"/>
        <v>RDR-12</v>
      </c>
      <c r="R18" s="7" t="s">
        <v>63</v>
      </c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19" t="s">
        <v>515</v>
      </c>
      <c r="AJ18" s="13">
        <v>0.0</v>
      </c>
      <c r="AK18" s="22" t="str">
        <f t="shared" si="4"/>
        <v>MOV-034</v>
      </c>
      <c r="AL18" s="22" t="s">
        <v>78</v>
      </c>
      <c r="AM18" s="22"/>
      <c r="AN18" s="22"/>
      <c r="AO18" s="22"/>
      <c r="AP18" s="22"/>
      <c r="AQ18" s="11"/>
      <c r="AR18" s="11"/>
      <c r="AS18" s="22"/>
      <c r="AT18" s="22"/>
      <c r="AU18" s="22"/>
      <c r="AV18" s="22"/>
      <c r="AW18" s="22"/>
      <c r="AX18" s="22"/>
      <c r="AY18" s="7"/>
      <c r="AZ18" s="7"/>
      <c r="BA18" s="7"/>
      <c r="BB18" s="7"/>
      <c r="BC18" s="7"/>
      <c r="BD18" s="7"/>
      <c r="BE18" s="7"/>
      <c r="BF18" s="7"/>
      <c r="BG18" s="7"/>
    </row>
    <row r="19">
      <c r="A19" s="5">
        <v>1334.0</v>
      </c>
      <c r="B19" s="6" t="s">
        <v>465</v>
      </c>
      <c r="C19" s="7" t="str">
        <f t="shared" si="1"/>
        <v>TK-18_ETHANOL</v>
      </c>
      <c r="D19" s="17" t="s">
        <v>354</v>
      </c>
      <c r="E19" s="7"/>
      <c r="F19" s="18" t="s">
        <v>104</v>
      </c>
      <c r="G19" s="11" t="s">
        <v>516</v>
      </c>
      <c r="H19" s="13">
        <v>0.0</v>
      </c>
      <c r="I19" s="11"/>
      <c r="J19" s="11"/>
      <c r="K19" s="16"/>
      <c r="L19" s="11"/>
      <c r="M19" s="7" t="str">
        <f t="shared" si="2"/>
        <v/>
      </c>
      <c r="N19" s="7"/>
      <c r="O19" s="16"/>
      <c r="P19" s="11"/>
      <c r="Q19" s="7" t="str">
        <f t="shared" si="3"/>
        <v/>
      </c>
      <c r="R19" s="7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16"/>
      <c r="AJ19" s="11"/>
      <c r="AK19" s="22" t="str">
        <f t="shared" si="4"/>
        <v/>
      </c>
      <c r="AL19" s="22"/>
      <c r="AM19" s="22"/>
      <c r="AN19" s="22"/>
      <c r="AO19" s="22"/>
      <c r="AP19" s="22"/>
      <c r="AQ19" s="11"/>
      <c r="AR19" s="11"/>
      <c r="AS19" s="22"/>
      <c r="AT19" s="22"/>
      <c r="AU19" s="22"/>
      <c r="AV19" s="22"/>
      <c r="AW19" s="22"/>
      <c r="AX19" s="22"/>
      <c r="AY19" s="7"/>
      <c r="AZ19" s="7"/>
      <c r="BA19" s="7"/>
      <c r="BB19" s="7"/>
      <c r="BC19" s="7"/>
      <c r="BD19" s="7"/>
      <c r="BE19" s="7"/>
      <c r="BF19" s="7"/>
      <c r="BG19" s="7"/>
    </row>
    <row r="20">
      <c r="A20" s="5">
        <v>1334.0</v>
      </c>
      <c r="B20" s="6" t="s">
        <v>465</v>
      </c>
      <c r="C20" s="7" t="str">
        <f t="shared" si="1"/>
        <v>TK-19_ETHANOL</v>
      </c>
      <c r="D20" s="17" t="s">
        <v>359</v>
      </c>
      <c r="E20" s="7"/>
      <c r="F20" s="18" t="s">
        <v>104</v>
      </c>
      <c r="G20" s="11" t="s">
        <v>517</v>
      </c>
      <c r="H20" s="13">
        <v>0.0</v>
      </c>
      <c r="I20" s="11"/>
      <c r="J20" s="11"/>
      <c r="K20" s="16"/>
      <c r="L20" s="11"/>
      <c r="M20" s="7" t="str">
        <f t="shared" si="2"/>
        <v/>
      </c>
      <c r="N20" s="7"/>
      <c r="O20" s="16"/>
      <c r="P20" s="11"/>
      <c r="Q20" s="7" t="str">
        <f t="shared" si="3"/>
        <v/>
      </c>
      <c r="R20" s="7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16"/>
      <c r="AJ20" s="11"/>
      <c r="AK20" s="22" t="str">
        <f t="shared" si="4"/>
        <v/>
      </c>
      <c r="AL20" s="22"/>
      <c r="AM20" s="22"/>
      <c r="AN20" s="22"/>
      <c r="AO20" s="22"/>
      <c r="AP20" s="22"/>
      <c r="AQ20" s="11"/>
      <c r="AR20" s="11"/>
      <c r="AS20" s="22"/>
      <c r="AT20" s="22"/>
      <c r="AU20" s="22"/>
      <c r="AV20" s="22"/>
      <c r="AW20" s="22"/>
      <c r="AX20" s="22"/>
      <c r="AY20" s="7"/>
      <c r="AZ20" s="7"/>
      <c r="BA20" s="7"/>
      <c r="BB20" s="7"/>
      <c r="BC20" s="7"/>
      <c r="BD20" s="7"/>
      <c r="BE20" s="7"/>
      <c r="BF20" s="7"/>
      <c r="BG20" s="7"/>
    </row>
    <row r="21">
      <c r="A21" s="5">
        <v>1334.0</v>
      </c>
      <c r="B21" s="6" t="s">
        <v>465</v>
      </c>
      <c r="C21" s="7" t="str">
        <f t="shared" si="1"/>
        <v>TK-20_ETHANOL</v>
      </c>
      <c r="D21" s="17" t="s">
        <v>364</v>
      </c>
      <c r="E21" s="7"/>
      <c r="F21" s="18" t="s">
        <v>104</v>
      </c>
      <c r="G21" s="11" t="s">
        <v>518</v>
      </c>
      <c r="H21" s="13">
        <v>0.0</v>
      </c>
      <c r="I21" s="11"/>
      <c r="J21" s="11"/>
      <c r="K21" s="16"/>
      <c r="L21" s="11"/>
      <c r="M21" s="7" t="str">
        <f t="shared" si="2"/>
        <v/>
      </c>
      <c r="N21" s="7"/>
      <c r="O21" s="16"/>
      <c r="P21" s="11"/>
      <c r="Q21" s="7" t="str">
        <f t="shared" si="3"/>
        <v/>
      </c>
      <c r="R21" s="7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11"/>
      <c r="AJ21" s="11"/>
      <c r="AK21" s="22" t="str">
        <f t="shared" si="4"/>
        <v/>
      </c>
      <c r="AL21" s="22"/>
      <c r="AM21" s="22"/>
      <c r="AN21" s="22"/>
      <c r="AO21" s="22"/>
      <c r="AP21" s="22"/>
      <c r="AQ21" s="11"/>
      <c r="AR21" s="11"/>
      <c r="AS21" s="22"/>
      <c r="AT21" s="22"/>
      <c r="AU21" s="22"/>
      <c r="AV21" s="22"/>
      <c r="AW21" s="22"/>
      <c r="AX21" s="22"/>
      <c r="AY21" s="7"/>
      <c r="AZ21" s="7"/>
      <c r="BA21" s="7"/>
      <c r="BB21" s="7"/>
      <c r="BC21" s="7"/>
      <c r="BD21" s="7"/>
      <c r="BE21" s="7"/>
      <c r="BF21" s="7"/>
      <c r="BG21" s="7"/>
    </row>
    <row r="22">
      <c r="A22" s="5">
        <v>1334.0</v>
      </c>
      <c r="B22" s="6" t="s">
        <v>465</v>
      </c>
      <c r="C22" s="7" t="str">
        <f t="shared" si="1"/>
        <v>TK-21_ETHANOL</v>
      </c>
      <c r="D22" s="17" t="s">
        <v>369</v>
      </c>
      <c r="E22" s="7"/>
      <c r="F22" s="18" t="s">
        <v>104</v>
      </c>
      <c r="G22" s="11" t="s">
        <v>519</v>
      </c>
      <c r="H22" s="13">
        <v>0.0</v>
      </c>
      <c r="I22" s="11"/>
      <c r="J22" s="11"/>
      <c r="K22" s="16"/>
      <c r="L22" s="11"/>
      <c r="M22" s="7" t="str">
        <f t="shared" si="2"/>
        <v/>
      </c>
      <c r="N22" s="7"/>
      <c r="O22" s="16"/>
      <c r="P22" s="11"/>
      <c r="Q22" s="7" t="str">
        <f t="shared" si="3"/>
        <v/>
      </c>
      <c r="R22" s="7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11"/>
      <c r="AJ22" s="11"/>
      <c r="AK22" s="22" t="str">
        <f t="shared" si="4"/>
        <v/>
      </c>
      <c r="AL22" s="22"/>
      <c r="AM22" s="22"/>
      <c r="AN22" s="22"/>
      <c r="AO22" s="22"/>
      <c r="AP22" s="22"/>
      <c r="AQ22" s="11"/>
      <c r="AR22" s="11"/>
      <c r="AS22" s="22"/>
      <c r="AT22" s="22"/>
      <c r="AU22" s="22"/>
      <c r="AV22" s="22"/>
      <c r="AW22" s="22"/>
      <c r="AX22" s="22"/>
      <c r="AY22" s="7"/>
      <c r="AZ22" s="7"/>
      <c r="BA22" s="7"/>
      <c r="BB22" s="7"/>
      <c r="BC22" s="7"/>
      <c r="BD22" s="7"/>
      <c r="BE22" s="7"/>
      <c r="BF22" s="7"/>
      <c r="BG22" s="7"/>
    </row>
    <row r="23">
      <c r="A23" s="5">
        <v>1334.0</v>
      </c>
      <c r="B23" s="6" t="s">
        <v>465</v>
      </c>
      <c r="C23" s="7" t="str">
        <f t="shared" si="1"/>
        <v>TK-26_BS VI MS</v>
      </c>
      <c r="D23" s="17" t="s">
        <v>374</v>
      </c>
      <c r="E23" s="7"/>
      <c r="F23" s="18" t="s">
        <v>49</v>
      </c>
      <c r="G23" s="11" t="s">
        <v>520</v>
      </c>
      <c r="H23" s="13">
        <v>0.0</v>
      </c>
      <c r="I23" s="11"/>
      <c r="J23" s="11"/>
      <c r="K23" s="11" t="s">
        <v>521</v>
      </c>
      <c r="L23" s="13">
        <v>0.0</v>
      </c>
      <c r="M23" s="7" t="str">
        <f t="shared" si="2"/>
        <v>LSW-13</v>
      </c>
      <c r="N23" s="7" t="s">
        <v>58</v>
      </c>
      <c r="O23" s="11" t="s">
        <v>522</v>
      </c>
      <c r="P23" s="13">
        <v>0.0</v>
      </c>
      <c r="Q23" s="7" t="str">
        <f t="shared" si="3"/>
        <v>RDR-13</v>
      </c>
      <c r="R23" s="7" t="s">
        <v>63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19" t="s">
        <v>523</v>
      </c>
      <c r="AJ23" s="11"/>
      <c r="AK23" s="22" t="str">
        <f t="shared" si="4"/>
        <v>MOV-037</v>
      </c>
      <c r="AL23" s="22" t="s">
        <v>78</v>
      </c>
      <c r="AM23" s="22"/>
      <c r="AN23" s="22"/>
      <c r="AO23" s="22"/>
      <c r="AP23" s="22"/>
      <c r="AQ23" s="16"/>
      <c r="AR23" s="11"/>
      <c r="AS23" s="22"/>
      <c r="AT23" s="22"/>
      <c r="AU23" s="22"/>
      <c r="AV23" s="22"/>
      <c r="AW23" s="22"/>
      <c r="AX23" s="22"/>
      <c r="AY23" s="7"/>
      <c r="AZ23" s="7"/>
      <c r="BA23" s="7"/>
      <c r="BB23" s="7"/>
      <c r="BC23" s="7"/>
      <c r="BD23" s="7"/>
      <c r="BE23" s="7"/>
      <c r="BF23" s="7"/>
      <c r="BG23" s="7"/>
    </row>
    <row r="24">
      <c r="A24" s="5">
        <v>1334.0</v>
      </c>
      <c r="B24" s="6" t="s">
        <v>465</v>
      </c>
      <c r="C24" s="7" t="str">
        <f t="shared" si="1"/>
        <v>TK-27_BS VI HSD</v>
      </c>
      <c r="D24" s="17" t="s">
        <v>396</v>
      </c>
      <c r="E24" s="7"/>
      <c r="F24" s="18" t="s">
        <v>171</v>
      </c>
      <c r="G24" s="11" t="s">
        <v>524</v>
      </c>
      <c r="H24" s="13">
        <v>0.0</v>
      </c>
      <c r="I24" s="11"/>
      <c r="J24" s="11"/>
      <c r="K24" s="11" t="s">
        <v>525</v>
      </c>
      <c r="L24" s="13">
        <v>0.0</v>
      </c>
      <c r="M24" s="7" t="str">
        <f t="shared" si="2"/>
        <v>LSW-14</v>
      </c>
      <c r="N24" s="7" t="s">
        <v>58</v>
      </c>
      <c r="O24" s="11" t="s">
        <v>526</v>
      </c>
      <c r="P24" s="13">
        <v>0.0</v>
      </c>
      <c r="Q24" s="7" t="str">
        <f t="shared" si="3"/>
        <v>RDR-14</v>
      </c>
      <c r="R24" s="7" t="s">
        <v>63</v>
      </c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19" t="s">
        <v>527</v>
      </c>
      <c r="AJ24" s="11"/>
      <c r="AK24" s="22" t="str">
        <f t="shared" si="4"/>
        <v>MOV-040</v>
      </c>
      <c r="AL24" s="22" t="s">
        <v>78</v>
      </c>
      <c r="AM24" s="22"/>
      <c r="AN24" s="22"/>
      <c r="AO24" s="22"/>
      <c r="AP24" s="22"/>
      <c r="AQ24" s="16"/>
      <c r="AR24" s="11"/>
      <c r="AS24" s="22"/>
      <c r="AT24" s="22"/>
      <c r="AU24" s="22"/>
      <c r="AV24" s="22"/>
      <c r="AW24" s="22"/>
      <c r="AX24" s="22"/>
      <c r="AY24" s="7"/>
      <c r="AZ24" s="7"/>
      <c r="BA24" s="7"/>
      <c r="BB24" s="7"/>
      <c r="BC24" s="7"/>
      <c r="BD24" s="7"/>
      <c r="BE24" s="7"/>
      <c r="BF24" s="7"/>
      <c r="BG24" s="7"/>
    </row>
    <row r="25">
      <c r="A25" s="5">
        <v>1334.0</v>
      </c>
      <c r="B25" s="6" t="s">
        <v>465</v>
      </c>
      <c r="C25" s="7" t="str">
        <f t="shared" si="1"/>
        <v>TK-28_BS VI HSD</v>
      </c>
      <c r="D25" s="17" t="s">
        <v>418</v>
      </c>
      <c r="E25" s="7"/>
      <c r="F25" s="18" t="s">
        <v>171</v>
      </c>
      <c r="G25" s="11" t="s">
        <v>528</v>
      </c>
      <c r="H25" s="13">
        <v>0.0</v>
      </c>
      <c r="I25" s="11"/>
      <c r="J25" s="11"/>
      <c r="K25" s="11" t="s">
        <v>529</v>
      </c>
      <c r="L25" s="13">
        <v>0.0</v>
      </c>
      <c r="M25" s="7" t="str">
        <f t="shared" si="2"/>
        <v>LSW-15</v>
      </c>
      <c r="N25" s="7" t="s">
        <v>58</v>
      </c>
      <c r="O25" s="11" t="s">
        <v>530</v>
      </c>
      <c r="P25" s="13">
        <v>0.0</v>
      </c>
      <c r="Q25" s="7" t="str">
        <f t="shared" si="3"/>
        <v>RDR-15</v>
      </c>
      <c r="R25" s="7" t="s">
        <v>63</v>
      </c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19" t="s">
        <v>531</v>
      </c>
      <c r="AJ25" s="13">
        <v>0.0</v>
      </c>
      <c r="AK25" s="22" t="str">
        <f t="shared" si="4"/>
        <v>MOV-043</v>
      </c>
      <c r="AL25" s="22" t="s">
        <v>78</v>
      </c>
      <c r="AM25" s="22"/>
      <c r="AN25" s="22"/>
      <c r="AO25" s="22"/>
      <c r="AP25" s="22"/>
      <c r="AQ25" s="16"/>
      <c r="AR25" s="11"/>
      <c r="AS25" s="22"/>
      <c r="AT25" s="22"/>
      <c r="AU25" s="22"/>
      <c r="AV25" s="22"/>
      <c r="AW25" s="22"/>
      <c r="AX25" s="22"/>
      <c r="AY25" s="7"/>
      <c r="AZ25" s="7"/>
      <c r="BA25" s="7"/>
      <c r="BB25" s="7"/>
      <c r="BC25" s="7"/>
      <c r="BD25" s="7"/>
      <c r="BE25" s="7"/>
      <c r="BF25" s="7"/>
      <c r="BG25" s="7"/>
    </row>
    <row r="26">
      <c r="A26" s="5">
        <v>1334.0</v>
      </c>
      <c r="B26" s="6" t="s">
        <v>465</v>
      </c>
      <c r="C26" s="7" t="str">
        <f t="shared" si="1"/>
        <v>TK-29_WATER</v>
      </c>
      <c r="D26" s="17" t="s">
        <v>440</v>
      </c>
      <c r="E26" s="7"/>
      <c r="F26" s="18" t="s">
        <v>187</v>
      </c>
      <c r="G26" s="11"/>
      <c r="H26" s="11"/>
      <c r="I26" s="11"/>
      <c r="J26" s="11"/>
      <c r="K26" s="11"/>
      <c r="L26" s="11"/>
      <c r="M26" s="7"/>
      <c r="N26" s="7"/>
      <c r="O26" s="7"/>
      <c r="P26" s="7"/>
      <c r="Q26" s="7" t="str">
        <f t="shared" si="3"/>
        <v/>
      </c>
      <c r="R26" s="7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 t="str">
        <f t="shared" si="4"/>
        <v/>
      </c>
      <c r="AL26" s="22"/>
      <c r="AM26" s="22"/>
      <c r="AN26" s="22"/>
      <c r="AO26" s="22"/>
      <c r="AP26" s="22"/>
      <c r="AQ26" s="16"/>
      <c r="AR26" s="11"/>
      <c r="AS26" s="22"/>
      <c r="AT26" s="22"/>
      <c r="AU26" s="22"/>
      <c r="AV26" s="22"/>
      <c r="AW26" s="22"/>
      <c r="AX26" s="22"/>
      <c r="AY26" s="7"/>
      <c r="AZ26" s="7"/>
      <c r="BA26" s="7"/>
      <c r="BB26" s="7"/>
      <c r="BC26" s="7"/>
      <c r="BD26" s="7"/>
      <c r="BE26" s="7"/>
      <c r="BF26" s="7"/>
      <c r="BG26" s="7"/>
    </row>
    <row r="27">
      <c r="A27" s="5">
        <v>1334.0</v>
      </c>
      <c r="B27" s="6" t="s">
        <v>465</v>
      </c>
      <c r="C27" s="7" t="str">
        <f t="shared" si="1"/>
        <v>TK-30_WATER</v>
      </c>
      <c r="D27" s="17" t="s">
        <v>443</v>
      </c>
      <c r="E27" s="7"/>
      <c r="F27" s="18" t="s">
        <v>187</v>
      </c>
      <c r="G27" s="11"/>
      <c r="H27" s="11"/>
      <c r="I27" s="11"/>
      <c r="J27" s="11"/>
      <c r="K27" s="11"/>
      <c r="L27" s="11"/>
      <c r="M27" s="7"/>
      <c r="N27" s="7"/>
      <c r="O27" s="7"/>
      <c r="P27" s="7"/>
      <c r="Q27" s="7" t="str">
        <f t="shared" si="3"/>
        <v/>
      </c>
      <c r="R27" s="7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 t="str">
        <f t="shared" si="4"/>
        <v/>
      </c>
      <c r="AL27" s="22"/>
      <c r="AM27" s="22"/>
      <c r="AN27" s="22"/>
      <c r="AO27" s="22"/>
      <c r="AP27" s="22"/>
      <c r="AQ27" s="16"/>
      <c r="AR27" s="11"/>
      <c r="AS27" s="22"/>
      <c r="AT27" s="22"/>
      <c r="AU27" s="22"/>
      <c r="AV27" s="22"/>
      <c r="AW27" s="22"/>
      <c r="AX27" s="22"/>
      <c r="AY27" s="7"/>
      <c r="AZ27" s="7"/>
      <c r="BA27" s="7"/>
      <c r="BB27" s="7"/>
      <c r="BC27" s="7"/>
      <c r="BD27" s="7"/>
      <c r="BE27" s="7"/>
      <c r="BF27" s="7"/>
      <c r="BG27" s="7"/>
    </row>
    <row r="28">
      <c r="A28" s="5">
        <v>1334.0</v>
      </c>
      <c r="B28" s="6" t="s">
        <v>465</v>
      </c>
      <c r="C28" s="7" t="str">
        <f t="shared" si="1"/>
        <v>TK-32_ETHANOL</v>
      </c>
      <c r="D28" s="17" t="s">
        <v>446</v>
      </c>
      <c r="E28" s="7"/>
      <c r="F28" s="18" t="s">
        <v>104</v>
      </c>
      <c r="G28" s="11" t="s">
        <v>532</v>
      </c>
      <c r="H28" s="13">
        <v>0.0</v>
      </c>
      <c r="I28" s="11"/>
      <c r="J28" s="11"/>
      <c r="K28" s="11"/>
      <c r="L28" s="11"/>
      <c r="M28" s="7"/>
      <c r="N28" s="7"/>
      <c r="O28" s="7"/>
      <c r="P28" s="7"/>
      <c r="Q28" s="7" t="str">
        <f t="shared" si="3"/>
        <v/>
      </c>
      <c r="R28" s="7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 t="str">
        <f t="shared" si="4"/>
        <v/>
      </c>
      <c r="AL28" s="22"/>
      <c r="AM28" s="22"/>
      <c r="AN28" s="22"/>
      <c r="AO28" s="22"/>
      <c r="AP28" s="22"/>
      <c r="AQ28" s="16"/>
      <c r="AR28" s="11"/>
      <c r="AS28" s="22"/>
      <c r="AT28" s="22"/>
      <c r="AU28" s="22"/>
      <c r="AV28" s="22"/>
      <c r="AW28" s="22"/>
      <c r="AX28" s="22"/>
      <c r="AY28" s="7"/>
      <c r="AZ28" s="7"/>
      <c r="BA28" s="7"/>
      <c r="BB28" s="7"/>
      <c r="BC28" s="7"/>
      <c r="BD28" s="7"/>
      <c r="BE28" s="7"/>
      <c r="BF28" s="7"/>
      <c r="BG28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</v>
      </c>
      <c r="C1" s="23" t="s">
        <v>2</v>
      </c>
      <c r="D1" s="23" t="s">
        <v>533</v>
      </c>
      <c r="E1" s="23" t="s">
        <v>534</v>
      </c>
      <c r="F1" s="24"/>
      <c r="G1" s="23" t="s">
        <v>535</v>
      </c>
      <c r="H1" s="1" t="s">
        <v>536</v>
      </c>
      <c r="I1" s="25" t="s">
        <v>537</v>
      </c>
      <c r="J1" s="26" t="s">
        <v>538</v>
      </c>
      <c r="K1" s="26" t="s">
        <v>8</v>
      </c>
      <c r="L1" s="26" t="s">
        <v>9</v>
      </c>
      <c r="M1" s="25" t="s">
        <v>539</v>
      </c>
      <c r="N1" s="26" t="s">
        <v>540</v>
      </c>
      <c r="O1" s="26" t="s">
        <v>8</v>
      </c>
      <c r="P1" s="26" t="s">
        <v>9</v>
      </c>
      <c r="Q1" s="25" t="s">
        <v>541</v>
      </c>
      <c r="R1" s="26" t="s">
        <v>542</v>
      </c>
      <c r="S1" s="26" t="s">
        <v>8</v>
      </c>
      <c r="T1" s="26" t="s">
        <v>9</v>
      </c>
      <c r="U1" s="27" t="s">
        <v>543</v>
      </c>
      <c r="V1" s="28" t="s">
        <v>13</v>
      </c>
      <c r="W1" s="26" t="s">
        <v>8</v>
      </c>
      <c r="X1" s="26" t="s">
        <v>9</v>
      </c>
      <c r="Y1" s="7"/>
      <c r="Z1" s="7"/>
      <c r="AA1" s="7"/>
      <c r="AB1" s="7"/>
      <c r="AC1" s="7"/>
      <c r="AD1" s="7"/>
      <c r="AE1" s="7"/>
      <c r="AF1" s="7"/>
      <c r="AG1" s="7"/>
      <c r="AH1" s="7"/>
    </row>
    <row r="2">
      <c r="A2" s="5">
        <v>1334.0</v>
      </c>
      <c r="B2" s="6" t="s">
        <v>47</v>
      </c>
      <c r="C2" s="29" t="str">
        <f t="shared" ref="C2:C31" si="1">CONCATENATE(D2,"_",E2)</f>
        <v>ADTV-PMP-01_POWERMS</v>
      </c>
      <c r="D2" s="29" t="s">
        <v>544</v>
      </c>
      <c r="E2" s="29" t="s">
        <v>545</v>
      </c>
      <c r="F2" s="7"/>
      <c r="G2" s="29" t="s">
        <v>546</v>
      </c>
      <c r="H2" s="7"/>
      <c r="I2" s="30" t="s">
        <v>547</v>
      </c>
      <c r="J2" s="30">
        <v>1.0</v>
      </c>
      <c r="K2" s="31"/>
      <c r="L2" s="31"/>
      <c r="M2" s="30" t="s">
        <v>548</v>
      </c>
      <c r="N2" s="32">
        <v>0.0</v>
      </c>
      <c r="O2" s="15"/>
      <c r="P2" s="15"/>
      <c r="Q2" s="30" t="s">
        <v>549</v>
      </c>
      <c r="R2" s="32">
        <v>0.0</v>
      </c>
      <c r="S2" s="15"/>
      <c r="T2" s="15"/>
      <c r="U2" s="30" t="s">
        <v>550</v>
      </c>
      <c r="V2" s="32">
        <v>0.0</v>
      </c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>
      <c r="A3" s="5">
        <v>1334.0</v>
      </c>
      <c r="B3" s="6" t="s">
        <v>47</v>
      </c>
      <c r="C3" s="29" t="str">
        <f t="shared" si="1"/>
        <v>ADTV-PMP-02_POWERMS</v>
      </c>
      <c r="D3" s="29" t="s">
        <v>551</v>
      </c>
      <c r="E3" s="29" t="s">
        <v>545</v>
      </c>
      <c r="F3" s="7"/>
      <c r="G3" s="29" t="s">
        <v>546</v>
      </c>
      <c r="H3" s="7"/>
      <c r="I3" s="33" t="s">
        <v>552</v>
      </c>
      <c r="J3" s="33">
        <v>1.0</v>
      </c>
      <c r="K3" s="16"/>
      <c r="L3" s="16"/>
      <c r="M3" s="33" t="s">
        <v>553</v>
      </c>
      <c r="N3" s="34">
        <v>0.0</v>
      </c>
      <c r="O3" s="11"/>
      <c r="P3" s="11"/>
      <c r="Q3" s="33" t="s">
        <v>554</v>
      </c>
      <c r="R3" s="34">
        <v>0.0</v>
      </c>
      <c r="S3" s="11"/>
      <c r="T3" s="11"/>
      <c r="U3" s="33" t="s">
        <v>555</v>
      </c>
      <c r="V3" s="34">
        <v>0.0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</row>
    <row r="4">
      <c r="A4" s="5">
        <v>1334.0</v>
      </c>
      <c r="B4" s="6" t="s">
        <v>47</v>
      </c>
      <c r="C4" s="29" t="str">
        <f t="shared" si="1"/>
        <v>ADTV-PMP-03_TURBOHSD</v>
      </c>
      <c r="D4" s="29" t="s">
        <v>556</v>
      </c>
      <c r="E4" s="29" t="s">
        <v>557</v>
      </c>
      <c r="F4" s="7"/>
      <c r="G4" s="29" t="s">
        <v>546</v>
      </c>
      <c r="H4" s="7"/>
      <c r="I4" s="33" t="s">
        <v>558</v>
      </c>
      <c r="J4" s="33">
        <v>1.0</v>
      </c>
      <c r="K4" s="16"/>
      <c r="L4" s="16"/>
      <c r="M4" s="33" t="s">
        <v>559</v>
      </c>
      <c r="N4" s="34">
        <v>0.0</v>
      </c>
      <c r="O4" s="11"/>
      <c r="P4" s="11"/>
      <c r="Q4" s="33" t="s">
        <v>560</v>
      </c>
      <c r="R4" s="34">
        <v>0.0</v>
      </c>
      <c r="S4" s="11"/>
      <c r="T4" s="11"/>
      <c r="U4" s="33" t="s">
        <v>561</v>
      </c>
      <c r="V4" s="34">
        <v>0.0</v>
      </c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</row>
    <row r="5">
      <c r="A5" s="5">
        <v>1334.0</v>
      </c>
      <c r="B5" s="6" t="s">
        <v>47</v>
      </c>
      <c r="C5" s="29" t="str">
        <f t="shared" si="1"/>
        <v>ADTV-PMP-04_TURBOHSD</v>
      </c>
      <c r="D5" s="29" t="s">
        <v>562</v>
      </c>
      <c r="E5" s="29" t="s">
        <v>557</v>
      </c>
      <c r="F5" s="7"/>
      <c r="G5" s="29" t="s">
        <v>546</v>
      </c>
      <c r="H5" s="7"/>
      <c r="I5" s="33" t="s">
        <v>563</v>
      </c>
      <c r="J5" s="33">
        <v>1.0</v>
      </c>
      <c r="K5" s="16"/>
      <c r="L5" s="16"/>
      <c r="M5" s="33" t="s">
        <v>564</v>
      </c>
      <c r="N5" s="34">
        <v>0.0</v>
      </c>
      <c r="O5" s="11"/>
      <c r="P5" s="11"/>
      <c r="Q5" s="33" t="s">
        <v>565</v>
      </c>
      <c r="R5" s="34">
        <v>0.0</v>
      </c>
      <c r="S5" s="11"/>
      <c r="T5" s="11"/>
      <c r="U5" s="33" t="s">
        <v>566</v>
      </c>
      <c r="V5" s="34">
        <v>0.0</v>
      </c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</row>
    <row r="6">
      <c r="A6" s="5">
        <v>1334.0</v>
      </c>
      <c r="B6" s="6" t="s">
        <v>47</v>
      </c>
      <c r="C6" s="29" t="str">
        <f t="shared" si="1"/>
        <v>PMP-01_ETHANOL</v>
      </c>
      <c r="D6" s="17" t="s">
        <v>567</v>
      </c>
      <c r="E6" s="17" t="s">
        <v>104</v>
      </c>
      <c r="F6" s="7"/>
      <c r="G6" s="17" t="s">
        <v>546</v>
      </c>
      <c r="H6" s="7"/>
      <c r="I6" s="33" t="s">
        <v>568</v>
      </c>
      <c r="J6" s="33">
        <v>1.0</v>
      </c>
      <c r="K6" s="16"/>
      <c r="L6" s="16"/>
      <c r="M6" s="33" t="s">
        <v>569</v>
      </c>
      <c r="N6" s="33">
        <v>0.0</v>
      </c>
      <c r="O6" s="16"/>
      <c r="P6" s="16"/>
      <c r="Q6" s="33" t="s">
        <v>570</v>
      </c>
      <c r="R6" s="33">
        <v>0.0</v>
      </c>
      <c r="S6" s="16"/>
      <c r="T6" s="16"/>
      <c r="U6" s="33" t="s">
        <v>571</v>
      </c>
      <c r="V6" s="33">
        <v>0.0</v>
      </c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</row>
    <row r="7">
      <c r="A7" s="5">
        <v>1334.0</v>
      </c>
      <c r="B7" s="6" t="s">
        <v>47</v>
      </c>
      <c r="C7" s="29" t="str">
        <f t="shared" si="1"/>
        <v>PMP-02_ETHANOL</v>
      </c>
      <c r="D7" s="17" t="s">
        <v>572</v>
      </c>
      <c r="E7" s="17" t="s">
        <v>104</v>
      </c>
      <c r="F7" s="7"/>
      <c r="G7" s="17" t="s">
        <v>546</v>
      </c>
      <c r="H7" s="7"/>
      <c r="I7" s="33" t="s">
        <v>573</v>
      </c>
      <c r="J7" s="33">
        <v>1.0</v>
      </c>
      <c r="K7" s="16"/>
      <c r="L7" s="16"/>
      <c r="M7" s="33" t="s">
        <v>574</v>
      </c>
      <c r="N7" s="33">
        <v>0.0</v>
      </c>
      <c r="O7" s="16"/>
      <c r="P7" s="16"/>
      <c r="Q7" s="33" t="s">
        <v>575</v>
      </c>
      <c r="R7" s="33">
        <v>0.0</v>
      </c>
      <c r="S7" s="16"/>
      <c r="T7" s="16"/>
      <c r="U7" s="33" t="s">
        <v>576</v>
      </c>
      <c r="V7" s="33">
        <v>0.0</v>
      </c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</row>
    <row r="8">
      <c r="A8" s="5">
        <v>1334.0</v>
      </c>
      <c r="B8" s="6" t="s">
        <v>47</v>
      </c>
      <c r="C8" s="29" t="str">
        <f t="shared" si="1"/>
        <v>PMP-03_ETHANOL</v>
      </c>
      <c r="D8" s="17" t="s">
        <v>577</v>
      </c>
      <c r="E8" s="17" t="s">
        <v>104</v>
      </c>
      <c r="F8" s="7"/>
      <c r="G8" s="17" t="s">
        <v>546</v>
      </c>
      <c r="H8" s="7"/>
      <c r="I8" s="33" t="s">
        <v>578</v>
      </c>
      <c r="J8" s="33">
        <v>1.0</v>
      </c>
      <c r="K8" s="16"/>
      <c r="L8" s="16"/>
      <c r="M8" s="33" t="s">
        <v>579</v>
      </c>
      <c r="N8" s="33">
        <v>0.0</v>
      </c>
      <c r="O8" s="16"/>
      <c r="P8" s="16"/>
      <c r="Q8" s="33" t="s">
        <v>580</v>
      </c>
      <c r="R8" s="33">
        <v>0.0</v>
      </c>
      <c r="S8" s="16"/>
      <c r="T8" s="16"/>
      <c r="U8" s="33" t="s">
        <v>581</v>
      </c>
      <c r="V8" s="33">
        <v>0.0</v>
      </c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</row>
    <row r="9">
      <c r="A9" s="5">
        <v>1334.0</v>
      </c>
      <c r="B9" s="6" t="s">
        <v>47</v>
      </c>
      <c r="C9" s="29" t="str">
        <f t="shared" si="1"/>
        <v>PMP-04_WATER</v>
      </c>
      <c r="D9" s="17" t="s">
        <v>582</v>
      </c>
      <c r="E9" s="17" t="s">
        <v>187</v>
      </c>
      <c r="F9" s="7"/>
      <c r="G9" s="17" t="s">
        <v>546</v>
      </c>
      <c r="H9" s="7"/>
      <c r="I9" s="33" t="s">
        <v>583</v>
      </c>
      <c r="J9" s="33">
        <v>1.0</v>
      </c>
      <c r="K9" s="16"/>
      <c r="L9" s="16"/>
      <c r="M9" s="33" t="s">
        <v>584</v>
      </c>
      <c r="N9" s="33">
        <v>0.0</v>
      </c>
      <c r="O9" s="16"/>
      <c r="P9" s="16"/>
      <c r="Q9" s="33" t="s">
        <v>585</v>
      </c>
      <c r="R9" s="33">
        <v>0.0</v>
      </c>
      <c r="S9" s="16"/>
      <c r="T9" s="16"/>
      <c r="U9" s="33" t="s">
        <v>586</v>
      </c>
      <c r="V9" s="33">
        <v>0.0</v>
      </c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</row>
    <row r="10">
      <c r="A10" s="5">
        <v>1334.0</v>
      </c>
      <c r="B10" s="6" t="s">
        <v>47</v>
      </c>
      <c r="C10" s="29" t="str">
        <f t="shared" si="1"/>
        <v>PMP-05_WATER</v>
      </c>
      <c r="D10" s="17" t="s">
        <v>587</v>
      </c>
      <c r="E10" s="17" t="s">
        <v>187</v>
      </c>
      <c r="F10" s="7"/>
      <c r="G10" s="17" t="s">
        <v>546</v>
      </c>
      <c r="H10" s="7"/>
      <c r="I10" s="33" t="s">
        <v>588</v>
      </c>
      <c r="J10" s="33">
        <v>1.0</v>
      </c>
      <c r="K10" s="16"/>
      <c r="L10" s="16"/>
      <c r="M10" s="33" t="s">
        <v>589</v>
      </c>
      <c r="N10" s="33">
        <v>0.0</v>
      </c>
      <c r="O10" s="16"/>
      <c r="P10" s="16"/>
      <c r="Q10" s="33" t="s">
        <v>590</v>
      </c>
      <c r="R10" s="33">
        <v>0.0</v>
      </c>
      <c r="S10" s="16"/>
      <c r="T10" s="16"/>
      <c r="U10" s="33" t="s">
        <v>591</v>
      </c>
      <c r="V10" s="33">
        <v>0.0</v>
      </c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</row>
    <row r="11">
      <c r="A11" s="5">
        <v>1334.0</v>
      </c>
      <c r="B11" s="6" t="s">
        <v>47</v>
      </c>
      <c r="C11" s="29" t="str">
        <f t="shared" si="1"/>
        <v>PMP-06_BS VI MS</v>
      </c>
      <c r="D11" s="17" t="s">
        <v>592</v>
      </c>
      <c r="E11" s="17" t="s">
        <v>49</v>
      </c>
      <c r="F11" s="7"/>
      <c r="G11" s="17" t="s">
        <v>546</v>
      </c>
      <c r="H11" s="7"/>
      <c r="I11" s="33" t="s">
        <v>593</v>
      </c>
      <c r="J11" s="33">
        <v>1.0</v>
      </c>
      <c r="K11" s="16"/>
      <c r="L11" s="16"/>
      <c r="M11" s="33" t="s">
        <v>594</v>
      </c>
      <c r="N11" s="33">
        <v>0.0</v>
      </c>
      <c r="O11" s="16"/>
      <c r="P11" s="16"/>
      <c r="Q11" s="33" t="s">
        <v>595</v>
      </c>
      <c r="R11" s="33">
        <v>0.0</v>
      </c>
      <c r="S11" s="16"/>
      <c r="T11" s="16"/>
      <c r="U11" s="33" t="s">
        <v>596</v>
      </c>
      <c r="V11" s="33">
        <v>0.0</v>
      </c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</row>
    <row r="12">
      <c r="A12" s="5">
        <v>1334.0</v>
      </c>
      <c r="B12" s="6" t="s">
        <v>47</v>
      </c>
      <c r="C12" s="29" t="str">
        <f t="shared" si="1"/>
        <v>PMP-07_BS VI MS</v>
      </c>
      <c r="D12" s="17" t="s">
        <v>597</v>
      </c>
      <c r="E12" s="17" t="s">
        <v>49</v>
      </c>
      <c r="F12" s="7"/>
      <c r="G12" s="17" t="s">
        <v>546</v>
      </c>
      <c r="H12" s="7"/>
      <c r="I12" s="33" t="s">
        <v>598</v>
      </c>
      <c r="J12" s="33">
        <v>1.0</v>
      </c>
      <c r="K12" s="16"/>
      <c r="L12" s="16"/>
      <c r="M12" s="33" t="s">
        <v>599</v>
      </c>
      <c r="N12" s="33">
        <v>0.0</v>
      </c>
      <c r="O12" s="16"/>
      <c r="P12" s="16"/>
      <c r="Q12" s="33" t="s">
        <v>600</v>
      </c>
      <c r="R12" s="33">
        <v>0.0</v>
      </c>
      <c r="S12" s="16"/>
      <c r="T12" s="16"/>
      <c r="U12" s="33" t="s">
        <v>601</v>
      </c>
      <c r="V12" s="33">
        <v>0.0</v>
      </c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</row>
    <row r="13">
      <c r="A13" s="5">
        <v>1334.0</v>
      </c>
      <c r="B13" s="6" t="s">
        <v>47</v>
      </c>
      <c r="C13" s="29" t="str">
        <f t="shared" si="1"/>
        <v>PMP-08_BS VI MS</v>
      </c>
      <c r="D13" s="17" t="s">
        <v>602</v>
      </c>
      <c r="E13" s="17" t="s">
        <v>49</v>
      </c>
      <c r="F13" s="7"/>
      <c r="G13" s="17" t="s">
        <v>546</v>
      </c>
      <c r="H13" s="7"/>
      <c r="I13" s="33" t="s">
        <v>603</v>
      </c>
      <c r="J13" s="33">
        <v>1.0</v>
      </c>
      <c r="K13" s="16"/>
      <c r="L13" s="16"/>
      <c r="M13" s="33" t="s">
        <v>604</v>
      </c>
      <c r="N13" s="33">
        <v>0.0</v>
      </c>
      <c r="O13" s="16"/>
      <c r="P13" s="16"/>
      <c r="Q13" s="33" t="s">
        <v>605</v>
      </c>
      <c r="R13" s="33">
        <v>0.0</v>
      </c>
      <c r="S13" s="16"/>
      <c r="T13" s="16"/>
      <c r="U13" s="33" t="s">
        <v>606</v>
      </c>
      <c r="V13" s="33">
        <v>0.0</v>
      </c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>
      <c r="A14" s="5">
        <v>1334.0</v>
      </c>
      <c r="B14" s="6" t="s">
        <v>47</v>
      </c>
      <c r="C14" s="29" t="str">
        <f t="shared" si="1"/>
        <v>PMP-09_BS VI HSD</v>
      </c>
      <c r="D14" s="17" t="s">
        <v>607</v>
      </c>
      <c r="E14" s="17" t="s">
        <v>171</v>
      </c>
      <c r="F14" s="7"/>
      <c r="G14" s="17" t="s">
        <v>546</v>
      </c>
      <c r="H14" s="7"/>
      <c r="I14" s="33" t="s">
        <v>608</v>
      </c>
      <c r="J14" s="33">
        <v>1.0</v>
      </c>
      <c r="K14" s="16"/>
      <c r="L14" s="16"/>
      <c r="M14" s="33" t="s">
        <v>609</v>
      </c>
      <c r="N14" s="33">
        <v>0.0</v>
      </c>
      <c r="O14" s="16"/>
      <c r="P14" s="16"/>
      <c r="Q14" s="33" t="s">
        <v>610</v>
      </c>
      <c r="R14" s="33">
        <v>0.0</v>
      </c>
      <c r="S14" s="16"/>
      <c r="T14" s="16"/>
      <c r="U14" s="33" t="s">
        <v>611</v>
      </c>
      <c r="V14" s="33">
        <v>0.0</v>
      </c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>
      <c r="A15" s="5">
        <v>1334.0</v>
      </c>
      <c r="B15" s="6" t="s">
        <v>47</v>
      </c>
      <c r="C15" s="29" t="str">
        <f t="shared" si="1"/>
        <v>PMP-10_BS VI HSD</v>
      </c>
      <c r="D15" s="17" t="s">
        <v>612</v>
      </c>
      <c r="E15" s="17" t="s">
        <v>171</v>
      </c>
      <c r="F15" s="7"/>
      <c r="G15" s="17" t="s">
        <v>546</v>
      </c>
      <c r="H15" s="7"/>
      <c r="I15" s="33" t="s">
        <v>613</v>
      </c>
      <c r="J15" s="33">
        <v>1.0</v>
      </c>
      <c r="K15" s="16"/>
      <c r="L15" s="16"/>
      <c r="M15" s="33" t="s">
        <v>614</v>
      </c>
      <c r="N15" s="33">
        <v>0.0</v>
      </c>
      <c r="O15" s="16"/>
      <c r="P15" s="16"/>
      <c r="Q15" s="33" t="s">
        <v>615</v>
      </c>
      <c r="R15" s="33">
        <v>0.0</v>
      </c>
      <c r="S15" s="16"/>
      <c r="T15" s="16"/>
      <c r="U15" s="33" t="s">
        <v>616</v>
      </c>
      <c r="V15" s="33">
        <v>0.0</v>
      </c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>
      <c r="A16" s="5">
        <v>1334.0</v>
      </c>
      <c r="B16" s="6" t="s">
        <v>47</v>
      </c>
      <c r="C16" s="29" t="str">
        <f t="shared" si="1"/>
        <v>PMP-11_BS VI HSD</v>
      </c>
      <c r="D16" s="17" t="s">
        <v>617</v>
      </c>
      <c r="E16" s="17" t="s">
        <v>171</v>
      </c>
      <c r="F16" s="7"/>
      <c r="G16" s="17" t="s">
        <v>546</v>
      </c>
      <c r="H16" s="7"/>
      <c r="I16" s="33" t="s">
        <v>618</v>
      </c>
      <c r="J16" s="33">
        <v>1.0</v>
      </c>
      <c r="K16" s="16"/>
      <c r="L16" s="16"/>
      <c r="M16" s="33" t="s">
        <v>619</v>
      </c>
      <c r="N16" s="33">
        <v>0.0</v>
      </c>
      <c r="O16" s="16"/>
      <c r="P16" s="16"/>
      <c r="Q16" s="33" t="s">
        <v>620</v>
      </c>
      <c r="R16" s="33">
        <v>0.0</v>
      </c>
      <c r="S16" s="16"/>
      <c r="T16" s="16"/>
      <c r="U16" s="33" t="s">
        <v>621</v>
      </c>
      <c r="V16" s="33">
        <v>0.0</v>
      </c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>
      <c r="A17" s="5">
        <v>1334.0</v>
      </c>
      <c r="B17" s="6" t="s">
        <v>47</v>
      </c>
      <c r="C17" s="29" t="str">
        <f t="shared" si="1"/>
        <v>PMP-12_BS VI HSD</v>
      </c>
      <c r="D17" s="17" t="s">
        <v>622</v>
      </c>
      <c r="E17" s="17" t="s">
        <v>171</v>
      </c>
      <c r="F17" s="7"/>
      <c r="G17" s="17" t="s">
        <v>546</v>
      </c>
      <c r="H17" s="7"/>
      <c r="I17" s="33" t="s">
        <v>623</v>
      </c>
      <c r="J17" s="33">
        <v>1.0</v>
      </c>
      <c r="K17" s="16"/>
      <c r="L17" s="16"/>
      <c r="M17" s="33" t="s">
        <v>624</v>
      </c>
      <c r="N17" s="33">
        <v>0.0</v>
      </c>
      <c r="O17" s="16"/>
      <c r="P17" s="16"/>
      <c r="Q17" s="33" t="s">
        <v>625</v>
      </c>
      <c r="R17" s="33">
        <v>0.0</v>
      </c>
      <c r="S17" s="16"/>
      <c r="T17" s="16"/>
      <c r="U17" s="33" t="s">
        <v>626</v>
      </c>
      <c r="V17" s="33">
        <v>0.0</v>
      </c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</row>
    <row r="18">
      <c r="A18" s="5">
        <v>1334.0</v>
      </c>
      <c r="B18" s="6" t="s">
        <v>47</v>
      </c>
      <c r="C18" s="29" t="str">
        <f t="shared" si="1"/>
        <v>PMP-13_BS VI HSD</v>
      </c>
      <c r="D18" s="17" t="s">
        <v>627</v>
      </c>
      <c r="E18" s="17" t="s">
        <v>171</v>
      </c>
      <c r="F18" s="7"/>
      <c r="G18" s="17" t="s">
        <v>546</v>
      </c>
      <c r="H18" s="7"/>
      <c r="I18" s="33" t="s">
        <v>628</v>
      </c>
      <c r="J18" s="33">
        <v>1.0</v>
      </c>
      <c r="K18" s="16"/>
      <c r="L18" s="16"/>
      <c r="M18" s="33" t="s">
        <v>629</v>
      </c>
      <c r="N18" s="33">
        <v>0.0</v>
      </c>
      <c r="O18" s="16"/>
      <c r="P18" s="16"/>
      <c r="Q18" s="33" t="s">
        <v>630</v>
      </c>
      <c r="R18" s="33">
        <v>0.0</v>
      </c>
      <c r="S18" s="16"/>
      <c r="T18" s="16"/>
      <c r="U18" s="33" t="s">
        <v>631</v>
      </c>
      <c r="V18" s="33">
        <v>0.0</v>
      </c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</row>
    <row r="19">
      <c r="A19" s="5">
        <v>1334.0</v>
      </c>
      <c r="B19" s="6" t="s">
        <v>47</v>
      </c>
      <c r="C19" s="29" t="str">
        <f t="shared" si="1"/>
        <v>PMP-18_ETHANOL</v>
      </c>
      <c r="D19" s="17" t="s">
        <v>632</v>
      </c>
      <c r="E19" s="17" t="s">
        <v>104</v>
      </c>
      <c r="F19" s="7"/>
      <c r="G19" s="17" t="s">
        <v>546</v>
      </c>
      <c r="H19" s="7"/>
      <c r="I19" s="33" t="s">
        <v>633</v>
      </c>
      <c r="J19" s="33">
        <v>1.0</v>
      </c>
      <c r="K19" s="16"/>
      <c r="L19" s="16"/>
      <c r="M19" s="33" t="s">
        <v>634</v>
      </c>
      <c r="N19" s="33">
        <v>0.0</v>
      </c>
      <c r="O19" s="16"/>
      <c r="P19" s="16"/>
      <c r="Q19" s="33" t="s">
        <v>635</v>
      </c>
      <c r="R19" s="33">
        <v>0.0</v>
      </c>
      <c r="S19" s="16"/>
      <c r="T19" s="16"/>
      <c r="U19" s="33" t="s">
        <v>636</v>
      </c>
      <c r="V19" s="33">
        <v>0.0</v>
      </c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>
      <c r="A20" s="5">
        <v>1334.0</v>
      </c>
      <c r="B20" s="6" t="s">
        <v>47</v>
      </c>
      <c r="C20" s="29" t="str">
        <f t="shared" si="1"/>
        <v>PMP-19_ETHANOL</v>
      </c>
      <c r="D20" s="17" t="s">
        <v>637</v>
      </c>
      <c r="E20" s="17" t="s">
        <v>104</v>
      </c>
      <c r="F20" s="7"/>
      <c r="G20" s="17" t="s">
        <v>546</v>
      </c>
      <c r="H20" s="7"/>
      <c r="I20" s="33" t="s">
        <v>638</v>
      </c>
      <c r="J20" s="33">
        <v>1.0</v>
      </c>
      <c r="K20" s="16"/>
      <c r="L20" s="16"/>
      <c r="M20" s="33" t="s">
        <v>639</v>
      </c>
      <c r="N20" s="33">
        <v>0.0</v>
      </c>
      <c r="O20" s="16"/>
      <c r="P20" s="16"/>
      <c r="Q20" s="33" t="s">
        <v>640</v>
      </c>
      <c r="R20" s="33">
        <v>0.0</v>
      </c>
      <c r="S20" s="16"/>
      <c r="T20" s="16"/>
      <c r="U20" s="33" t="s">
        <v>641</v>
      </c>
      <c r="V20" s="33">
        <v>0.0</v>
      </c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>
      <c r="A21" s="5">
        <v>1334.0</v>
      </c>
      <c r="B21" s="6" t="s">
        <v>47</v>
      </c>
      <c r="C21" s="29" t="str">
        <f t="shared" si="1"/>
        <v>PMP-20_ETHANOL</v>
      </c>
      <c r="D21" s="17" t="s">
        <v>642</v>
      </c>
      <c r="E21" s="17" t="s">
        <v>104</v>
      </c>
      <c r="F21" s="7"/>
      <c r="G21" s="17" t="s">
        <v>546</v>
      </c>
      <c r="H21" s="7"/>
      <c r="I21" s="33" t="s">
        <v>643</v>
      </c>
      <c r="J21" s="33">
        <v>1.0</v>
      </c>
      <c r="K21" s="16"/>
      <c r="L21" s="16"/>
      <c r="M21" s="33" t="s">
        <v>644</v>
      </c>
      <c r="N21" s="33">
        <v>0.0</v>
      </c>
      <c r="O21" s="16"/>
      <c r="P21" s="16"/>
      <c r="Q21" s="33" t="s">
        <v>645</v>
      </c>
      <c r="R21" s="33">
        <v>0.0</v>
      </c>
      <c r="S21" s="16"/>
      <c r="T21" s="16"/>
      <c r="U21" s="33" t="s">
        <v>646</v>
      </c>
      <c r="V21" s="33">
        <v>0.0</v>
      </c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>
      <c r="A22" s="5">
        <v>1334.0</v>
      </c>
      <c r="B22" s="6" t="s">
        <v>47</v>
      </c>
      <c r="C22" s="29" t="str">
        <f t="shared" si="1"/>
        <v>PMP-21_ETHANOL</v>
      </c>
      <c r="D22" s="17" t="s">
        <v>647</v>
      </c>
      <c r="E22" s="17" t="s">
        <v>104</v>
      </c>
      <c r="F22" s="7"/>
      <c r="G22" s="17" t="s">
        <v>546</v>
      </c>
      <c r="H22" s="7"/>
      <c r="I22" s="33" t="s">
        <v>648</v>
      </c>
      <c r="J22" s="33">
        <v>1.0</v>
      </c>
      <c r="K22" s="16"/>
      <c r="L22" s="16"/>
      <c r="M22" s="33" t="s">
        <v>649</v>
      </c>
      <c r="N22" s="33">
        <v>0.0</v>
      </c>
      <c r="O22" s="16"/>
      <c r="P22" s="16"/>
      <c r="Q22" s="33" t="s">
        <v>650</v>
      </c>
      <c r="R22" s="33">
        <v>0.0</v>
      </c>
      <c r="S22" s="16"/>
      <c r="T22" s="16"/>
      <c r="U22" s="33" t="s">
        <v>651</v>
      </c>
      <c r="V22" s="33">
        <v>0.0</v>
      </c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>
      <c r="A23" s="5">
        <v>1334.0</v>
      </c>
      <c r="B23" s="6" t="s">
        <v>47</v>
      </c>
      <c r="C23" s="29" t="str">
        <f t="shared" si="1"/>
        <v>PMP-22_ETHANOL</v>
      </c>
      <c r="D23" s="17" t="s">
        <v>652</v>
      </c>
      <c r="E23" s="17" t="s">
        <v>104</v>
      </c>
      <c r="F23" s="7"/>
      <c r="G23" s="17" t="s">
        <v>546</v>
      </c>
      <c r="H23" s="7"/>
      <c r="I23" s="33" t="s">
        <v>653</v>
      </c>
      <c r="J23" s="33">
        <v>1.0</v>
      </c>
      <c r="K23" s="16"/>
      <c r="L23" s="16"/>
      <c r="M23" s="33" t="s">
        <v>654</v>
      </c>
      <c r="N23" s="33">
        <v>0.0</v>
      </c>
      <c r="O23" s="16"/>
      <c r="P23" s="16"/>
      <c r="Q23" s="33" t="s">
        <v>655</v>
      </c>
      <c r="R23" s="33">
        <v>0.0</v>
      </c>
      <c r="S23" s="16"/>
      <c r="T23" s="16"/>
      <c r="U23" s="33" t="s">
        <v>656</v>
      </c>
      <c r="V23" s="33">
        <v>0.0</v>
      </c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  <row r="24">
      <c r="A24" s="5">
        <v>1334.0</v>
      </c>
      <c r="B24" s="6" t="s">
        <v>47</v>
      </c>
      <c r="C24" s="29" t="str">
        <f t="shared" si="1"/>
        <v>PMP-IOCL-01_BS VI MS</v>
      </c>
      <c r="D24" s="17" t="s">
        <v>657</v>
      </c>
      <c r="E24" s="17" t="s">
        <v>49</v>
      </c>
      <c r="F24" s="7"/>
      <c r="G24" s="17" t="s">
        <v>658</v>
      </c>
      <c r="H24" s="7"/>
      <c r="I24" s="33" t="s">
        <v>659</v>
      </c>
      <c r="J24" s="33">
        <v>1.0</v>
      </c>
      <c r="K24" s="16"/>
      <c r="L24" s="16"/>
      <c r="M24" s="33" t="s">
        <v>660</v>
      </c>
      <c r="N24" s="33">
        <v>0.0</v>
      </c>
      <c r="O24" s="7"/>
      <c r="P24" s="7"/>
      <c r="Q24" s="7"/>
      <c r="R24" s="7"/>
      <c r="S24" s="7"/>
      <c r="T24" s="7"/>
      <c r="U24" s="16"/>
      <c r="V24" s="16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</row>
    <row r="25">
      <c r="A25" s="5">
        <v>1334.0</v>
      </c>
      <c r="B25" s="6" t="s">
        <v>47</v>
      </c>
      <c r="C25" s="29" t="str">
        <f t="shared" si="1"/>
        <v>PMP-IOCL-02_BS VI MS</v>
      </c>
      <c r="D25" s="17" t="s">
        <v>661</v>
      </c>
      <c r="E25" s="17" t="s">
        <v>49</v>
      </c>
      <c r="F25" s="7"/>
      <c r="G25" s="17" t="s">
        <v>658</v>
      </c>
      <c r="H25" s="7"/>
      <c r="I25" s="33" t="s">
        <v>662</v>
      </c>
      <c r="J25" s="33">
        <v>1.0</v>
      </c>
      <c r="K25" s="16"/>
      <c r="L25" s="16"/>
      <c r="M25" s="33" t="s">
        <v>663</v>
      </c>
      <c r="N25" s="33">
        <v>0.0</v>
      </c>
      <c r="O25" s="7"/>
      <c r="P25" s="7"/>
      <c r="Q25" s="7"/>
      <c r="R25" s="7"/>
      <c r="S25" s="7"/>
      <c r="T25" s="7"/>
      <c r="U25" s="16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</row>
    <row r="26">
      <c r="A26" s="5">
        <v>1334.0</v>
      </c>
      <c r="B26" s="6" t="s">
        <v>47</v>
      </c>
      <c r="C26" s="29" t="str">
        <f t="shared" si="1"/>
        <v>PMP-IOCL-03_BS VI HSD</v>
      </c>
      <c r="D26" s="17" t="s">
        <v>664</v>
      </c>
      <c r="E26" s="17" t="s">
        <v>171</v>
      </c>
      <c r="F26" s="7"/>
      <c r="G26" s="17" t="s">
        <v>658</v>
      </c>
      <c r="H26" s="7"/>
      <c r="I26" s="33" t="s">
        <v>665</v>
      </c>
      <c r="J26" s="33">
        <v>1.0</v>
      </c>
      <c r="K26" s="16"/>
      <c r="L26" s="16"/>
      <c r="M26" s="33" t="s">
        <v>666</v>
      </c>
      <c r="N26" s="33">
        <v>0.0</v>
      </c>
      <c r="O26" s="7"/>
      <c r="P26" s="7"/>
      <c r="Q26" s="7"/>
      <c r="R26" s="7"/>
      <c r="S26" s="7"/>
      <c r="T26" s="7"/>
      <c r="U26" s="16"/>
      <c r="V26" s="16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</row>
    <row r="27">
      <c r="A27" s="5">
        <v>1334.0</v>
      </c>
      <c r="B27" s="6" t="s">
        <v>47</v>
      </c>
      <c r="C27" s="29" t="str">
        <f t="shared" si="1"/>
        <v>PMP-IOCL-04_BS VI HSD</v>
      </c>
      <c r="D27" s="17" t="s">
        <v>667</v>
      </c>
      <c r="E27" s="17" t="s">
        <v>171</v>
      </c>
      <c r="F27" s="7"/>
      <c r="G27" s="17" t="s">
        <v>658</v>
      </c>
      <c r="H27" s="7"/>
      <c r="I27" s="33" t="s">
        <v>668</v>
      </c>
      <c r="J27" s="33">
        <v>1.0</v>
      </c>
      <c r="K27" s="16"/>
      <c r="L27" s="16"/>
      <c r="M27" s="33" t="s">
        <v>669</v>
      </c>
      <c r="N27" s="33">
        <v>0.0</v>
      </c>
      <c r="O27" s="7"/>
      <c r="P27" s="7"/>
      <c r="Q27" s="7"/>
      <c r="R27" s="7"/>
      <c r="S27" s="7"/>
      <c r="T27" s="7"/>
      <c r="U27" s="16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</row>
    <row r="28">
      <c r="A28" s="5">
        <v>1334.0</v>
      </c>
      <c r="B28" s="6" t="s">
        <v>47</v>
      </c>
      <c r="C28" s="29" t="str">
        <f t="shared" si="1"/>
        <v>PMP-IOCL-05_BS VI HSD</v>
      </c>
      <c r="D28" s="17" t="s">
        <v>670</v>
      </c>
      <c r="E28" s="17" t="s">
        <v>171</v>
      </c>
      <c r="F28" s="7"/>
      <c r="G28" s="17" t="s">
        <v>658</v>
      </c>
      <c r="H28" s="7"/>
      <c r="I28" s="33" t="s">
        <v>671</v>
      </c>
      <c r="J28" s="33">
        <v>1.0</v>
      </c>
      <c r="K28" s="16"/>
      <c r="L28" s="16"/>
      <c r="M28" s="33" t="s">
        <v>672</v>
      </c>
      <c r="N28" s="33">
        <v>0.0</v>
      </c>
      <c r="O28" s="7"/>
      <c r="P28" s="7"/>
      <c r="Q28" s="7"/>
      <c r="R28" s="7"/>
      <c r="S28" s="7"/>
      <c r="T28" s="7"/>
      <c r="U28" s="16"/>
      <c r="V28" s="16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</row>
    <row r="29">
      <c r="A29" s="5">
        <v>1334.0</v>
      </c>
      <c r="B29" s="6" t="s">
        <v>47</v>
      </c>
      <c r="C29" s="29" t="str">
        <f t="shared" si="1"/>
        <v>PMP-IOCL-06_BS VI HSD</v>
      </c>
      <c r="D29" s="17" t="s">
        <v>673</v>
      </c>
      <c r="E29" s="17" t="s">
        <v>171</v>
      </c>
      <c r="F29" s="7"/>
      <c r="G29" s="17" t="s">
        <v>658</v>
      </c>
      <c r="H29" s="7"/>
      <c r="I29" s="33" t="s">
        <v>674</v>
      </c>
      <c r="J29" s="33">
        <v>1.0</v>
      </c>
      <c r="K29" s="16"/>
      <c r="L29" s="16"/>
      <c r="M29" s="33" t="s">
        <v>675</v>
      </c>
      <c r="N29" s="33">
        <v>0.0</v>
      </c>
      <c r="O29" s="7"/>
      <c r="P29" s="7"/>
      <c r="Q29" s="7"/>
      <c r="R29" s="7"/>
      <c r="S29" s="7"/>
      <c r="T29" s="7"/>
      <c r="U29" s="16"/>
      <c r="V29" s="16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</row>
    <row r="30">
      <c r="A30" s="5">
        <v>1334.0</v>
      </c>
      <c r="B30" s="6" t="s">
        <v>47</v>
      </c>
      <c r="C30" s="29" t="str">
        <f t="shared" si="1"/>
        <v>PMP-IOCL-07_BS VI HSD</v>
      </c>
      <c r="D30" s="17" t="s">
        <v>676</v>
      </c>
      <c r="E30" s="17" t="s">
        <v>171</v>
      </c>
      <c r="F30" s="7"/>
      <c r="G30" s="17" t="s">
        <v>658</v>
      </c>
      <c r="H30" s="7"/>
      <c r="I30" s="33" t="s">
        <v>677</v>
      </c>
      <c r="J30" s="33">
        <v>1.0</v>
      </c>
      <c r="K30" s="16"/>
      <c r="L30" s="16"/>
      <c r="M30" s="33" t="s">
        <v>678</v>
      </c>
      <c r="N30" s="33">
        <v>0.0</v>
      </c>
      <c r="O30" s="7"/>
      <c r="P30" s="7"/>
      <c r="Q30" s="7"/>
      <c r="R30" s="7"/>
      <c r="S30" s="7"/>
      <c r="T30" s="7"/>
      <c r="U30" s="16"/>
      <c r="V30" s="16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>
      <c r="A31" s="5">
        <v>1334.0</v>
      </c>
      <c r="B31" s="6" t="s">
        <v>47</v>
      </c>
      <c r="C31" s="29" t="str">
        <f t="shared" si="1"/>
        <v>VRU-PMP-01_BS IV HSD</v>
      </c>
      <c r="D31" s="17" t="s">
        <v>679</v>
      </c>
      <c r="E31" s="17" t="s">
        <v>680</v>
      </c>
      <c r="F31" s="7"/>
      <c r="G31" s="17" t="s">
        <v>681</v>
      </c>
      <c r="H31" s="7"/>
      <c r="I31" s="33" t="s">
        <v>682</v>
      </c>
      <c r="J31" s="33">
        <v>1.0</v>
      </c>
      <c r="K31" s="16"/>
      <c r="L31" s="16"/>
      <c r="M31" s="33" t="s">
        <v>683</v>
      </c>
      <c r="N31" s="33">
        <v>0.0</v>
      </c>
      <c r="O31" s="7"/>
      <c r="P31" s="7"/>
      <c r="Q31" s="7"/>
      <c r="R31" s="7"/>
      <c r="S31" s="7"/>
      <c r="T31" s="7"/>
      <c r="U31" s="33" t="s">
        <v>684</v>
      </c>
      <c r="V31" s="33">
        <v>0.0</v>
      </c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0</v>
      </c>
      <c r="B1" s="35" t="s">
        <v>1</v>
      </c>
      <c r="C1" s="35" t="s">
        <v>2</v>
      </c>
      <c r="D1" s="35" t="s">
        <v>533</v>
      </c>
      <c r="E1" s="35" t="s">
        <v>534</v>
      </c>
      <c r="F1" s="35" t="s">
        <v>535</v>
      </c>
      <c r="G1" s="35" t="s">
        <v>536</v>
      </c>
      <c r="H1" s="36" t="s">
        <v>537</v>
      </c>
      <c r="I1" s="36" t="s">
        <v>538</v>
      </c>
      <c r="J1" s="36" t="s">
        <v>8</v>
      </c>
      <c r="K1" s="36" t="s">
        <v>9</v>
      </c>
      <c r="L1" s="36" t="s">
        <v>539</v>
      </c>
      <c r="M1" s="36" t="s">
        <v>540</v>
      </c>
      <c r="N1" s="36" t="s">
        <v>8</v>
      </c>
      <c r="O1" s="36" t="s">
        <v>9</v>
      </c>
      <c r="P1" s="36" t="s">
        <v>541</v>
      </c>
      <c r="Q1" s="36" t="s">
        <v>542</v>
      </c>
      <c r="R1" s="36" t="s">
        <v>8</v>
      </c>
      <c r="S1" s="36" t="s">
        <v>9</v>
      </c>
      <c r="T1" s="36" t="s">
        <v>685</v>
      </c>
      <c r="U1" s="36" t="s">
        <v>686</v>
      </c>
      <c r="V1" s="36" t="s">
        <v>8</v>
      </c>
      <c r="W1" s="36" t="s">
        <v>9</v>
      </c>
      <c r="X1" s="36" t="s">
        <v>687</v>
      </c>
      <c r="Y1" s="36" t="s">
        <v>688</v>
      </c>
      <c r="Z1" s="36" t="s">
        <v>8</v>
      </c>
      <c r="AA1" s="36" t="s">
        <v>9</v>
      </c>
      <c r="AB1" s="36" t="s">
        <v>689</v>
      </c>
      <c r="AC1" s="36" t="s">
        <v>690</v>
      </c>
      <c r="AD1" s="36" t="s">
        <v>8</v>
      </c>
      <c r="AE1" s="36" t="s">
        <v>9</v>
      </c>
      <c r="AF1" s="36" t="s">
        <v>691</v>
      </c>
      <c r="AG1" s="36" t="s">
        <v>692</v>
      </c>
      <c r="AH1" s="36" t="s">
        <v>8</v>
      </c>
      <c r="AI1" s="36" t="s">
        <v>9</v>
      </c>
      <c r="AJ1" s="36" t="s">
        <v>693</v>
      </c>
      <c r="AK1" s="36" t="s">
        <v>694</v>
      </c>
      <c r="AL1" s="36" t="s">
        <v>8</v>
      </c>
      <c r="AM1" s="36" t="s">
        <v>9</v>
      </c>
      <c r="AN1" s="36" t="s">
        <v>695</v>
      </c>
      <c r="AO1" s="36" t="s">
        <v>696</v>
      </c>
      <c r="AP1" s="36" t="s">
        <v>8</v>
      </c>
      <c r="AQ1" s="36" t="s">
        <v>9</v>
      </c>
      <c r="AR1" s="36" t="s">
        <v>697</v>
      </c>
      <c r="AS1" s="36" t="s">
        <v>698</v>
      </c>
      <c r="AT1" s="36" t="s">
        <v>8</v>
      </c>
      <c r="AU1" s="36" t="s">
        <v>9</v>
      </c>
      <c r="AV1" s="36" t="s">
        <v>699</v>
      </c>
      <c r="AW1" s="36" t="s">
        <v>700</v>
      </c>
      <c r="AX1" s="36" t="s">
        <v>8</v>
      </c>
      <c r="AY1" s="36" t="s">
        <v>9</v>
      </c>
    </row>
    <row r="2">
      <c r="A2" s="5">
        <v>1334.0</v>
      </c>
      <c r="B2" s="6" t="s">
        <v>47</v>
      </c>
      <c r="C2" s="14" t="str">
        <f t="shared" ref="C2:C8" si="1">CONCATENATE(D2,"_",E2,"_",G2)</f>
        <v>FWP-01_Water_DISPATCH</v>
      </c>
      <c r="D2" s="37" t="s">
        <v>701</v>
      </c>
      <c r="E2" s="37" t="s">
        <v>702</v>
      </c>
      <c r="F2" s="37" t="s">
        <v>703</v>
      </c>
      <c r="G2" s="14" t="s">
        <v>704</v>
      </c>
      <c r="H2" s="33" t="s">
        <v>705</v>
      </c>
      <c r="I2" s="33">
        <v>1.0</v>
      </c>
      <c r="J2" s="16"/>
      <c r="K2" s="16"/>
      <c r="L2" s="33" t="s">
        <v>706</v>
      </c>
      <c r="M2" s="33">
        <v>0.0</v>
      </c>
      <c r="N2" s="16"/>
      <c r="O2" s="16"/>
      <c r="P2" s="33" t="s">
        <v>707</v>
      </c>
      <c r="Q2" s="33">
        <v>0.0</v>
      </c>
      <c r="R2" s="16"/>
      <c r="S2" s="16"/>
      <c r="T2" s="16"/>
      <c r="U2" s="16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33" t="s">
        <v>708</v>
      </c>
      <c r="AS2" s="33">
        <v>0.0</v>
      </c>
      <c r="AT2" s="16"/>
      <c r="AU2" s="16"/>
      <c r="AV2" s="33" t="s">
        <v>709</v>
      </c>
      <c r="AW2" s="33">
        <v>0.0</v>
      </c>
      <c r="AX2" s="7"/>
      <c r="AY2" s="7"/>
    </row>
    <row r="3">
      <c r="A3" s="5">
        <v>1334.0</v>
      </c>
      <c r="B3" s="6" t="s">
        <v>47</v>
      </c>
      <c r="C3" s="14" t="str">
        <f t="shared" si="1"/>
        <v>FWP-02_Water_DISPATCH</v>
      </c>
      <c r="D3" s="37" t="s">
        <v>710</v>
      </c>
      <c r="E3" s="37" t="s">
        <v>702</v>
      </c>
      <c r="F3" s="37" t="s">
        <v>703</v>
      </c>
      <c r="G3" s="14" t="s">
        <v>704</v>
      </c>
      <c r="H3" s="33" t="s">
        <v>711</v>
      </c>
      <c r="I3" s="33">
        <v>1.0</v>
      </c>
      <c r="J3" s="16"/>
      <c r="K3" s="16"/>
      <c r="L3" s="33" t="s">
        <v>712</v>
      </c>
      <c r="M3" s="33">
        <v>0.0</v>
      </c>
      <c r="N3" s="16"/>
      <c r="O3" s="16"/>
      <c r="P3" s="33" t="s">
        <v>713</v>
      </c>
      <c r="Q3" s="33">
        <v>0.0</v>
      </c>
      <c r="R3" s="16"/>
      <c r="S3" s="16"/>
      <c r="T3" s="16"/>
      <c r="U3" s="16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33" t="s">
        <v>714</v>
      </c>
      <c r="AS3" s="33">
        <v>0.0</v>
      </c>
      <c r="AT3" s="16"/>
      <c r="AU3" s="16"/>
      <c r="AV3" s="33" t="s">
        <v>715</v>
      </c>
      <c r="AW3" s="33">
        <v>0.0</v>
      </c>
      <c r="AX3" s="7"/>
      <c r="AY3" s="7"/>
    </row>
    <row r="4">
      <c r="A4" s="5">
        <v>1334.0</v>
      </c>
      <c r="B4" s="6" t="s">
        <v>47</v>
      </c>
      <c r="C4" s="14" t="str">
        <f t="shared" si="1"/>
        <v>FWP-03_Water_DISPATCH</v>
      </c>
      <c r="D4" s="37" t="s">
        <v>716</v>
      </c>
      <c r="E4" s="37" t="s">
        <v>702</v>
      </c>
      <c r="F4" s="37" t="s">
        <v>703</v>
      </c>
      <c r="G4" s="14" t="s">
        <v>704</v>
      </c>
      <c r="H4" s="33" t="s">
        <v>717</v>
      </c>
      <c r="I4" s="33">
        <v>1.0</v>
      </c>
      <c r="J4" s="16"/>
      <c r="K4" s="16"/>
      <c r="L4" s="33" t="s">
        <v>718</v>
      </c>
      <c r="M4" s="33">
        <v>0.0</v>
      </c>
      <c r="N4" s="16"/>
      <c r="O4" s="16"/>
      <c r="P4" s="33" t="s">
        <v>719</v>
      </c>
      <c r="Q4" s="33">
        <v>0.0</v>
      </c>
      <c r="R4" s="16"/>
      <c r="S4" s="16"/>
      <c r="T4" s="16"/>
      <c r="U4" s="16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33" t="s">
        <v>720</v>
      </c>
      <c r="AS4" s="33">
        <v>0.0</v>
      </c>
      <c r="AT4" s="16"/>
      <c r="AU4" s="16"/>
      <c r="AV4" s="33" t="s">
        <v>721</v>
      </c>
      <c r="AW4" s="33">
        <v>0.0</v>
      </c>
      <c r="AX4" s="7"/>
      <c r="AY4" s="7"/>
    </row>
    <row r="5">
      <c r="A5" s="5">
        <v>1334.0</v>
      </c>
      <c r="B5" s="6" t="s">
        <v>47</v>
      </c>
      <c r="C5" s="14" t="str">
        <f t="shared" si="1"/>
        <v>JCY-01_Jockey_DISPATCH</v>
      </c>
      <c r="D5" s="37" t="s">
        <v>722</v>
      </c>
      <c r="E5" s="37" t="s">
        <v>723</v>
      </c>
      <c r="F5" s="37" t="s">
        <v>703</v>
      </c>
      <c r="G5" s="14" t="s">
        <v>704</v>
      </c>
      <c r="H5" s="33" t="s">
        <v>724</v>
      </c>
      <c r="I5" s="33">
        <v>1.0</v>
      </c>
      <c r="J5" s="16"/>
      <c r="K5" s="16"/>
      <c r="L5" s="33" t="s">
        <v>725</v>
      </c>
      <c r="M5" s="33">
        <v>0.0</v>
      </c>
      <c r="N5" s="16"/>
      <c r="O5" s="16"/>
      <c r="P5" s="33" t="s">
        <v>726</v>
      </c>
      <c r="Q5" s="33">
        <v>0.0</v>
      </c>
      <c r="R5" s="16"/>
      <c r="S5" s="16"/>
      <c r="T5" s="16"/>
      <c r="U5" s="16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33" t="s">
        <v>727</v>
      </c>
      <c r="AO5" s="33">
        <v>0.0</v>
      </c>
      <c r="AP5" s="7"/>
      <c r="AQ5" s="7"/>
      <c r="AR5" s="7"/>
      <c r="AS5" s="7"/>
      <c r="AT5" s="7"/>
      <c r="AU5" s="7"/>
      <c r="AV5" s="7"/>
      <c r="AW5" s="7"/>
      <c r="AX5" s="7"/>
      <c r="AY5" s="7"/>
    </row>
    <row r="6">
      <c r="A6" s="5">
        <v>1334.0</v>
      </c>
      <c r="B6" s="6" t="s">
        <v>47</v>
      </c>
      <c r="C6" s="14" t="str">
        <f t="shared" si="1"/>
        <v>JCY-02_Jockey_DISPATCH</v>
      </c>
      <c r="D6" s="37" t="s">
        <v>728</v>
      </c>
      <c r="E6" s="37" t="s">
        <v>723</v>
      </c>
      <c r="F6" s="37" t="s">
        <v>703</v>
      </c>
      <c r="G6" s="14" t="s">
        <v>704</v>
      </c>
      <c r="H6" s="33" t="s">
        <v>729</v>
      </c>
      <c r="I6" s="33">
        <v>1.0</v>
      </c>
      <c r="J6" s="16"/>
      <c r="K6" s="16"/>
      <c r="L6" s="33" t="s">
        <v>730</v>
      </c>
      <c r="M6" s="33">
        <v>0.0</v>
      </c>
      <c r="N6" s="16"/>
      <c r="O6" s="16"/>
      <c r="P6" s="33" t="s">
        <v>731</v>
      </c>
      <c r="Q6" s="33">
        <v>0.0</v>
      </c>
      <c r="R6" s="16"/>
      <c r="S6" s="16"/>
      <c r="T6" s="16"/>
      <c r="U6" s="16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33" t="s">
        <v>732</v>
      </c>
      <c r="AO6" s="33">
        <v>0.0</v>
      </c>
      <c r="AP6" s="7"/>
      <c r="AQ6" s="7"/>
      <c r="AR6" s="7"/>
      <c r="AS6" s="7"/>
      <c r="AT6" s="7"/>
      <c r="AU6" s="7"/>
      <c r="AV6" s="7"/>
      <c r="AW6" s="7"/>
      <c r="AX6" s="7"/>
      <c r="AY6" s="7"/>
    </row>
    <row r="7">
      <c r="A7" s="5">
        <v>1334.0</v>
      </c>
      <c r="B7" s="6" t="s">
        <v>47</v>
      </c>
      <c r="C7" s="14" t="str">
        <f t="shared" si="1"/>
        <v>FARTHEST_POINT_PT</v>
      </c>
      <c r="D7" s="18" t="s">
        <v>733</v>
      </c>
      <c r="E7" s="7" t="s">
        <v>734</v>
      </c>
      <c r="F7" s="7"/>
      <c r="G7" s="7" t="s">
        <v>735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16" t="s">
        <v>736</v>
      </c>
      <c r="U7" s="33">
        <v>0.0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</row>
    <row r="8">
      <c r="A8" s="5">
        <v>1334.0</v>
      </c>
      <c r="B8" s="6" t="s">
        <v>47</v>
      </c>
      <c r="C8" s="14" t="str">
        <f t="shared" si="1"/>
        <v>NEAREST_POINT_PT</v>
      </c>
      <c r="D8" s="18" t="s">
        <v>737</v>
      </c>
      <c r="E8" s="7" t="s">
        <v>734</v>
      </c>
      <c r="F8" s="7"/>
      <c r="G8" s="7" t="s">
        <v>735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16" t="s">
        <v>738</v>
      </c>
      <c r="U8" s="33">
        <v>0.0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0</v>
      </c>
      <c r="B1" s="38" t="s">
        <v>1</v>
      </c>
      <c r="C1" s="23" t="s">
        <v>2</v>
      </c>
      <c r="D1" s="23" t="s">
        <v>739</v>
      </c>
      <c r="E1" s="23" t="s">
        <v>1</v>
      </c>
      <c r="F1" s="25" t="s">
        <v>740</v>
      </c>
      <c r="G1" s="26" t="s">
        <v>741</v>
      </c>
      <c r="H1" s="26" t="s">
        <v>8</v>
      </c>
      <c r="I1" s="26" t="s">
        <v>9</v>
      </c>
      <c r="J1" s="25" t="s">
        <v>742</v>
      </c>
      <c r="K1" s="26" t="s">
        <v>743</v>
      </c>
      <c r="L1" s="26" t="s">
        <v>8</v>
      </c>
      <c r="M1" s="26" t="s">
        <v>9</v>
      </c>
      <c r="N1" s="25" t="s">
        <v>744</v>
      </c>
      <c r="O1" s="26" t="s">
        <v>745</v>
      </c>
      <c r="P1" s="26" t="s">
        <v>8</v>
      </c>
      <c r="Q1" s="26" t="s">
        <v>9</v>
      </c>
      <c r="R1" s="25" t="s">
        <v>746</v>
      </c>
      <c r="S1" s="26" t="s">
        <v>747</v>
      </c>
      <c r="T1" s="26" t="s">
        <v>8</v>
      </c>
      <c r="U1" s="26" t="s">
        <v>9</v>
      </c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5">
        <v>1334.0</v>
      </c>
      <c r="B2" s="6" t="s">
        <v>47</v>
      </c>
      <c r="C2" s="7" t="str">
        <f t="shared" ref="C2:C3" si="1">CONCATENATE(D2,"_",E2)</f>
        <v>UPS-01_Control Room</v>
      </c>
      <c r="D2" s="37" t="s">
        <v>748</v>
      </c>
      <c r="E2" s="39" t="s">
        <v>749</v>
      </c>
      <c r="F2" s="12" t="s">
        <v>750</v>
      </c>
      <c r="G2" s="12">
        <v>0.0</v>
      </c>
      <c r="H2" s="7"/>
      <c r="I2" s="7"/>
      <c r="J2" s="12" t="s">
        <v>751</v>
      </c>
      <c r="K2" s="12">
        <v>0.0</v>
      </c>
      <c r="L2" s="7"/>
      <c r="M2" s="7"/>
      <c r="N2" s="12" t="s">
        <v>752</v>
      </c>
      <c r="O2" s="12">
        <v>0.0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5">
        <v>1334.0</v>
      </c>
      <c r="B3" s="6" t="s">
        <v>47</v>
      </c>
      <c r="C3" s="7" t="str">
        <f t="shared" si="1"/>
        <v>UPS-02_Control Room</v>
      </c>
      <c r="D3" s="37" t="s">
        <v>753</v>
      </c>
      <c r="E3" s="39" t="s">
        <v>749</v>
      </c>
      <c r="F3" s="12" t="s">
        <v>754</v>
      </c>
      <c r="G3" s="12">
        <v>0.0</v>
      </c>
      <c r="H3" s="7"/>
      <c r="I3" s="7"/>
      <c r="J3" s="12" t="s">
        <v>755</v>
      </c>
      <c r="K3" s="12">
        <v>0.0</v>
      </c>
      <c r="L3" s="7"/>
      <c r="M3" s="7"/>
      <c r="N3" s="12" t="s">
        <v>756</v>
      </c>
      <c r="O3" s="12">
        <v>0.0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0</v>
      </c>
      <c r="B1" s="38" t="s">
        <v>1</v>
      </c>
      <c r="C1" s="23" t="s">
        <v>2</v>
      </c>
      <c r="D1" s="23" t="s">
        <v>757</v>
      </c>
      <c r="E1" s="23" t="s">
        <v>1</v>
      </c>
      <c r="F1" s="25" t="s">
        <v>758</v>
      </c>
      <c r="G1" s="26" t="s">
        <v>759</v>
      </c>
      <c r="H1" s="25" t="s">
        <v>8</v>
      </c>
      <c r="I1" s="25" t="s">
        <v>457</v>
      </c>
      <c r="J1" s="25" t="s">
        <v>760</v>
      </c>
      <c r="K1" s="26" t="s">
        <v>761</v>
      </c>
      <c r="L1" s="25" t="s">
        <v>8</v>
      </c>
      <c r="M1" s="25" t="s">
        <v>9</v>
      </c>
      <c r="N1" s="25" t="s">
        <v>762</v>
      </c>
      <c r="O1" s="26" t="s">
        <v>763</v>
      </c>
      <c r="P1" s="25" t="s">
        <v>456</v>
      </c>
      <c r="Q1" s="25" t="s">
        <v>9</v>
      </c>
      <c r="R1" s="25" t="s">
        <v>764</v>
      </c>
      <c r="S1" s="26" t="s">
        <v>765</v>
      </c>
      <c r="T1" s="25" t="s">
        <v>8</v>
      </c>
      <c r="U1" s="25" t="s">
        <v>766</v>
      </c>
      <c r="V1" s="25" t="s">
        <v>767</v>
      </c>
      <c r="W1" s="26" t="s">
        <v>768</v>
      </c>
      <c r="X1" s="25" t="s">
        <v>456</v>
      </c>
      <c r="Y1" s="25" t="s">
        <v>9</v>
      </c>
      <c r="Z1" s="25" t="s">
        <v>769</v>
      </c>
      <c r="AA1" s="26" t="s">
        <v>770</v>
      </c>
      <c r="AB1" s="25" t="s">
        <v>8</v>
      </c>
      <c r="AC1" s="25" t="s">
        <v>9</v>
      </c>
    </row>
    <row r="2">
      <c r="A2" s="5">
        <v>1334.0</v>
      </c>
      <c r="B2" s="6" t="s">
        <v>47</v>
      </c>
      <c r="C2" s="14" t="str">
        <f t="shared" ref="C2:C3" si="1">CONCATENATE(D2,"_",E2)</f>
        <v>GEPLC_Process PLC</v>
      </c>
      <c r="D2" s="14" t="s">
        <v>771</v>
      </c>
      <c r="E2" s="39" t="s">
        <v>772</v>
      </c>
      <c r="F2" s="40" t="s">
        <v>773</v>
      </c>
      <c r="G2" s="12">
        <v>1.0</v>
      </c>
      <c r="H2" s="12" t="s">
        <v>774</v>
      </c>
      <c r="I2" s="12" t="s">
        <v>775</v>
      </c>
      <c r="J2" s="40" t="s">
        <v>776</v>
      </c>
      <c r="K2" s="12">
        <v>1.0</v>
      </c>
      <c r="L2" s="12" t="s">
        <v>774</v>
      </c>
      <c r="M2" s="12" t="s">
        <v>777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>
      <c r="A3" s="5">
        <v>1334.0</v>
      </c>
      <c r="B3" s="6" t="s">
        <v>47</v>
      </c>
      <c r="C3" s="14" t="str">
        <f t="shared" si="1"/>
        <v>SFT PLC_Safety PLC</v>
      </c>
      <c r="D3" s="14" t="s">
        <v>778</v>
      </c>
      <c r="E3" s="39" t="s">
        <v>779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1" t="s">
        <v>0</v>
      </c>
      <c r="B1" s="41" t="s">
        <v>1</v>
      </c>
      <c r="C1" s="23" t="s">
        <v>2</v>
      </c>
      <c r="D1" s="23" t="s">
        <v>780</v>
      </c>
      <c r="E1" s="23" t="s">
        <v>781</v>
      </c>
      <c r="F1" s="23" t="s">
        <v>1</v>
      </c>
      <c r="G1" s="25" t="s">
        <v>782</v>
      </c>
      <c r="H1" s="26" t="s">
        <v>783</v>
      </c>
      <c r="I1" s="26" t="s">
        <v>8</v>
      </c>
      <c r="J1" s="26" t="s">
        <v>9</v>
      </c>
      <c r="K1" s="25" t="s">
        <v>784</v>
      </c>
      <c r="L1" s="26" t="s">
        <v>785</v>
      </c>
      <c r="M1" s="26" t="s">
        <v>8</v>
      </c>
      <c r="N1" s="26" t="s">
        <v>9</v>
      </c>
      <c r="O1" s="25" t="s">
        <v>786</v>
      </c>
      <c r="P1" s="26" t="s">
        <v>787</v>
      </c>
      <c r="Q1" s="26" t="s">
        <v>8</v>
      </c>
      <c r="R1" s="26" t="s">
        <v>9</v>
      </c>
      <c r="S1" s="25" t="s">
        <v>788</v>
      </c>
      <c r="T1" s="26" t="s">
        <v>789</v>
      </c>
      <c r="U1" s="26" t="s">
        <v>8</v>
      </c>
      <c r="V1" s="26" t="s">
        <v>9</v>
      </c>
      <c r="W1" s="25" t="s">
        <v>790</v>
      </c>
      <c r="X1" s="26" t="s">
        <v>791</v>
      </c>
      <c r="Y1" s="26" t="s">
        <v>8</v>
      </c>
      <c r="Z1" s="26" t="s">
        <v>9</v>
      </c>
      <c r="AA1" s="42" t="s">
        <v>792</v>
      </c>
      <c r="AB1" s="25" t="s">
        <v>7</v>
      </c>
      <c r="AC1" s="26" t="s">
        <v>8</v>
      </c>
      <c r="AD1" s="26" t="s">
        <v>9</v>
      </c>
      <c r="AE1" s="7"/>
      <c r="AF1" s="7"/>
      <c r="AG1" s="7"/>
      <c r="AH1" s="7"/>
      <c r="AI1" s="7"/>
      <c r="AJ1" s="7"/>
      <c r="AK1" s="7"/>
    </row>
    <row r="2">
      <c r="A2" s="5">
        <v>1334.0</v>
      </c>
      <c r="B2" s="6" t="s">
        <v>47</v>
      </c>
      <c r="C2" s="14" t="str">
        <f t="shared" ref="C2:C10" si="1">CONCATENATE(D2,"_",E2,"_",F2)</f>
        <v>HDS-01_OP-HCD-AT-PUMPHOUSE_OPEN TYPE AT PUMP HOUSE 1</v>
      </c>
      <c r="D2" s="17" t="s">
        <v>793</v>
      </c>
      <c r="E2" s="17" t="s">
        <v>794</v>
      </c>
      <c r="F2" s="17" t="s">
        <v>795</v>
      </c>
      <c r="G2" s="30" t="s">
        <v>796</v>
      </c>
      <c r="H2" s="30">
        <v>0.0</v>
      </c>
      <c r="I2" s="7"/>
      <c r="J2" s="7"/>
      <c r="K2" s="12" t="s">
        <v>797</v>
      </c>
      <c r="L2" s="30">
        <v>0.0</v>
      </c>
      <c r="M2" s="31"/>
      <c r="N2" s="31"/>
      <c r="O2" s="30" t="s">
        <v>798</v>
      </c>
      <c r="P2" s="30">
        <v>0.0</v>
      </c>
      <c r="Q2" s="31"/>
      <c r="R2" s="31"/>
      <c r="S2" s="30" t="s">
        <v>799</v>
      </c>
      <c r="T2" s="30">
        <v>0.0</v>
      </c>
      <c r="U2" s="31"/>
      <c r="V2" s="31"/>
      <c r="W2" s="30" t="s">
        <v>800</v>
      </c>
      <c r="X2" s="30">
        <v>0.0</v>
      </c>
      <c r="Y2" s="43"/>
      <c r="Z2" s="43"/>
      <c r="AA2" s="10" t="s">
        <v>801</v>
      </c>
      <c r="AB2" s="5">
        <v>0.0</v>
      </c>
      <c r="AC2" s="7"/>
      <c r="AD2" s="7"/>
      <c r="AE2" s="7"/>
      <c r="AF2" s="7"/>
      <c r="AG2" s="7"/>
      <c r="AH2" s="7"/>
      <c r="AI2" s="7"/>
      <c r="AJ2" s="7"/>
      <c r="AK2" s="7"/>
    </row>
    <row r="3">
      <c r="A3" s="5">
        <v>1334.0</v>
      </c>
      <c r="B3" s="6" t="s">
        <v>47</v>
      </c>
      <c r="C3" s="14" t="str">
        <f t="shared" si="1"/>
        <v>HDS-02_OP-HCD-NEAR-TK1-2_OPEN TYPE AT MS DYKE1 NEAR TK1-2</v>
      </c>
      <c r="D3" s="17" t="s">
        <v>802</v>
      </c>
      <c r="E3" s="17" t="s">
        <v>803</v>
      </c>
      <c r="F3" s="17" t="s">
        <v>804</v>
      </c>
      <c r="G3" s="33" t="s">
        <v>805</v>
      </c>
      <c r="H3" s="33">
        <v>0.0</v>
      </c>
      <c r="I3" s="7"/>
      <c r="J3" s="7"/>
      <c r="K3" s="12" t="s">
        <v>806</v>
      </c>
      <c r="L3" s="33">
        <v>0.0</v>
      </c>
      <c r="M3" s="16"/>
      <c r="N3" s="16"/>
      <c r="O3" s="33" t="s">
        <v>807</v>
      </c>
      <c r="P3" s="33">
        <v>0.0</v>
      </c>
      <c r="Q3" s="16"/>
      <c r="R3" s="16"/>
      <c r="S3" s="33" t="s">
        <v>808</v>
      </c>
      <c r="T3" s="33">
        <v>0.0</v>
      </c>
      <c r="U3" s="16"/>
      <c r="V3" s="16"/>
      <c r="W3" s="33" t="s">
        <v>809</v>
      </c>
      <c r="X3" s="33">
        <v>0.0</v>
      </c>
      <c r="Y3" s="43"/>
      <c r="Z3" s="43"/>
      <c r="AA3" s="10" t="s">
        <v>801</v>
      </c>
      <c r="AB3" s="5">
        <v>0.0</v>
      </c>
      <c r="AC3" s="7"/>
      <c r="AD3" s="7"/>
      <c r="AE3" s="7"/>
      <c r="AF3" s="7"/>
      <c r="AG3" s="7"/>
      <c r="AH3" s="7"/>
      <c r="AI3" s="7"/>
      <c r="AJ3" s="7"/>
      <c r="AK3" s="7"/>
    </row>
    <row r="4">
      <c r="A4" s="5">
        <v>1334.0</v>
      </c>
      <c r="B4" s="6" t="s">
        <v>47</v>
      </c>
      <c r="C4" s="14" t="str">
        <f t="shared" si="1"/>
        <v>HDS-03_OP-HCD-NEAR-TK16-17_OPEN TYPE AT MS DYKE1 NEAR TK16-17</v>
      </c>
      <c r="D4" s="17" t="s">
        <v>810</v>
      </c>
      <c r="E4" s="17" t="s">
        <v>811</v>
      </c>
      <c r="F4" s="17" t="s">
        <v>812</v>
      </c>
      <c r="G4" s="33" t="s">
        <v>813</v>
      </c>
      <c r="H4" s="33">
        <v>0.0</v>
      </c>
      <c r="I4" s="7"/>
      <c r="J4" s="7"/>
      <c r="K4" s="12" t="s">
        <v>814</v>
      </c>
      <c r="L4" s="33">
        <v>0.0</v>
      </c>
      <c r="M4" s="16"/>
      <c r="N4" s="16"/>
      <c r="O4" s="33" t="s">
        <v>815</v>
      </c>
      <c r="P4" s="33">
        <v>0.0</v>
      </c>
      <c r="Q4" s="16"/>
      <c r="R4" s="16"/>
      <c r="S4" s="33" t="s">
        <v>816</v>
      </c>
      <c r="T4" s="33">
        <v>0.0</v>
      </c>
      <c r="U4" s="16"/>
      <c r="V4" s="16"/>
      <c r="W4" s="33" t="s">
        <v>817</v>
      </c>
      <c r="X4" s="33">
        <v>0.0</v>
      </c>
      <c r="Y4" s="43"/>
      <c r="Z4" s="43"/>
      <c r="AA4" s="10" t="s">
        <v>801</v>
      </c>
      <c r="AB4" s="5">
        <v>0.0</v>
      </c>
      <c r="AC4" s="7"/>
      <c r="AD4" s="7"/>
      <c r="AE4" s="7"/>
      <c r="AF4" s="7"/>
      <c r="AG4" s="7"/>
      <c r="AH4" s="7"/>
      <c r="AI4" s="7"/>
      <c r="AJ4" s="7"/>
      <c r="AK4" s="7"/>
    </row>
    <row r="5">
      <c r="A5" s="5">
        <v>1334.0</v>
      </c>
      <c r="B5" s="6" t="s">
        <v>47</v>
      </c>
      <c r="C5" s="14" t="str">
        <f t="shared" si="1"/>
        <v>HDS-04_OP-HCD-NEAR-TK15_OPEN TYPE AT MS DYKE 2 NEAR TK15</v>
      </c>
      <c r="D5" s="17" t="s">
        <v>818</v>
      </c>
      <c r="E5" s="17" t="s">
        <v>819</v>
      </c>
      <c r="F5" s="17" t="s">
        <v>820</v>
      </c>
      <c r="G5" s="33" t="s">
        <v>821</v>
      </c>
      <c r="H5" s="33">
        <v>0.0</v>
      </c>
      <c r="I5" s="7"/>
      <c r="J5" s="7"/>
      <c r="K5" s="12" t="s">
        <v>822</v>
      </c>
      <c r="L5" s="33">
        <v>0.0</v>
      </c>
      <c r="M5" s="16"/>
      <c r="N5" s="16"/>
      <c r="O5" s="33" t="s">
        <v>823</v>
      </c>
      <c r="P5" s="33">
        <v>0.0</v>
      </c>
      <c r="Q5" s="16"/>
      <c r="R5" s="16"/>
      <c r="S5" s="33" t="s">
        <v>824</v>
      </c>
      <c r="T5" s="33">
        <v>0.0</v>
      </c>
      <c r="U5" s="16"/>
      <c r="V5" s="16"/>
      <c r="W5" s="33" t="s">
        <v>825</v>
      </c>
      <c r="X5" s="33">
        <v>0.0</v>
      </c>
      <c r="Y5" s="43"/>
      <c r="Z5" s="43"/>
      <c r="AA5" s="10" t="s">
        <v>801</v>
      </c>
      <c r="AB5" s="5">
        <v>0.0</v>
      </c>
      <c r="AC5" s="7"/>
      <c r="AD5" s="7"/>
      <c r="AE5" s="7"/>
      <c r="AF5" s="7"/>
      <c r="AG5" s="7"/>
      <c r="AH5" s="7"/>
      <c r="AI5" s="7"/>
      <c r="AJ5" s="7"/>
      <c r="AK5" s="7"/>
    </row>
    <row r="6">
      <c r="A6" s="5">
        <v>1334.0</v>
      </c>
      <c r="B6" s="6" t="s">
        <v>47</v>
      </c>
      <c r="C6" s="14" t="str">
        <f t="shared" si="1"/>
        <v>HDS-05_P-HCD-NEAR-TK17_FIXED HCD AT MS DYKE4 NEAR TK17</v>
      </c>
      <c r="D6" s="17" t="s">
        <v>826</v>
      </c>
      <c r="E6" s="17" t="s">
        <v>827</v>
      </c>
      <c r="F6" s="17" t="s">
        <v>828</v>
      </c>
      <c r="G6" s="33" t="s">
        <v>829</v>
      </c>
      <c r="H6" s="33">
        <v>0.0</v>
      </c>
      <c r="I6" s="7"/>
      <c r="J6" s="7"/>
      <c r="K6" s="12" t="s">
        <v>830</v>
      </c>
      <c r="L6" s="33">
        <v>0.0</v>
      </c>
      <c r="M6" s="16"/>
      <c r="N6" s="16"/>
      <c r="O6" s="33" t="s">
        <v>831</v>
      </c>
      <c r="P6" s="33">
        <v>0.0</v>
      </c>
      <c r="Q6" s="16"/>
      <c r="R6" s="16"/>
      <c r="S6" s="33" t="s">
        <v>832</v>
      </c>
      <c r="T6" s="33">
        <v>0.0</v>
      </c>
      <c r="U6" s="16"/>
      <c r="V6" s="16"/>
      <c r="W6" s="33" t="s">
        <v>833</v>
      </c>
      <c r="X6" s="33">
        <v>0.0</v>
      </c>
      <c r="Y6" s="43"/>
      <c r="Z6" s="43"/>
      <c r="AA6" s="10" t="s">
        <v>801</v>
      </c>
      <c r="AB6" s="5">
        <v>0.0</v>
      </c>
      <c r="AC6" s="7"/>
      <c r="AD6" s="7"/>
      <c r="AE6" s="7"/>
      <c r="AF6" s="7"/>
      <c r="AG6" s="7"/>
      <c r="AH6" s="7"/>
      <c r="AI6" s="7"/>
      <c r="AJ6" s="7"/>
      <c r="AK6" s="7"/>
    </row>
    <row r="7">
      <c r="A7" s="5">
        <v>1334.0</v>
      </c>
      <c r="B7" s="6" t="s">
        <v>47</v>
      </c>
      <c r="C7" s="14" t="str">
        <f t="shared" si="1"/>
        <v>HDS-06_OP-HCD-NEAR-TK12-26_OPEN TYPE NEAR AT MS DYKE1 NEAR TK12-26</v>
      </c>
      <c r="D7" s="17" t="s">
        <v>834</v>
      </c>
      <c r="E7" s="17" t="s">
        <v>835</v>
      </c>
      <c r="F7" s="17" t="s">
        <v>836</v>
      </c>
      <c r="G7" s="33" t="s">
        <v>837</v>
      </c>
      <c r="H7" s="33">
        <v>0.0</v>
      </c>
      <c r="I7" s="7"/>
      <c r="J7" s="7"/>
      <c r="K7" s="12" t="s">
        <v>838</v>
      </c>
      <c r="L7" s="33">
        <v>0.0</v>
      </c>
      <c r="M7" s="16"/>
      <c r="N7" s="16"/>
      <c r="O7" s="33" t="s">
        <v>839</v>
      </c>
      <c r="P7" s="33">
        <v>0.0</v>
      </c>
      <c r="Q7" s="16"/>
      <c r="R7" s="16"/>
      <c r="S7" s="33" t="s">
        <v>840</v>
      </c>
      <c r="T7" s="33">
        <v>0.0</v>
      </c>
      <c r="U7" s="16"/>
      <c r="V7" s="16"/>
      <c r="W7" s="33" t="s">
        <v>841</v>
      </c>
      <c r="X7" s="33">
        <v>0.0</v>
      </c>
      <c r="Y7" s="43"/>
      <c r="Z7" s="43"/>
      <c r="AA7" s="10" t="s">
        <v>801</v>
      </c>
      <c r="AB7" s="5">
        <v>0.0</v>
      </c>
      <c r="AC7" s="7"/>
      <c r="AD7" s="7"/>
      <c r="AE7" s="7"/>
      <c r="AF7" s="7"/>
      <c r="AG7" s="7"/>
      <c r="AH7" s="7"/>
      <c r="AI7" s="7"/>
      <c r="AJ7" s="7"/>
      <c r="AK7" s="7"/>
    </row>
    <row r="8">
      <c r="A8" s="5">
        <v>1334.0</v>
      </c>
      <c r="B8" s="6" t="s">
        <v>47</v>
      </c>
      <c r="C8" s="14" t="str">
        <f t="shared" si="1"/>
        <v>HDS-07_P-HCD-NEAR-TK26_FIXED TYPE MS DYKE1 NEAR TK26</v>
      </c>
      <c r="D8" s="17" t="s">
        <v>842</v>
      </c>
      <c r="E8" s="17" t="s">
        <v>843</v>
      </c>
      <c r="F8" s="17" t="s">
        <v>844</v>
      </c>
      <c r="G8" s="33" t="s">
        <v>845</v>
      </c>
      <c r="H8" s="33">
        <v>0.0</v>
      </c>
      <c r="I8" s="7"/>
      <c r="J8" s="7"/>
      <c r="K8" s="12" t="s">
        <v>846</v>
      </c>
      <c r="L8" s="33">
        <v>0.0</v>
      </c>
      <c r="M8" s="16"/>
      <c r="N8" s="16"/>
      <c r="O8" s="33" t="s">
        <v>847</v>
      </c>
      <c r="P8" s="33">
        <v>0.0</v>
      </c>
      <c r="Q8" s="16"/>
      <c r="R8" s="16"/>
      <c r="S8" s="33" t="s">
        <v>848</v>
      </c>
      <c r="T8" s="33">
        <v>0.0</v>
      </c>
      <c r="U8" s="16"/>
      <c r="V8" s="16"/>
      <c r="W8" s="33" t="s">
        <v>849</v>
      </c>
      <c r="X8" s="33">
        <v>0.0</v>
      </c>
      <c r="Y8" s="43"/>
      <c r="Z8" s="43"/>
      <c r="AA8" s="10" t="s">
        <v>801</v>
      </c>
      <c r="AB8" s="5">
        <v>0.0</v>
      </c>
      <c r="AC8" s="7"/>
      <c r="AD8" s="7"/>
      <c r="AE8" s="7"/>
      <c r="AF8" s="7"/>
      <c r="AG8" s="7"/>
      <c r="AH8" s="7"/>
      <c r="AI8" s="7"/>
      <c r="AJ8" s="7"/>
      <c r="AK8" s="7"/>
    </row>
    <row r="9">
      <c r="A9" s="5">
        <v>1334.0</v>
      </c>
      <c r="B9" s="6" t="s">
        <v>47</v>
      </c>
      <c r="C9" s="14" t="str">
        <f t="shared" si="1"/>
        <v>HDS-08_P-HDS-AT-PH-DRAIN_FIXED TYPE AT PUMP HOUSE DRAIN</v>
      </c>
      <c r="D9" s="17" t="s">
        <v>850</v>
      </c>
      <c r="E9" s="17" t="s">
        <v>851</v>
      </c>
      <c r="F9" s="17" t="s">
        <v>852</v>
      </c>
      <c r="G9" s="33" t="s">
        <v>853</v>
      </c>
      <c r="H9" s="33">
        <v>0.0</v>
      </c>
      <c r="I9" s="7"/>
      <c r="J9" s="7"/>
      <c r="K9" s="12" t="s">
        <v>854</v>
      </c>
      <c r="L9" s="33">
        <v>0.0</v>
      </c>
      <c r="M9" s="16"/>
      <c r="N9" s="16"/>
      <c r="O9" s="33" t="s">
        <v>855</v>
      </c>
      <c r="P9" s="33">
        <v>0.0</v>
      </c>
      <c r="Q9" s="16"/>
      <c r="R9" s="16"/>
      <c r="S9" s="33" t="s">
        <v>856</v>
      </c>
      <c r="T9" s="33">
        <v>0.0</v>
      </c>
      <c r="U9" s="16"/>
      <c r="V9" s="16"/>
      <c r="W9" s="33" t="s">
        <v>857</v>
      </c>
      <c r="X9" s="33">
        <v>0.0</v>
      </c>
      <c r="Y9" s="43"/>
      <c r="Z9" s="43"/>
      <c r="AA9" s="10" t="s">
        <v>801</v>
      </c>
      <c r="AB9" s="5">
        <v>0.0</v>
      </c>
      <c r="AC9" s="7"/>
      <c r="AD9" s="7"/>
      <c r="AE9" s="7"/>
      <c r="AF9" s="7"/>
      <c r="AG9" s="7"/>
      <c r="AH9" s="7"/>
      <c r="AI9" s="7"/>
      <c r="AJ9" s="7"/>
      <c r="AK9" s="7"/>
    </row>
    <row r="10">
      <c r="A10" s="5">
        <v>1334.0</v>
      </c>
      <c r="B10" s="6" t="s">
        <v>47</v>
      </c>
      <c r="C10" s="14" t="str">
        <f t="shared" si="1"/>
        <v>HDS-09_NEAR_TK-04_NEAR_TK-04</v>
      </c>
      <c r="D10" s="17" t="s">
        <v>858</v>
      </c>
      <c r="E10" s="17" t="s">
        <v>859</v>
      </c>
      <c r="F10" s="17" t="s">
        <v>859</v>
      </c>
      <c r="G10" s="33" t="s">
        <v>860</v>
      </c>
      <c r="H10" s="33">
        <v>0.0</v>
      </c>
      <c r="I10" s="7"/>
      <c r="J10" s="7"/>
      <c r="K10" s="12" t="s">
        <v>861</v>
      </c>
      <c r="L10" s="33">
        <v>0.0</v>
      </c>
      <c r="M10" s="16"/>
      <c r="N10" s="16"/>
      <c r="O10" s="33" t="s">
        <v>862</v>
      </c>
      <c r="P10" s="33">
        <v>0.0</v>
      </c>
      <c r="Q10" s="16"/>
      <c r="R10" s="16"/>
      <c r="S10" s="33" t="s">
        <v>863</v>
      </c>
      <c r="T10" s="33">
        <v>0.0</v>
      </c>
      <c r="U10" s="16"/>
      <c r="V10" s="16"/>
      <c r="W10" s="33" t="s">
        <v>864</v>
      </c>
      <c r="X10" s="33">
        <v>0.0</v>
      </c>
      <c r="Y10" s="43"/>
      <c r="Z10" s="43"/>
      <c r="AA10" s="10" t="s">
        <v>801</v>
      </c>
      <c r="AB10" s="5">
        <v>0.0</v>
      </c>
      <c r="AC10" s="7"/>
      <c r="AD10" s="7"/>
      <c r="AE10" s="7"/>
      <c r="AF10" s="7"/>
      <c r="AG10" s="7"/>
      <c r="AH10" s="7"/>
      <c r="AI10" s="7"/>
      <c r="AJ10" s="7"/>
      <c r="AK10" s="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35.38"/>
  </cols>
  <sheetData>
    <row r="1">
      <c r="A1" s="23" t="s">
        <v>0</v>
      </c>
      <c r="B1" s="23" t="s">
        <v>1</v>
      </c>
      <c r="C1" s="23" t="s">
        <v>865</v>
      </c>
      <c r="D1" s="25" t="s">
        <v>866</v>
      </c>
      <c r="E1" s="26" t="s">
        <v>867</v>
      </c>
      <c r="F1" s="44" t="s">
        <v>868</v>
      </c>
      <c r="G1" s="7" t="s">
        <v>7</v>
      </c>
      <c r="H1" s="7" t="s">
        <v>8</v>
      </c>
      <c r="I1" s="26" t="s">
        <v>9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5">
        <v>1334.0</v>
      </c>
      <c r="B2" s="6" t="s">
        <v>47</v>
      </c>
      <c r="C2" s="17" t="s">
        <v>869</v>
      </c>
      <c r="D2" s="12" t="s">
        <v>870</v>
      </c>
      <c r="E2" s="30">
        <v>0.0</v>
      </c>
      <c r="F2" s="43" t="s">
        <v>871</v>
      </c>
      <c r="G2" s="5">
        <v>0.0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5">
        <v>1334.0</v>
      </c>
      <c r="B3" s="6" t="s">
        <v>47</v>
      </c>
      <c r="C3" s="17" t="s">
        <v>872</v>
      </c>
      <c r="D3" s="12" t="s">
        <v>873</v>
      </c>
      <c r="E3" s="33">
        <v>0.0</v>
      </c>
      <c r="F3" s="43" t="s">
        <v>871</v>
      </c>
      <c r="G3" s="5">
        <v>0.0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5">
        <v>1334.0</v>
      </c>
      <c r="B4" s="6" t="s">
        <v>47</v>
      </c>
      <c r="C4" s="17" t="s">
        <v>874</v>
      </c>
      <c r="D4" s="12" t="s">
        <v>875</v>
      </c>
      <c r="E4" s="33">
        <v>0.0</v>
      </c>
      <c r="F4" s="43" t="s">
        <v>871</v>
      </c>
      <c r="G4" s="5">
        <v>0.0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5">
        <v>1334.0</v>
      </c>
      <c r="B5" s="6" t="s">
        <v>47</v>
      </c>
      <c r="C5" s="17" t="s">
        <v>876</v>
      </c>
      <c r="D5" s="12" t="s">
        <v>877</v>
      </c>
      <c r="E5" s="33">
        <v>0.0</v>
      </c>
      <c r="F5" s="43" t="s">
        <v>871</v>
      </c>
      <c r="G5" s="5">
        <v>0.0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5">
        <v>1334.0</v>
      </c>
      <c r="B6" s="6" t="s">
        <v>47</v>
      </c>
      <c r="C6" s="17" t="s">
        <v>878</v>
      </c>
      <c r="D6" s="12" t="s">
        <v>879</v>
      </c>
      <c r="E6" s="33">
        <v>0.0</v>
      </c>
      <c r="F6" s="43" t="s">
        <v>871</v>
      </c>
      <c r="G6" s="5">
        <v>0.0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5">
        <v>1334.0</v>
      </c>
      <c r="B7" s="6" t="s">
        <v>47</v>
      </c>
      <c r="C7" s="17" t="s">
        <v>880</v>
      </c>
      <c r="D7" s="12" t="s">
        <v>881</v>
      </c>
      <c r="E7" s="33">
        <v>0.0</v>
      </c>
      <c r="F7" s="43" t="s">
        <v>871</v>
      </c>
      <c r="G7" s="5">
        <v>0.0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5">
        <v>1334.0</v>
      </c>
      <c r="B8" s="6" t="s">
        <v>47</v>
      </c>
      <c r="C8" s="17" t="s">
        <v>882</v>
      </c>
      <c r="D8" s="12" t="s">
        <v>883</v>
      </c>
      <c r="E8" s="33">
        <v>0.0</v>
      </c>
      <c r="F8" s="43" t="s">
        <v>871</v>
      </c>
      <c r="G8" s="5">
        <v>0.0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5">
        <v>1334.0</v>
      </c>
      <c r="B9" s="6" t="s">
        <v>47</v>
      </c>
      <c r="C9" s="17" t="s">
        <v>884</v>
      </c>
      <c r="D9" s="12" t="s">
        <v>885</v>
      </c>
      <c r="E9" s="33">
        <v>0.0</v>
      </c>
      <c r="F9" s="43" t="s">
        <v>871</v>
      </c>
      <c r="G9" s="5">
        <v>0.0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</v>
      </c>
      <c r="C1" s="23" t="s">
        <v>886</v>
      </c>
      <c r="D1" s="25" t="s">
        <v>887</v>
      </c>
      <c r="E1" s="26" t="s">
        <v>888</v>
      </c>
      <c r="F1" s="26" t="s">
        <v>8</v>
      </c>
      <c r="G1" s="26" t="s">
        <v>9</v>
      </c>
      <c r="H1" s="25" t="s">
        <v>889</v>
      </c>
      <c r="I1" s="26" t="s">
        <v>890</v>
      </c>
      <c r="J1" s="26" t="s">
        <v>8</v>
      </c>
      <c r="K1" s="26" t="s">
        <v>9</v>
      </c>
      <c r="L1" s="25" t="s">
        <v>891</v>
      </c>
      <c r="M1" s="26" t="s">
        <v>7</v>
      </c>
      <c r="N1" s="26" t="s">
        <v>8</v>
      </c>
      <c r="O1" s="26" t="s">
        <v>9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5">
        <v>1334.0</v>
      </c>
      <c r="B2" s="6" t="s">
        <v>47</v>
      </c>
      <c r="C2" s="14" t="s">
        <v>892</v>
      </c>
      <c r="D2" s="30" t="s">
        <v>893</v>
      </c>
      <c r="E2" s="30">
        <v>0.0</v>
      </c>
      <c r="F2" s="31"/>
      <c r="G2" s="31"/>
      <c r="H2" s="30" t="s">
        <v>894</v>
      </c>
      <c r="I2" s="30">
        <v>0.0</v>
      </c>
      <c r="J2" s="31"/>
      <c r="K2" s="31"/>
      <c r="L2" s="30" t="s">
        <v>895</v>
      </c>
      <c r="M2" s="30">
        <v>1.0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>
      <c r="A3" s="5">
        <v>1334.0</v>
      </c>
      <c r="B3" s="6" t="s">
        <v>47</v>
      </c>
      <c r="C3" s="14" t="s">
        <v>896</v>
      </c>
      <c r="D3" s="33" t="s">
        <v>897</v>
      </c>
      <c r="E3" s="33">
        <v>0.0</v>
      </c>
      <c r="F3" s="16"/>
      <c r="G3" s="16"/>
      <c r="H3" s="33" t="s">
        <v>898</v>
      </c>
      <c r="I3" s="33">
        <v>0.0</v>
      </c>
      <c r="J3" s="16"/>
      <c r="K3" s="16"/>
      <c r="L3" s="33" t="s">
        <v>899</v>
      </c>
      <c r="M3" s="33">
        <v>1.0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</v>
      </c>
      <c r="C1" s="23" t="s">
        <v>2</v>
      </c>
      <c r="D1" s="23" t="s">
        <v>900</v>
      </c>
      <c r="E1" s="23" t="s">
        <v>901</v>
      </c>
      <c r="F1" s="25" t="s">
        <v>902</v>
      </c>
      <c r="G1" s="26" t="s">
        <v>903</v>
      </c>
      <c r="H1" s="26" t="s">
        <v>8</v>
      </c>
      <c r="I1" s="26" t="s">
        <v>9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5">
        <v>1334.0</v>
      </c>
      <c r="B2" s="6" t="s">
        <v>47</v>
      </c>
      <c r="C2" s="14" t="str">
        <f t="shared" ref="C2:C9" si="1">CONCATENATE(D2,"_",E2)</f>
        <v>HOOTER_FIELD_1_Dedicated Hooter cum strobe for TLF P/H Activated in Field</v>
      </c>
      <c r="D2" s="17" t="s">
        <v>904</v>
      </c>
      <c r="E2" s="17" t="s">
        <v>905</v>
      </c>
      <c r="F2" s="43" t="s">
        <v>906</v>
      </c>
      <c r="G2" s="30">
        <v>0.0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5">
        <v>1334.0</v>
      </c>
      <c r="B3" s="6" t="s">
        <v>47</v>
      </c>
      <c r="C3" s="14" t="str">
        <f t="shared" si="1"/>
        <v>HOOTER_FIELD_2_Dedicated Hooter cum strobe for Near TK-01 Activated in Field</v>
      </c>
      <c r="D3" s="17" t="s">
        <v>907</v>
      </c>
      <c r="E3" s="17" t="s">
        <v>908</v>
      </c>
      <c r="F3" s="43" t="s">
        <v>909</v>
      </c>
      <c r="G3" s="33">
        <v>0.0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5">
        <v>1334.0</v>
      </c>
      <c r="B4" s="6" t="s">
        <v>47</v>
      </c>
      <c r="C4" s="14" t="str">
        <f t="shared" si="1"/>
        <v>HOOTER_FIELD_3_Dedicated Hooter cum strobe for Near TK-12 Activated in Field</v>
      </c>
      <c r="D4" s="17" t="s">
        <v>910</v>
      </c>
      <c r="E4" s="17" t="s">
        <v>911</v>
      </c>
      <c r="F4" s="43" t="s">
        <v>912</v>
      </c>
      <c r="G4" s="33">
        <v>0.0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5">
        <v>1334.0</v>
      </c>
      <c r="B5" s="6" t="s">
        <v>47</v>
      </c>
      <c r="C5" s="14" t="str">
        <f t="shared" si="1"/>
        <v>HOOTER_FIELD_4_Dedicated Hooter cum strobe for Near TK-15 Activated in Field</v>
      </c>
      <c r="D5" s="17" t="s">
        <v>913</v>
      </c>
      <c r="E5" s="17" t="s">
        <v>914</v>
      </c>
      <c r="F5" s="43" t="s">
        <v>915</v>
      </c>
      <c r="G5" s="33">
        <v>0.0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5">
        <v>1334.0</v>
      </c>
      <c r="B6" s="6" t="s">
        <v>47</v>
      </c>
      <c r="C6" s="14" t="str">
        <f t="shared" si="1"/>
        <v>HOOTER_FIELD_5_Dedicated Hooter cum strobe for Near TK-16 Activated in Field</v>
      </c>
      <c r="D6" s="17" t="s">
        <v>916</v>
      </c>
      <c r="E6" s="17" t="s">
        <v>917</v>
      </c>
      <c r="F6" s="43" t="s">
        <v>918</v>
      </c>
      <c r="G6" s="33">
        <v>0.0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5">
        <v>1334.0</v>
      </c>
      <c r="B7" s="6" t="s">
        <v>47</v>
      </c>
      <c r="C7" s="14" t="str">
        <f t="shared" si="1"/>
        <v>HOOTER_FOR_ESD_CR_Dedicated Hooter cum strobe for ESD activated in control room</v>
      </c>
      <c r="D7" s="17" t="s">
        <v>919</v>
      </c>
      <c r="E7" s="17" t="s">
        <v>920</v>
      </c>
      <c r="F7" s="43" t="s">
        <v>921</v>
      </c>
      <c r="G7" s="33">
        <v>0.0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5">
        <v>1334.0</v>
      </c>
      <c r="B8" s="6" t="s">
        <v>47</v>
      </c>
      <c r="C8" s="14" t="str">
        <f t="shared" si="1"/>
        <v>HOOTER_FOR_HC_CR_Dedicated Hooter cum strobe for HC detector activated in control room</v>
      </c>
      <c r="D8" s="17" t="s">
        <v>922</v>
      </c>
      <c r="E8" s="17" t="s">
        <v>923</v>
      </c>
      <c r="F8" s="43" t="s">
        <v>801</v>
      </c>
      <c r="G8" s="33">
        <v>0.0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5">
        <v>1334.0</v>
      </c>
      <c r="B9" s="6" t="s">
        <v>47</v>
      </c>
      <c r="C9" s="14" t="str">
        <f t="shared" si="1"/>
        <v>HOOTER_FOR_RIMSEAL_CR_Dedicated Hooter cum strobe for FAP/Dyke activated in control room</v>
      </c>
      <c r="D9" s="8" t="s">
        <v>924</v>
      </c>
      <c r="E9" s="8" t="s">
        <v>925</v>
      </c>
      <c r="F9" s="43" t="s">
        <v>871</v>
      </c>
      <c r="G9" s="33">
        <v>0.0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</v>
      </c>
      <c r="C1" s="23" t="s">
        <v>2</v>
      </c>
      <c r="D1" s="23" t="s">
        <v>926</v>
      </c>
      <c r="E1" s="23" t="s">
        <v>927</v>
      </c>
      <c r="F1" s="23" t="s">
        <v>1</v>
      </c>
      <c r="G1" s="45" t="s">
        <v>928</v>
      </c>
      <c r="H1" s="46" t="s">
        <v>929</v>
      </c>
      <c r="I1" s="46" t="s">
        <v>8</v>
      </c>
      <c r="J1" s="46" t="s">
        <v>9</v>
      </c>
      <c r="K1" s="45" t="s">
        <v>930</v>
      </c>
      <c r="L1" s="46" t="s">
        <v>931</v>
      </c>
      <c r="M1" s="46" t="s">
        <v>8</v>
      </c>
      <c r="N1" s="46" t="s">
        <v>9</v>
      </c>
      <c r="O1" s="47" t="s">
        <v>932</v>
      </c>
      <c r="P1" s="47" t="s">
        <v>7</v>
      </c>
      <c r="Q1" s="46" t="s">
        <v>8</v>
      </c>
      <c r="R1" s="46" t="s">
        <v>9</v>
      </c>
      <c r="S1" s="47" t="s">
        <v>933</v>
      </c>
      <c r="T1" s="47" t="s">
        <v>13</v>
      </c>
      <c r="U1" s="46" t="s">
        <v>8</v>
      </c>
      <c r="V1" s="46" t="s">
        <v>9</v>
      </c>
      <c r="W1" s="47" t="s">
        <v>934</v>
      </c>
      <c r="X1" s="47" t="s">
        <v>7</v>
      </c>
      <c r="Y1" s="46" t="s">
        <v>8</v>
      </c>
      <c r="Z1" s="46" t="s">
        <v>9</v>
      </c>
      <c r="AA1" s="47" t="s">
        <v>935</v>
      </c>
      <c r="AB1" s="47" t="s">
        <v>7</v>
      </c>
      <c r="AC1" s="46" t="s">
        <v>8</v>
      </c>
      <c r="AD1" s="46" t="s">
        <v>9</v>
      </c>
      <c r="AE1" s="47" t="s">
        <v>936</v>
      </c>
      <c r="AF1" s="47" t="s">
        <v>7</v>
      </c>
      <c r="AG1" s="46" t="s">
        <v>8</v>
      </c>
      <c r="AH1" s="46" t="s">
        <v>9</v>
      </c>
      <c r="AI1" s="47" t="s">
        <v>937</v>
      </c>
      <c r="AJ1" s="47" t="s">
        <v>7</v>
      </c>
      <c r="AK1" s="46" t="s">
        <v>8</v>
      </c>
      <c r="AL1" s="46" t="s">
        <v>9</v>
      </c>
      <c r="AM1" s="47" t="s">
        <v>938</v>
      </c>
      <c r="AN1" s="47" t="s">
        <v>7</v>
      </c>
      <c r="AO1" s="46" t="s">
        <v>8</v>
      </c>
      <c r="AP1" s="46" t="s">
        <v>9</v>
      </c>
      <c r="AQ1" s="47" t="s">
        <v>939</v>
      </c>
      <c r="AR1" s="47" t="s">
        <v>7</v>
      </c>
      <c r="AS1" s="46" t="s">
        <v>8</v>
      </c>
      <c r="AT1" s="46" t="s">
        <v>9</v>
      </c>
      <c r="AU1" s="47" t="s">
        <v>940</v>
      </c>
      <c r="AV1" s="47" t="s">
        <v>7</v>
      </c>
      <c r="AW1" s="46" t="s">
        <v>8</v>
      </c>
      <c r="AX1" s="46" t="s">
        <v>9</v>
      </c>
      <c r="AY1" s="47" t="s">
        <v>941</v>
      </c>
      <c r="AZ1" s="47" t="s">
        <v>7</v>
      </c>
      <c r="BA1" s="46" t="s">
        <v>8</v>
      </c>
      <c r="BB1" s="46" t="s">
        <v>9</v>
      </c>
      <c r="BC1" s="47" t="s">
        <v>942</v>
      </c>
      <c r="BD1" s="47" t="s">
        <v>7</v>
      </c>
      <c r="BE1" s="46" t="s">
        <v>8</v>
      </c>
      <c r="BF1" s="46" t="s">
        <v>9</v>
      </c>
    </row>
    <row r="2">
      <c r="A2" s="5">
        <v>1334.0</v>
      </c>
      <c r="B2" s="6" t="s">
        <v>47</v>
      </c>
      <c r="C2" s="14" t="str">
        <f t="shared" ref="C2:C22" si="1">CONCATENATE(D2,"_",F2)</f>
        <v>ESD-01_ESD AT GANTRY SUPERVISOR CABIN</v>
      </c>
      <c r="D2" s="17" t="s">
        <v>943</v>
      </c>
      <c r="E2" s="17" t="s">
        <v>943</v>
      </c>
      <c r="F2" s="17" t="s">
        <v>944</v>
      </c>
      <c r="G2" s="30" t="s">
        <v>945</v>
      </c>
      <c r="H2" s="30">
        <v>0.0</v>
      </c>
      <c r="I2" s="31"/>
      <c r="J2" s="31"/>
      <c r="K2" s="30" t="s">
        <v>946</v>
      </c>
      <c r="L2" s="30">
        <v>0.0</v>
      </c>
      <c r="M2" s="43"/>
      <c r="N2" s="43"/>
      <c r="O2" s="10" t="s">
        <v>947</v>
      </c>
      <c r="P2" s="14">
        <v>0.0</v>
      </c>
      <c r="Q2" s="43"/>
      <c r="R2" s="43"/>
      <c r="S2" s="10" t="s">
        <v>948</v>
      </c>
      <c r="T2" s="14">
        <v>0.0</v>
      </c>
      <c r="U2" s="43"/>
      <c r="V2" s="43"/>
      <c r="W2" s="10" t="s">
        <v>949</v>
      </c>
      <c r="X2" s="14">
        <v>0.0</v>
      </c>
      <c r="Y2" s="43"/>
      <c r="Z2" s="43"/>
      <c r="AA2" s="10" t="s">
        <v>950</v>
      </c>
      <c r="AB2" s="14">
        <v>0.0</v>
      </c>
      <c r="AC2" s="43"/>
      <c r="AD2" s="43"/>
      <c r="AE2" s="10" t="s">
        <v>951</v>
      </c>
      <c r="AF2" s="14">
        <v>0.0</v>
      </c>
      <c r="AG2" s="43"/>
      <c r="AH2" s="43"/>
      <c r="AI2" s="10" t="s">
        <v>952</v>
      </c>
      <c r="AJ2" s="14">
        <v>0.0</v>
      </c>
      <c r="AK2" s="43"/>
      <c r="AL2" s="43"/>
      <c r="AM2" s="10" t="s">
        <v>953</v>
      </c>
      <c r="AN2" s="14">
        <v>0.0</v>
      </c>
      <c r="AO2" s="43"/>
      <c r="AP2" s="43"/>
      <c r="AQ2" s="10" t="s">
        <v>954</v>
      </c>
      <c r="AR2" s="14">
        <v>0.0</v>
      </c>
      <c r="AS2" s="43"/>
      <c r="AT2" s="43"/>
      <c r="AU2" s="10" t="s">
        <v>921</v>
      </c>
      <c r="AV2" s="14">
        <v>0.0</v>
      </c>
      <c r="AW2" s="43"/>
      <c r="AX2" s="43"/>
      <c r="AY2" s="10" t="s">
        <v>955</v>
      </c>
      <c r="AZ2" s="14">
        <v>0.0</v>
      </c>
      <c r="BA2" s="43"/>
      <c r="BB2" s="43"/>
      <c r="BC2" s="10" t="s">
        <v>956</v>
      </c>
      <c r="BD2" s="5">
        <v>0.0</v>
      </c>
      <c r="BE2" s="7"/>
      <c r="BF2" s="7"/>
    </row>
    <row r="3">
      <c r="A3" s="5">
        <v>1334.0</v>
      </c>
      <c r="B3" s="6" t="s">
        <v>47</v>
      </c>
      <c r="C3" s="14" t="str">
        <f t="shared" si="1"/>
        <v>ESD-02_ESD AT CONTROL ROOM</v>
      </c>
      <c r="D3" s="17" t="s">
        <v>957</v>
      </c>
      <c r="E3" s="17" t="s">
        <v>957</v>
      </c>
      <c r="F3" s="17" t="s">
        <v>958</v>
      </c>
      <c r="G3" s="33" t="s">
        <v>959</v>
      </c>
      <c r="H3" s="33">
        <v>0.0</v>
      </c>
      <c r="I3" s="16"/>
      <c r="J3" s="16"/>
      <c r="K3" s="33" t="s">
        <v>960</v>
      </c>
      <c r="L3" s="33">
        <v>0.0</v>
      </c>
      <c r="M3" s="43"/>
      <c r="N3" s="43"/>
      <c r="O3" s="10" t="s">
        <v>947</v>
      </c>
      <c r="P3" s="14">
        <v>0.0</v>
      </c>
      <c r="Q3" s="43"/>
      <c r="R3" s="43"/>
      <c r="S3" s="10" t="s">
        <v>948</v>
      </c>
      <c r="T3" s="14">
        <v>0.0</v>
      </c>
      <c r="U3" s="43"/>
      <c r="V3" s="43"/>
      <c r="W3" s="10" t="s">
        <v>949</v>
      </c>
      <c r="X3" s="14">
        <v>0.0</v>
      </c>
      <c r="Y3" s="43"/>
      <c r="Z3" s="43"/>
      <c r="AA3" s="10" t="s">
        <v>950</v>
      </c>
      <c r="AB3" s="14">
        <v>0.0</v>
      </c>
      <c r="AC3" s="43"/>
      <c r="AD3" s="43"/>
      <c r="AE3" s="10" t="s">
        <v>951</v>
      </c>
      <c r="AF3" s="14">
        <v>0.0</v>
      </c>
      <c r="AG3" s="43"/>
      <c r="AH3" s="43"/>
      <c r="AI3" s="10" t="s">
        <v>952</v>
      </c>
      <c r="AJ3" s="14">
        <v>0.0</v>
      </c>
      <c r="AK3" s="43"/>
      <c r="AL3" s="43"/>
      <c r="AM3" s="10" t="s">
        <v>953</v>
      </c>
      <c r="AN3" s="14">
        <v>0.0</v>
      </c>
      <c r="AO3" s="43"/>
      <c r="AP3" s="43"/>
      <c r="AQ3" s="10" t="s">
        <v>954</v>
      </c>
      <c r="AR3" s="14">
        <v>0.0</v>
      </c>
      <c r="AS3" s="43"/>
      <c r="AT3" s="43"/>
      <c r="AU3" s="10" t="s">
        <v>921</v>
      </c>
      <c r="AV3" s="14">
        <v>0.0</v>
      </c>
      <c r="AW3" s="43"/>
      <c r="AX3" s="43"/>
      <c r="AY3" s="10" t="s">
        <v>955</v>
      </c>
      <c r="AZ3" s="14">
        <v>0.0</v>
      </c>
      <c r="BA3" s="43"/>
      <c r="BB3" s="43"/>
      <c r="BC3" s="10" t="s">
        <v>956</v>
      </c>
      <c r="BD3" s="5">
        <v>0.0</v>
      </c>
      <c r="BE3" s="7"/>
      <c r="BF3" s="7"/>
    </row>
    <row r="4">
      <c r="A4" s="5">
        <v>1334.0</v>
      </c>
      <c r="B4" s="6" t="s">
        <v>47</v>
      </c>
      <c r="C4" s="14" t="str">
        <f t="shared" si="1"/>
        <v>ESD-03_ESD AT INSIDE PRODUCT PUMP HOUSE</v>
      </c>
      <c r="D4" s="17" t="s">
        <v>961</v>
      </c>
      <c r="E4" s="17" t="s">
        <v>961</v>
      </c>
      <c r="F4" s="17" t="s">
        <v>962</v>
      </c>
      <c r="G4" s="33" t="s">
        <v>963</v>
      </c>
      <c r="H4" s="33">
        <v>0.0</v>
      </c>
      <c r="I4" s="16"/>
      <c r="J4" s="16"/>
      <c r="K4" s="33" t="s">
        <v>964</v>
      </c>
      <c r="L4" s="33">
        <v>0.0</v>
      </c>
      <c r="M4" s="43"/>
      <c r="N4" s="43"/>
      <c r="O4" s="10" t="s">
        <v>947</v>
      </c>
      <c r="P4" s="14">
        <v>0.0</v>
      </c>
      <c r="Q4" s="43"/>
      <c r="R4" s="43"/>
      <c r="S4" s="10" t="s">
        <v>948</v>
      </c>
      <c r="T4" s="14">
        <v>0.0</v>
      </c>
      <c r="U4" s="43"/>
      <c r="V4" s="43"/>
      <c r="W4" s="10" t="s">
        <v>949</v>
      </c>
      <c r="X4" s="14">
        <v>0.0</v>
      </c>
      <c r="Y4" s="43"/>
      <c r="Z4" s="43"/>
      <c r="AA4" s="10" t="s">
        <v>950</v>
      </c>
      <c r="AB4" s="14">
        <v>0.0</v>
      </c>
      <c r="AC4" s="43"/>
      <c r="AD4" s="43"/>
      <c r="AE4" s="10" t="s">
        <v>951</v>
      </c>
      <c r="AF4" s="14">
        <v>0.0</v>
      </c>
      <c r="AG4" s="43"/>
      <c r="AH4" s="43"/>
      <c r="AI4" s="10" t="s">
        <v>952</v>
      </c>
      <c r="AJ4" s="14">
        <v>0.0</v>
      </c>
      <c r="AK4" s="43"/>
      <c r="AL4" s="43"/>
      <c r="AM4" s="10" t="s">
        <v>953</v>
      </c>
      <c r="AN4" s="14">
        <v>0.0</v>
      </c>
      <c r="AO4" s="43"/>
      <c r="AP4" s="43"/>
      <c r="AQ4" s="10" t="s">
        <v>954</v>
      </c>
      <c r="AR4" s="14">
        <v>0.0</v>
      </c>
      <c r="AS4" s="43"/>
      <c r="AT4" s="43"/>
      <c r="AU4" s="10" t="s">
        <v>921</v>
      </c>
      <c r="AV4" s="14">
        <v>0.0</v>
      </c>
      <c r="AW4" s="43"/>
      <c r="AX4" s="43"/>
      <c r="AY4" s="10" t="s">
        <v>955</v>
      </c>
      <c r="AZ4" s="14">
        <v>0.0</v>
      </c>
      <c r="BA4" s="43"/>
      <c r="BB4" s="43"/>
      <c r="BC4" s="10" t="s">
        <v>956</v>
      </c>
      <c r="BD4" s="5">
        <v>0.0</v>
      </c>
      <c r="BE4" s="7"/>
      <c r="BF4" s="7"/>
    </row>
    <row r="5">
      <c r="A5" s="5">
        <v>1334.0</v>
      </c>
      <c r="B5" s="6" t="s">
        <v>47</v>
      </c>
      <c r="C5" s="14" t="str">
        <f t="shared" si="1"/>
        <v>ESD-04_ESD AT SECURITY MAIN GATE</v>
      </c>
      <c r="D5" s="17" t="s">
        <v>965</v>
      </c>
      <c r="E5" s="17" t="s">
        <v>965</v>
      </c>
      <c r="F5" s="17" t="s">
        <v>966</v>
      </c>
      <c r="G5" s="33" t="s">
        <v>967</v>
      </c>
      <c r="H5" s="33">
        <v>0.0</v>
      </c>
      <c r="I5" s="16"/>
      <c r="J5" s="16"/>
      <c r="K5" s="33" t="s">
        <v>968</v>
      </c>
      <c r="L5" s="33">
        <v>0.0</v>
      </c>
      <c r="M5" s="43"/>
      <c r="N5" s="43"/>
      <c r="O5" s="10" t="s">
        <v>947</v>
      </c>
      <c r="P5" s="14">
        <v>0.0</v>
      </c>
      <c r="Q5" s="43"/>
      <c r="R5" s="43"/>
      <c r="S5" s="10" t="s">
        <v>948</v>
      </c>
      <c r="T5" s="14">
        <v>0.0</v>
      </c>
      <c r="U5" s="43"/>
      <c r="V5" s="43"/>
      <c r="W5" s="10" t="s">
        <v>949</v>
      </c>
      <c r="X5" s="14">
        <v>0.0</v>
      </c>
      <c r="Y5" s="43"/>
      <c r="Z5" s="43"/>
      <c r="AA5" s="10" t="s">
        <v>950</v>
      </c>
      <c r="AB5" s="14">
        <v>0.0</v>
      </c>
      <c r="AC5" s="43"/>
      <c r="AD5" s="43"/>
      <c r="AE5" s="10" t="s">
        <v>951</v>
      </c>
      <c r="AF5" s="14">
        <v>0.0</v>
      </c>
      <c r="AG5" s="43"/>
      <c r="AH5" s="43"/>
      <c r="AI5" s="10" t="s">
        <v>952</v>
      </c>
      <c r="AJ5" s="14">
        <v>0.0</v>
      </c>
      <c r="AK5" s="43"/>
      <c r="AL5" s="43"/>
      <c r="AM5" s="10" t="s">
        <v>953</v>
      </c>
      <c r="AN5" s="14">
        <v>0.0</v>
      </c>
      <c r="AO5" s="43"/>
      <c r="AP5" s="43"/>
      <c r="AQ5" s="10" t="s">
        <v>954</v>
      </c>
      <c r="AR5" s="14">
        <v>0.0</v>
      </c>
      <c r="AS5" s="43"/>
      <c r="AT5" s="43"/>
      <c r="AU5" s="10" t="s">
        <v>921</v>
      </c>
      <c r="AV5" s="14">
        <v>0.0</v>
      </c>
      <c r="AW5" s="43"/>
      <c r="AX5" s="43"/>
      <c r="AY5" s="10" t="s">
        <v>955</v>
      </c>
      <c r="AZ5" s="14">
        <v>0.0</v>
      </c>
      <c r="BA5" s="43"/>
      <c r="BB5" s="43"/>
      <c r="BC5" s="10" t="s">
        <v>956</v>
      </c>
      <c r="BD5" s="5">
        <v>0.0</v>
      </c>
      <c r="BE5" s="7"/>
      <c r="BF5" s="7"/>
    </row>
    <row r="6">
      <c r="A6" s="5">
        <v>1334.0</v>
      </c>
      <c r="B6" s="6" t="s">
        <v>47</v>
      </c>
      <c r="C6" s="14" t="str">
        <f t="shared" si="1"/>
        <v>ESD-05_ESD AT BEHIND BAY-08</v>
      </c>
      <c r="D6" s="17" t="s">
        <v>969</v>
      </c>
      <c r="E6" s="17" t="s">
        <v>969</v>
      </c>
      <c r="F6" s="17" t="s">
        <v>970</v>
      </c>
      <c r="G6" s="33" t="s">
        <v>971</v>
      </c>
      <c r="H6" s="33">
        <v>0.0</v>
      </c>
      <c r="I6" s="16"/>
      <c r="J6" s="16"/>
      <c r="K6" s="33" t="s">
        <v>972</v>
      </c>
      <c r="L6" s="33">
        <v>0.0</v>
      </c>
      <c r="M6" s="43"/>
      <c r="N6" s="43"/>
      <c r="O6" s="10" t="s">
        <v>947</v>
      </c>
      <c r="P6" s="14">
        <v>0.0</v>
      </c>
      <c r="Q6" s="43"/>
      <c r="R6" s="43"/>
      <c r="S6" s="10" t="s">
        <v>948</v>
      </c>
      <c r="T6" s="14">
        <v>0.0</v>
      </c>
      <c r="U6" s="43"/>
      <c r="V6" s="43"/>
      <c r="W6" s="10" t="s">
        <v>949</v>
      </c>
      <c r="X6" s="14">
        <v>0.0</v>
      </c>
      <c r="Y6" s="43"/>
      <c r="Z6" s="43"/>
      <c r="AA6" s="10" t="s">
        <v>950</v>
      </c>
      <c r="AB6" s="14">
        <v>0.0</v>
      </c>
      <c r="AC6" s="43"/>
      <c r="AD6" s="43"/>
      <c r="AE6" s="10" t="s">
        <v>951</v>
      </c>
      <c r="AF6" s="14">
        <v>0.0</v>
      </c>
      <c r="AG6" s="43"/>
      <c r="AH6" s="43"/>
      <c r="AI6" s="10" t="s">
        <v>952</v>
      </c>
      <c r="AJ6" s="14">
        <v>0.0</v>
      </c>
      <c r="AK6" s="43"/>
      <c r="AL6" s="43"/>
      <c r="AM6" s="10" t="s">
        <v>953</v>
      </c>
      <c r="AN6" s="14">
        <v>0.0</v>
      </c>
      <c r="AO6" s="43"/>
      <c r="AP6" s="43"/>
      <c r="AQ6" s="10" t="s">
        <v>954</v>
      </c>
      <c r="AR6" s="14">
        <v>0.0</v>
      </c>
      <c r="AS6" s="43"/>
      <c r="AT6" s="43"/>
      <c r="AU6" s="10" t="s">
        <v>921</v>
      </c>
      <c r="AV6" s="14">
        <v>0.0</v>
      </c>
      <c r="AW6" s="43"/>
      <c r="AX6" s="43"/>
      <c r="AY6" s="10" t="s">
        <v>955</v>
      </c>
      <c r="AZ6" s="14">
        <v>0.0</v>
      </c>
      <c r="BA6" s="43"/>
      <c r="BB6" s="43"/>
      <c r="BC6" s="10" t="s">
        <v>956</v>
      </c>
      <c r="BD6" s="5">
        <v>0.0</v>
      </c>
      <c r="BE6" s="7"/>
      <c r="BF6" s="7"/>
    </row>
    <row r="7">
      <c r="A7" s="5">
        <v>1334.0</v>
      </c>
      <c r="B7" s="6" t="s">
        <v>47</v>
      </c>
      <c r="C7" s="14" t="str">
        <f t="shared" si="1"/>
        <v>ESD-06_ESD AT IN FRONT OF PUMP HOUSE</v>
      </c>
      <c r="D7" s="17" t="s">
        <v>973</v>
      </c>
      <c r="E7" s="17" t="s">
        <v>973</v>
      </c>
      <c r="F7" s="17" t="s">
        <v>974</v>
      </c>
      <c r="G7" s="33" t="s">
        <v>975</v>
      </c>
      <c r="H7" s="33">
        <v>0.0</v>
      </c>
      <c r="I7" s="16"/>
      <c r="J7" s="16"/>
      <c r="K7" s="33" t="s">
        <v>976</v>
      </c>
      <c r="L7" s="33">
        <v>0.0</v>
      </c>
      <c r="M7" s="43"/>
      <c r="N7" s="43"/>
      <c r="O7" s="10" t="s">
        <v>947</v>
      </c>
      <c r="P7" s="14">
        <v>0.0</v>
      </c>
      <c r="Q7" s="43"/>
      <c r="R7" s="43"/>
      <c r="S7" s="10" t="s">
        <v>948</v>
      </c>
      <c r="T7" s="14">
        <v>0.0</v>
      </c>
      <c r="U7" s="43"/>
      <c r="V7" s="43"/>
      <c r="W7" s="10" t="s">
        <v>949</v>
      </c>
      <c r="X7" s="14">
        <v>0.0</v>
      </c>
      <c r="Y7" s="43"/>
      <c r="Z7" s="43"/>
      <c r="AA7" s="10" t="s">
        <v>950</v>
      </c>
      <c r="AB7" s="14">
        <v>0.0</v>
      </c>
      <c r="AC7" s="43"/>
      <c r="AD7" s="43"/>
      <c r="AE7" s="10" t="s">
        <v>951</v>
      </c>
      <c r="AF7" s="14">
        <v>0.0</v>
      </c>
      <c r="AG7" s="43"/>
      <c r="AH7" s="43"/>
      <c r="AI7" s="10" t="s">
        <v>952</v>
      </c>
      <c r="AJ7" s="14">
        <v>0.0</v>
      </c>
      <c r="AK7" s="43"/>
      <c r="AL7" s="43"/>
      <c r="AM7" s="10" t="s">
        <v>953</v>
      </c>
      <c r="AN7" s="14">
        <v>0.0</v>
      </c>
      <c r="AO7" s="43"/>
      <c r="AP7" s="43"/>
      <c r="AQ7" s="10" t="s">
        <v>954</v>
      </c>
      <c r="AR7" s="14">
        <v>0.0</v>
      </c>
      <c r="AS7" s="43"/>
      <c r="AT7" s="43"/>
      <c r="AU7" s="10" t="s">
        <v>921</v>
      </c>
      <c r="AV7" s="14">
        <v>0.0</v>
      </c>
      <c r="AW7" s="43"/>
      <c r="AX7" s="43"/>
      <c r="AY7" s="10" t="s">
        <v>955</v>
      </c>
      <c r="AZ7" s="14">
        <v>0.0</v>
      </c>
      <c r="BA7" s="43"/>
      <c r="BB7" s="43"/>
      <c r="BC7" s="10" t="s">
        <v>956</v>
      </c>
      <c r="BD7" s="5">
        <v>0.0</v>
      </c>
      <c r="BE7" s="7"/>
      <c r="BF7" s="7"/>
    </row>
    <row r="8">
      <c r="A8" s="5">
        <v>1334.0</v>
      </c>
      <c r="B8" s="6" t="s">
        <v>47</v>
      </c>
      <c r="C8" s="14" t="str">
        <f t="shared" si="1"/>
        <v>ESD-07_ESD AT NEAR TANK 04</v>
      </c>
      <c r="D8" s="17" t="s">
        <v>977</v>
      </c>
      <c r="E8" s="17" t="s">
        <v>977</v>
      </c>
      <c r="F8" s="17" t="s">
        <v>978</v>
      </c>
      <c r="G8" s="33" t="s">
        <v>979</v>
      </c>
      <c r="H8" s="33">
        <v>0.0</v>
      </c>
      <c r="I8" s="16"/>
      <c r="J8" s="16"/>
      <c r="K8" s="33" t="s">
        <v>980</v>
      </c>
      <c r="L8" s="33">
        <v>0.0</v>
      </c>
      <c r="M8" s="43"/>
      <c r="N8" s="43"/>
      <c r="O8" s="10" t="s">
        <v>947</v>
      </c>
      <c r="P8" s="14">
        <v>0.0</v>
      </c>
      <c r="Q8" s="43"/>
      <c r="R8" s="43"/>
      <c r="S8" s="10" t="s">
        <v>948</v>
      </c>
      <c r="T8" s="14">
        <v>0.0</v>
      </c>
      <c r="U8" s="43"/>
      <c r="V8" s="43"/>
      <c r="W8" s="10" t="s">
        <v>949</v>
      </c>
      <c r="X8" s="14">
        <v>0.0</v>
      </c>
      <c r="Y8" s="43"/>
      <c r="Z8" s="43"/>
      <c r="AA8" s="10" t="s">
        <v>950</v>
      </c>
      <c r="AB8" s="14">
        <v>0.0</v>
      </c>
      <c r="AC8" s="43"/>
      <c r="AD8" s="43"/>
      <c r="AE8" s="10" t="s">
        <v>951</v>
      </c>
      <c r="AF8" s="14">
        <v>0.0</v>
      </c>
      <c r="AG8" s="43"/>
      <c r="AH8" s="43"/>
      <c r="AI8" s="10" t="s">
        <v>952</v>
      </c>
      <c r="AJ8" s="14">
        <v>0.0</v>
      </c>
      <c r="AK8" s="43"/>
      <c r="AL8" s="43"/>
      <c r="AM8" s="10" t="s">
        <v>953</v>
      </c>
      <c r="AN8" s="14">
        <v>0.0</v>
      </c>
      <c r="AO8" s="43"/>
      <c r="AP8" s="43"/>
      <c r="AQ8" s="10" t="s">
        <v>954</v>
      </c>
      <c r="AR8" s="14">
        <v>0.0</v>
      </c>
      <c r="AS8" s="43"/>
      <c r="AT8" s="43"/>
      <c r="AU8" s="10" t="s">
        <v>921</v>
      </c>
      <c r="AV8" s="14">
        <v>0.0</v>
      </c>
      <c r="AW8" s="43"/>
      <c r="AX8" s="43"/>
      <c r="AY8" s="10" t="s">
        <v>955</v>
      </c>
      <c r="AZ8" s="14">
        <v>0.0</v>
      </c>
      <c r="BA8" s="43"/>
      <c r="BB8" s="43"/>
      <c r="BC8" s="10" t="s">
        <v>956</v>
      </c>
      <c r="BD8" s="5">
        <v>0.0</v>
      </c>
      <c r="BE8" s="7"/>
      <c r="BF8" s="7"/>
    </row>
    <row r="9">
      <c r="A9" s="5">
        <v>1334.0</v>
      </c>
      <c r="B9" s="6" t="s">
        <v>47</v>
      </c>
      <c r="C9" s="14" t="str">
        <f t="shared" si="1"/>
        <v>ESD-08_ESD AT NEAR TANK 28</v>
      </c>
      <c r="D9" s="17" t="s">
        <v>981</v>
      </c>
      <c r="E9" s="17" t="s">
        <v>981</v>
      </c>
      <c r="F9" s="17" t="s">
        <v>982</v>
      </c>
      <c r="G9" s="33" t="s">
        <v>983</v>
      </c>
      <c r="H9" s="33">
        <v>0.0</v>
      </c>
      <c r="I9" s="16"/>
      <c r="J9" s="16"/>
      <c r="K9" s="33" t="s">
        <v>984</v>
      </c>
      <c r="L9" s="33">
        <v>0.0</v>
      </c>
      <c r="M9" s="43"/>
      <c r="N9" s="43"/>
      <c r="O9" s="10" t="s">
        <v>947</v>
      </c>
      <c r="P9" s="14">
        <v>0.0</v>
      </c>
      <c r="Q9" s="43"/>
      <c r="R9" s="43"/>
      <c r="S9" s="10" t="s">
        <v>948</v>
      </c>
      <c r="T9" s="14">
        <v>0.0</v>
      </c>
      <c r="U9" s="43"/>
      <c r="V9" s="43"/>
      <c r="W9" s="10" t="s">
        <v>949</v>
      </c>
      <c r="X9" s="14">
        <v>0.0</v>
      </c>
      <c r="Y9" s="43"/>
      <c r="Z9" s="43"/>
      <c r="AA9" s="10" t="s">
        <v>950</v>
      </c>
      <c r="AB9" s="14">
        <v>0.0</v>
      </c>
      <c r="AC9" s="43"/>
      <c r="AD9" s="43"/>
      <c r="AE9" s="10" t="s">
        <v>951</v>
      </c>
      <c r="AF9" s="14">
        <v>0.0</v>
      </c>
      <c r="AG9" s="43"/>
      <c r="AH9" s="43"/>
      <c r="AI9" s="10" t="s">
        <v>952</v>
      </c>
      <c r="AJ9" s="14">
        <v>0.0</v>
      </c>
      <c r="AK9" s="43"/>
      <c r="AL9" s="43"/>
      <c r="AM9" s="10" t="s">
        <v>953</v>
      </c>
      <c r="AN9" s="14">
        <v>0.0</v>
      </c>
      <c r="AO9" s="43"/>
      <c r="AP9" s="43"/>
      <c r="AQ9" s="10" t="s">
        <v>954</v>
      </c>
      <c r="AR9" s="14">
        <v>0.0</v>
      </c>
      <c r="AS9" s="43"/>
      <c r="AT9" s="43"/>
      <c r="AU9" s="10" t="s">
        <v>921</v>
      </c>
      <c r="AV9" s="14">
        <v>0.0</v>
      </c>
      <c r="AW9" s="43"/>
      <c r="AX9" s="43"/>
      <c r="AY9" s="10" t="s">
        <v>955</v>
      </c>
      <c r="AZ9" s="14">
        <v>0.0</v>
      </c>
      <c r="BA9" s="43"/>
      <c r="BB9" s="43"/>
      <c r="BC9" s="10" t="s">
        <v>956</v>
      </c>
      <c r="BD9" s="5">
        <v>0.0</v>
      </c>
      <c r="BE9" s="7"/>
      <c r="BF9" s="7"/>
    </row>
    <row r="10">
      <c r="A10" s="5">
        <v>1334.0</v>
      </c>
      <c r="B10" s="6" t="s">
        <v>47</v>
      </c>
      <c r="C10" s="14" t="str">
        <f t="shared" si="1"/>
        <v>ESD-09_ESD AT NEAR TANK 17</v>
      </c>
      <c r="D10" s="17" t="s">
        <v>985</v>
      </c>
      <c r="E10" s="17" t="s">
        <v>985</v>
      </c>
      <c r="F10" s="17" t="s">
        <v>986</v>
      </c>
      <c r="G10" s="33" t="s">
        <v>987</v>
      </c>
      <c r="H10" s="33">
        <v>0.0</v>
      </c>
      <c r="I10" s="16"/>
      <c r="J10" s="16"/>
      <c r="K10" s="33" t="s">
        <v>988</v>
      </c>
      <c r="L10" s="33">
        <v>0.0</v>
      </c>
      <c r="M10" s="43"/>
      <c r="N10" s="43"/>
      <c r="O10" s="10" t="s">
        <v>947</v>
      </c>
      <c r="P10" s="14">
        <v>0.0</v>
      </c>
      <c r="Q10" s="43"/>
      <c r="R10" s="43"/>
      <c r="S10" s="10" t="s">
        <v>948</v>
      </c>
      <c r="T10" s="14">
        <v>0.0</v>
      </c>
      <c r="U10" s="43"/>
      <c r="V10" s="43"/>
      <c r="W10" s="10" t="s">
        <v>949</v>
      </c>
      <c r="X10" s="14">
        <v>0.0</v>
      </c>
      <c r="Y10" s="43"/>
      <c r="Z10" s="43"/>
      <c r="AA10" s="10" t="s">
        <v>950</v>
      </c>
      <c r="AB10" s="14">
        <v>0.0</v>
      </c>
      <c r="AC10" s="43"/>
      <c r="AD10" s="43"/>
      <c r="AE10" s="10" t="s">
        <v>951</v>
      </c>
      <c r="AF10" s="14">
        <v>0.0</v>
      </c>
      <c r="AG10" s="43"/>
      <c r="AH10" s="43"/>
      <c r="AI10" s="10" t="s">
        <v>952</v>
      </c>
      <c r="AJ10" s="14">
        <v>0.0</v>
      </c>
      <c r="AK10" s="43"/>
      <c r="AL10" s="43"/>
      <c r="AM10" s="10" t="s">
        <v>953</v>
      </c>
      <c r="AN10" s="14">
        <v>0.0</v>
      </c>
      <c r="AO10" s="43"/>
      <c r="AP10" s="43"/>
      <c r="AQ10" s="10" t="s">
        <v>954</v>
      </c>
      <c r="AR10" s="14">
        <v>0.0</v>
      </c>
      <c r="AS10" s="43"/>
      <c r="AT10" s="43"/>
      <c r="AU10" s="10" t="s">
        <v>921</v>
      </c>
      <c r="AV10" s="14">
        <v>0.0</v>
      </c>
      <c r="AW10" s="43"/>
      <c r="AX10" s="43"/>
      <c r="AY10" s="10" t="s">
        <v>955</v>
      </c>
      <c r="AZ10" s="14">
        <v>0.0</v>
      </c>
      <c r="BA10" s="43"/>
      <c r="BB10" s="43"/>
      <c r="BC10" s="10" t="s">
        <v>956</v>
      </c>
      <c r="BD10" s="5">
        <v>0.0</v>
      </c>
      <c r="BE10" s="7"/>
      <c r="BF10" s="7"/>
    </row>
    <row r="11">
      <c r="A11" s="5">
        <v>1334.0</v>
      </c>
      <c r="B11" s="6" t="s">
        <v>47</v>
      </c>
      <c r="C11" s="14" t="str">
        <f t="shared" si="1"/>
        <v>ESD-10_ESD AT MCC ROOM</v>
      </c>
      <c r="D11" s="17" t="s">
        <v>989</v>
      </c>
      <c r="E11" s="17" t="s">
        <v>989</v>
      </c>
      <c r="F11" s="17" t="s">
        <v>990</v>
      </c>
      <c r="G11" s="33" t="s">
        <v>991</v>
      </c>
      <c r="H11" s="33">
        <v>0.0</v>
      </c>
      <c r="I11" s="16"/>
      <c r="J11" s="16"/>
      <c r="K11" s="33" t="s">
        <v>992</v>
      </c>
      <c r="L11" s="33">
        <v>0.0</v>
      </c>
      <c r="M11" s="43"/>
      <c r="N11" s="43"/>
      <c r="O11" s="10" t="s">
        <v>947</v>
      </c>
      <c r="P11" s="14">
        <v>0.0</v>
      </c>
      <c r="Q11" s="43"/>
      <c r="R11" s="43"/>
      <c r="S11" s="10" t="s">
        <v>948</v>
      </c>
      <c r="T11" s="14">
        <v>0.0</v>
      </c>
      <c r="U11" s="43"/>
      <c r="V11" s="43"/>
      <c r="W11" s="10" t="s">
        <v>949</v>
      </c>
      <c r="X11" s="14">
        <v>0.0</v>
      </c>
      <c r="Y11" s="43"/>
      <c r="Z11" s="43"/>
      <c r="AA11" s="10" t="s">
        <v>950</v>
      </c>
      <c r="AB11" s="14">
        <v>0.0</v>
      </c>
      <c r="AC11" s="43"/>
      <c r="AD11" s="43"/>
      <c r="AE11" s="10" t="s">
        <v>951</v>
      </c>
      <c r="AF11" s="14">
        <v>0.0</v>
      </c>
      <c r="AG11" s="43"/>
      <c r="AH11" s="43"/>
      <c r="AI11" s="10" t="s">
        <v>952</v>
      </c>
      <c r="AJ11" s="14">
        <v>0.0</v>
      </c>
      <c r="AK11" s="43"/>
      <c r="AL11" s="43"/>
      <c r="AM11" s="10" t="s">
        <v>953</v>
      </c>
      <c r="AN11" s="14">
        <v>0.0</v>
      </c>
      <c r="AO11" s="43"/>
      <c r="AP11" s="43"/>
      <c r="AQ11" s="10" t="s">
        <v>954</v>
      </c>
      <c r="AR11" s="14">
        <v>0.0</v>
      </c>
      <c r="AS11" s="43"/>
      <c r="AT11" s="43"/>
      <c r="AU11" s="10" t="s">
        <v>921</v>
      </c>
      <c r="AV11" s="14">
        <v>0.0</v>
      </c>
      <c r="AW11" s="43"/>
      <c r="AX11" s="43"/>
      <c r="AY11" s="10" t="s">
        <v>955</v>
      </c>
      <c r="AZ11" s="14">
        <v>0.0</v>
      </c>
      <c r="BA11" s="43"/>
      <c r="BB11" s="43"/>
      <c r="BC11" s="10" t="s">
        <v>956</v>
      </c>
      <c r="BD11" s="5">
        <v>0.0</v>
      </c>
      <c r="BE11" s="7"/>
      <c r="BF11" s="7"/>
    </row>
    <row r="12">
      <c r="A12" s="5">
        <v>1334.0</v>
      </c>
      <c r="B12" s="6" t="s">
        <v>47</v>
      </c>
      <c r="C12" s="14" t="str">
        <f t="shared" si="1"/>
        <v>ESD-11_ESD AT ADMIN BULDING</v>
      </c>
      <c r="D12" s="17" t="s">
        <v>993</v>
      </c>
      <c r="E12" s="17" t="s">
        <v>993</v>
      </c>
      <c r="F12" s="17" t="s">
        <v>994</v>
      </c>
      <c r="G12" s="33" t="s">
        <v>995</v>
      </c>
      <c r="H12" s="33">
        <v>0.0</v>
      </c>
      <c r="I12" s="16"/>
      <c r="J12" s="16"/>
      <c r="K12" s="33" t="s">
        <v>996</v>
      </c>
      <c r="L12" s="33">
        <v>0.0</v>
      </c>
      <c r="M12" s="43"/>
      <c r="N12" s="43"/>
      <c r="O12" s="10" t="s">
        <v>947</v>
      </c>
      <c r="P12" s="14">
        <v>0.0</v>
      </c>
      <c r="Q12" s="43"/>
      <c r="R12" s="43"/>
      <c r="S12" s="10" t="s">
        <v>948</v>
      </c>
      <c r="T12" s="14">
        <v>0.0</v>
      </c>
      <c r="U12" s="43"/>
      <c r="V12" s="43"/>
      <c r="W12" s="10" t="s">
        <v>949</v>
      </c>
      <c r="X12" s="14">
        <v>0.0</v>
      </c>
      <c r="Y12" s="43"/>
      <c r="Z12" s="43"/>
      <c r="AA12" s="10" t="s">
        <v>950</v>
      </c>
      <c r="AB12" s="14">
        <v>0.0</v>
      </c>
      <c r="AC12" s="43"/>
      <c r="AD12" s="43"/>
      <c r="AE12" s="10" t="s">
        <v>951</v>
      </c>
      <c r="AF12" s="14">
        <v>0.0</v>
      </c>
      <c r="AG12" s="43"/>
      <c r="AH12" s="43"/>
      <c r="AI12" s="10" t="s">
        <v>952</v>
      </c>
      <c r="AJ12" s="14">
        <v>0.0</v>
      </c>
      <c r="AK12" s="43"/>
      <c r="AL12" s="43"/>
      <c r="AM12" s="10" t="s">
        <v>953</v>
      </c>
      <c r="AN12" s="14">
        <v>0.0</v>
      </c>
      <c r="AO12" s="43"/>
      <c r="AP12" s="43"/>
      <c r="AQ12" s="10" t="s">
        <v>954</v>
      </c>
      <c r="AR12" s="14">
        <v>0.0</v>
      </c>
      <c r="AS12" s="43"/>
      <c r="AT12" s="43"/>
      <c r="AU12" s="10" t="s">
        <v>921</v>
      </c>
      <c r="AV12" s="14">
        <v>0.0</v>
      </c>
      <c r="AW12" s="43"/>
      <c r="AX12" s="43"/>
      <c r="AY12" s="10" t="s">
        <v>955</v>
      </c>
      <c r="AZ12" s="14">
        <v>0.0</v>
      </c>
      <c r="BA12" s="43"/>
      <c r="BB12" s="43"/>
      <c r="BC12" s="10" t="s">
        <v>956</v>
      </c>
      <c r="BD12" s="5">
        <v>0.0</v>
      </c>
      <c r="BE12" s="7"/>
      <c r="BF12" s="7"/>
    </row>
    <row r="13">
      <c r="A13" s="5">
        <v>1334.0</v>
      </c>
      <c r="B13" s="6" t="s">
        <v>47</v>
      </c>
      <c r="C13" s="14" t="str">
        <f t="shared" si="1"/>
        <v>ESD-12_ESD AT NEAR ERV SHED</v>
      </c>
      <c r="D13" s="17" t="s">
        <v>997</v>
      </c>
      <c r="E13" s="17" t="s">
        <v>997</v>
      </c>
      <c r="F13" s="17" t="s">
        <v>998</v>
      </c>
      <c r="G13" s="33" t="s">
        <v>999</v>
      </c>
      <c r="H13" s="33">
        <v>0.0</v>
      </c>
      <c r="I13" s="16"/>
      <c r="J13" s="16"/>
      <c r="K13" s="33" t="s">
        <v>1000</v>
      </c>
      <c r="L13" s="33">
        <v>0.0</v>
      </c>
      <c r="M13" s="43"/>
      <c r="N13" s="43"/>
      <c r="O13" s="10" t="s">
        <v>947</v>
      </c>
      <c r="P13" s="14">
        <v>0.0</v>
      </c>
      <c r="Q13" s="43"/>
      <c r="R13" s="43"/>
      <c r="S13" s="10" t="s">
        <v>948</v>
      </c>
      <c r="T13" s="14">
        <v>0.0</v>
      </c>
      <c r="U13" s="43"/>
      <c r="V13" s="43"/>
      <c r="W13" s="10" t="s">
        <v>949</v>
      </c>
      <c r="X13" s="14">
        <v>0.0</v>
      </c>
      <c r="Y13" s="43"/>
      <c r="Z13" s="43"/>
      <c r="AA13" s="10" t="s">
        <v>950</v>
      </c>
      <c r="AB13" s="14">
        <v>0.0</v>
      </c>
      <c r="AC13" s="43"/>
      <c r="AD13" s="43"/>
      <c r="AE13" s="10" t="s">
        <v>951</v>
      </c>
      <c r="AF13" s="14">
        <v>0.0</v>
      </c>
      <c r="AG13" s="43"/>
      <c r="AH13" s="43"/>
      <c r="AI13" s="10" t="s">
        <v>952</v>
      </c>
      <c r="AJ13" s="14">
        <v>0.0</v>
      </c>
      <c r="AK13" s="43"/>
      <c r="AL13" s="43"/>
      <c r="AM13" s="10" t="s">
        <v>953</v>
      </c>
      <c r="AN13" s="14">
        <v>0.0</v>
      </c>
      <c r="AO13" s="43"/>
      <c r="AP13" s="43"/>
      <c r="AQ13" s="10" t="s">
        <v>954</v>
      </c>
      <c r="AR13" s="14">
        <v>0.0</v>
      </c>
      <c r="AS13" s="43"/>
      <c r="AT13" s="43"/>
      <c r="AU13" s="10" t="s">
        <v>921</v>
      </c>
      <c r="AV13" s="14">
        <v>0.0</v>
      </c>
      <c r="AW13" s="43"/>
      <c r="AX13" s="43"/>
      <c r="AY13" s="10" t="s">
        <v>955</v>
      </c>
      <c r="AZ13" s="14">
        <v>0.0</v>
      </c>
      <c r="BA13" s="43"/>
      <c r="BB13" s="43"/>
      <c r="BC13" s="10" t="s">
        <v>956</v>
      </c>
      <c r="BD13" s="5">
        <v>0.0</v>
      </c>
      <c r="BE13" s="7"/>
      <c r="BF13" s="7"/>
    </row>
    <row r="14">
      <c r="A14" s="5">
        <v>1334.0</v>
      </c>
      <c r="B14" s="6" t="s">
        <v>47</v>
      </c>
      <c r="C14" s="14" t="str">
        <f t="shared" si="1"/>
        <v>ESD-13_ESD FROM PIPE LINE PLC</v>
      </c>
      <c r="D14" s="17" t="s">
        <v>1001</v>
      </c>
      <c r="E14" s="17" t="s">
        <v>1002</v>
      </c>
      <c r="F14" s="17" t="s">
        <v>1003</v>
      </c>
      <c r="G14" s="33" t="s">
        <v>1004</v>
      </c>
      <c r="H14" s="33">
        <v>0.0</v>
      </c>
      <c r="I14" s="16"/>
      <c r="J14" s="16"/>
      <c r="K14" s="33" t="s">
        <v>1005</v>
      </c>
      <c r="L14" s="33">
        <v>0.0</v>
      </c>
      <c r="M14" s="43"/>
      <c r="N14" s="43"/>
      <c r="O14" s="10" t="s">
        <v>947</v>
      </c>
      <c r="P14" s="14">
        <v>0.0</v>
      </c>
      <c r="Q14" s="43"/>
      <c r="R14" s="43"/>
      <c r="S14" s="10" t="s">
        <v>948</v>
      </c>
      <c r="T14" s="14">
        <v>0.0</v>
      </c>
      <c r="U14" s="43"/>
      <c r="V14" s="43"/>
      <c r="W14" s="10" t="s">
        <v>949</v>
      </c>
      <c r="X14" s="14">
        <v>0.0</v>
      </c>
      <c r="Y14" s="43"/>
      <c r="Z14" s="43"/>
      <c r="AA14" s="10" t="s">
        <v>950</v>
      </c>
      <c r="AB14" s="14">
        <v>0.0</v>
      </c>
      <c r="AC14" s="43"/>
      <c r="AD14" s="43"/>
      <c r="AE14" s="10" t="s">
        <v>951</v>
      </c>
      <c r="AF14" s="14">
        <v>0.0</v>
      </c>
      <c r="AG14" s="43"/>
      <c r="AH14" s="43"/>
      <c r="AI14" s="10" t="s">
        <v>952</v>
      </c>
      <c r="AJ14" s="14">
        <v>0.0</v>
      </c>
      <c r="AK14" s="43"/>
      <c r="AL14" s="43"/>
      <c r="AM14" s="10" t="s">
        <v>953</v>
      </c>
      <c r="AN14" s="14">
        <v>0.0</v>
      </c>
      <c r="AO14" s="43"/>
      <c r="AP14" s="43"/>
      <c r="AQ14" s="10" t="s">
        <v>954</v>
      </c>
      <c r="AR14" s="14">
        <v>0.0</v>
      </c>
      <c r="AS14" s="43"/>
      <c r="AT14" s="43"/>
      <c r="AU14" s="10" t="s">
        <v>921</v>
      </c>
      <c r="AV14" s="14">
        <v>0.0</v>
      </c>
      <c r="AW14" s="43"/>
      <c r="AX14" s="43"/>
      <c r="AY14" s="10" t="s">
        <v>955</v>
      </c>
      <c r="AZ14" s="14">
        <v>0.0</v>
      </c>
      <c r="BA14" s="43"/>
      <c r="BB14" s="43"/>
      <c r="BC14" s="10" t="s">
        <v>956</v>
      </c>
      <c r="BD14" s="5">
        <v>0.0</v>
      </c>
      <c r="BE14" s="7"/>
      <c r="BF14" s="7"/>
    </row>
    <row r="15">
      <c r="A15" s="5">
        <v>1334.0</v>
      </c>
      <c r="B15" s="6" t="s">
        <v>47</v>
      </c>
      <c r="C15" s="14" t="str">
        <f t="shared" si="1"/>
        <v>ESD-14_CENTRAL ESD</v>
      </c>
      <c r="D15" s="17" t="s">
        <v>1006</v>
      </c>
      <c r="E15" s="17" t="s">
        <v>1007</v>
      </c>
      <c r="F15" s="17" t="s">
        <v>1008</v>
      </c>
      <c r="G15" s="33" t="s">
        <v>1009</v>
      </c>
      <c r="H15" s="33">
        <v>0.0</v>
      </c>
      <c r="I15" s="16"/>
      <c r="J15" s="16"/>
      <c r="K15" s="16"/>
      <c r="L15" s="16"/>
      <c r="M15" s="43"/>
      <c r="N15" s="43"/>
      <c r="O15" s="10" t="s">
        <v>947</v>
      </c>
      <c r="P15" s="14">
        <v>0.0</v>
      </c>
      <c r="Q15" s="43"/>
      <c r="R15" s="43"/>
      <c r="S15" s="10" t="s">
        <v>948</v>
      </c>
      <c r="T15" s="14">
        <v>0.0</v>
      </c>
      <c r="U15" s="43"/>
      <c r="V15" s="43"/>
      <c r="W15" s="10" t="s">
        <v>949</v>
      </c>
      <c r="X15" s="14">
        <v>0.0</v>
      </c>
      <c r="Y15" s="43"/>
      <c r="Z15" s="43"/>
      <c r="AA15" s="10" t="s">
        <v>950</v>
      </c>
      <c r="AB15" s="14">
        <v>0.0</v>
      </c>
      <c r="AC15" s="43"/>
      <c r="AD15" s="43"/>
      <c r="AE15" s="10" t="s">
        <v>951</v>
      </c>
      <c r="AF15" s="14">
        <v>0.0</v>
      </c>
      <c r="AG15" s="43"/>
      <c r="AH15" s="43"/>
      <c r="AI15" s="10" t="s">
        <v>952</v>
      </c>
      <c r="AJ15" s="14">
        <v>0.0</v>
      </c>
      <c r="AK15" s="43"/>
      <c r="AL15" s="43"/>
      <c r="AM15" s="10" t="s">
        <v>953</v>
      </c>
      <c r="AN15" s="14">
        <v>0.0</v>
      </c>
      <c r="AO15" s="43"/>
      <c r="AP15" s="43"/>
      <c r="AQ15" s="10" t="s">
        <v>954</v>
      </c>
      <c r="AR15" s="14">
        <v>0.0</v>
      </c>
      <c r="AS15" s="43"/>
      <c r="AT15" s="43"/>
      <c r="AU15" s="10" t="s">
        <v>921</v>
      </c>
      <c r="AV15" s="14">
        <v>0.0</v>
      </c>
      <c r="AW15" s="43"/>
      <c r="AX15" s="43"/>
      <c r="AY15" s="10" t="s">
        <v>955</v>
      </c>
      <c r="AZ15" s="14">
        <v>0.0</v>
      </c>
      <c r="BA15" s="43"/>
      <c r="BB15" s="43"/>
      <c r="BC15" s="10" t="s">
        <v>956</v>
      </c>
      <c r="BD15" s="5">
        <v>0.0</v>
      </c>
      <c r="BE15" s="7"/>
      <c r="BF15" s="7"/>
    </row>
    <row r="16">
      <c r="A16" s="5">
        <v>1334.0</v>
      </c>
      <c r="B16" s="6" t="s">
        <v>47</v>
      </c>
      <c r="C16" s="14" t="str">
        <f t="shared" si="1"/>
        <v>ESD-17_ESD DUE TO RIM SEAL</v>
      </c>
      <c r="D16" s="17" t="s">
        <v>1010</v>
      </c>
      <c r="E16" s="17" t="s">
        <v>1011</v>
      </c>
      <c r="F16" s="17" t="s">
        <v>1012</v>
      </c>
      <c r="G16" s="33" t="s">
        <v>1013</v>
      </c>
      <c r="H16" s="33">
        <v>0.0</v>
      </c>
      <c r="I16" s="16"/>
      <c r="J16" s="16"/>
      <c r="K16" s="16"/>
      <c r="L16" s="16"/>
      <c r="M16" s="43"/>
      <c r="N16" s="43"/>
      <c r="O16" s="10" t="s">
        <v>947</v>
      </c>
      <c r="P16" s="14">
        <v>0.0</v>
      </c>
      <c r="Q16" s="43"/>
      <c r="R16" s="43"/>
      <c r="S16" s="10" t="s">
        <v>948</v>
      </c>
      <c r="T16" s="14">
        <v>0.0</v>
      </c>
      <c r="U16" s="43"/>
      <c r="V16" s="43"/>
      <c r="W16" s="10" t="s">
        <v>949</v>
      </c>
      <c r="X16" s="14">
        <v>0.0</v>
      </c>
      <c r="Y16" s="43"/>
      <c r="Z16" s="43"/>
      <c r="AA16" s="10" t="s">
        <v>950</v>
      </c>
      <c r="AB16" s="14">
        <v>0.0</v>
      </c>
      <c r="AC16" s="43"/>
      <c r="AD16" s="43"/>
      <c r="AE16" s="10" t="s">
        <v>951</v>
      </c>
      <c r="AF16" s="14">
        <v>0.0</v>
      </c>
      <c r="AG16" s="43"/>
      <c r="AH16" s="43"/>
      <c r="AI16" s="10" t="s">
        <v>952</v>
      </c>
      <c r="AJ16" s="14">
        <v>0.0</v>
      </c>
      <c r="AK16" s="43"/>
      <c r="AL16" s="43"/>
      <c r="AM16" s="10" t="s">
        <v>953</v>
      </c>
      <c r="AN16" s="14">
        <v>0.0</v>
      </c>
      <c r="AO16" s="43"/>
      <c r="AP16" s="43"/>
      <c r="AQ16" s="10" t="s">
        <v>954</v>
      </c>
      <c r="AR16" s="14">
        <v>0.0</v>
      </c>
      <c r="AS16" s="43"/>
      <c r="AT16" s="43"/>
      <c r="AU16" s="10" t="s">
        <v>921</v>
      </c>
      <c r="AV16" s="14">
        <v>0.0</v>
      </c>
      <c r="AW16" s="43"/>
      <c r="AX16" s="43"/>
      <c r="AY16" s="10" t="s">
        <v>955</v>
      </c>
      <c r="AZ16" s="14">
        <v>0.0</v>
      </c>
      <c r="BA16" s="43"/>
      <c r="BB16" s="43"/>
      <c r="BC16" s="10" t="s">
        <v>956</v>
      </c>
      <c r="BD16" s="5">
        <v>0.0</v>
      </c>
      <c r="BE16" s="7"/>
      <c r="BF16" s="7"/>
    </row>
    <row r="17">
      <c r="A17" s="5">
        <v>1334.0</v>
      </c>
      <c r="B17" s="6" t="s">
        <v>47</v>
      </c>
      <c r="C17" s="14" t="str">
        <f t="shared" si="1"/>
        <v>ESD-18_ESD AT NEAR TK 15</v>
      </c>
      <c r="D17" s="17" t="s">
        <v>1014</v>
      </c>
      <c r="E17" s="17" t="s">
        <v>1001</v>
      </c>
      <c r="F17" s="17" t="s">
        <v>1015</v>
      </c>
      <c r="G17" s="33" t="s">
        <v>1016</v>
      </c>
      <c r="H17" s="33">
        <v>0.0</v>
      </c>
      <c r="I17" s="16"/>
      <c r="J17" s="16"/>
      <c r="K17" s="33" t="s">
        <v>1017</v>
      </c>
      <c r="L17" s="33">
        <v>0.0</v>
      </c>
      <c r="M17" s="43"/>
      <c r="N17" s="43"/>
      <c r="O17" s="10" t="s">
        <v>947</v>
      </c>
      <c r="P17" s="14">
        <v>0.0</v>
      </c>
      <c r="Q17" s="43"/>
      <c r="R17" s="43"/>
      <c r="S17" s="10" t="s">
        <v>948</v>
      </c>
      <c r="T17" s="14">
        <v>0.0</v>
      </c>
      <c r="U17" s="43"/>
      <c r="V17" s="43"/>
      <c r="W17" s="10" t="s">
        <v>949</v>
      </c>
      <c r="X17" s="14">
        <v>0.0</v>
      </c>
      <c r="Y17" s="43"/>
      <c r="Z17" s="43"/>
      <c r="AA17" s="10" t="s">
        <v>950</v>
      </c>
      <c r="AB17" s="14">
        <v>0.0</v>
      </c>
      <c r="AC17" s="43"/>
      <c r="AD17" s="43"/>
      <c r="AE17" s="10" t="s">
        <v>951</v>
      </c>
      <c r="AF17" s="14">
        <v>0.0</v>
      </c>
      <c r="AG17" s="43"/>
      <c r="AH17" s="43"/>
      <c r="AI17" s="10" t="s">
        <v>952</v>
      </c>
      <c r="AJ17" s="14">
        <v>0.0</v>
      </c>
      <c r="AK17" s="43"/>
      <c r="AL17" s="43"/>
      <c r="AM17" s="10" t="s">
        <v>953</v>
      </c>
      <c r="AN17" s="14">
        <v>0.0</v>
      </c>
      <c r="AO17" s="43"/>
      <c r="AP17" s="43"/>
      <c r="AQ17" s="10" t="s">
        <v>954</v>
      </c>
      <c r="AR17" s="14">
        <v>0.0</v>
      </c>
      <c r="AS17" s="43"/>
      <c r="AT17" s="43"/>
      <c r="AU17" s="10" t="s">
        <v>921</v>
      </c>
      <c r="AV17" s="14">
        <v>0.0</v>
      </c>
      <c r="AW17" s="43"/>
      <c r="AX17" s="43"/>
      <c r="AY17" s="10" t="s">
        <v>955</v>
      </c>
      <c r="AZ17" s="14">
        <v>0.0</v>
      </c>
      <c r="BA17" s="43"/>
      <c r="BB17" s="43"/>
      <c r="BC17" s="10" t="s">
        <v>956</v>
      </c>
      <c r="BD17" s="5">
        <v>0.0</v>
      </c>
      <c r="BE17" s="7"/>
      <c r="BF17" s="7"/>
    </row>
    <row r="18">
      <c r="A18" s="5">
        <v>1334.0</v>
      </c>
      <c r="B18" s="6" t="s">
        <v>47</v>
      </c>
      <c r="C18" s="14" t="str">
        <f t="shared" si="1"/>
        <v>ESD-19_ESD AT NEAR TK 01</v>
      </c>
      <c r="D18" s="17" t="s">
        <v>1018</v>
      </c>
      <c r="E18" s="17" t="s">
        <v>1006</v>
      </c>
      <c r="F18" s="17" t="s">
        <v>1019</v>
      </c>
      <c r="G18" s="33" t="s">
        <v>1020</v>
      </c>
      <c r="H18" s="33">
        <v>0.0</v>
      </c>
      <c r="I18" s="16"/>
      <c r="J18" s="16"/>
      <c r="K18" s="33" t="s">
        <v>1021</v>
      </c>
      <c r="L18" s="33">
        <v>0.0</v>
      </c>
      <c r="M18" s="43"/>
      <c r="N18" s="43"/>
      <c r="O18" s="10" t="s">
        <v>947</v>
      </c>
      <c r="P18" s="14">
        <v>0.0</v>
      </c>
      <c r="Q18" s="43"/>
      <c r="R18" s="43"/>
      <c r="S18" s="10" t="s">
        <v>948</v>
      </c>
      <c r="T18" s="14">
        <v>0.0</v>
      </c>
      <c r="U18" s="43"/>
      <c r="V18" s="43"/>
      <c r="W18" s="10" t="s">
        <v>949</v>
      </c>
      <c r="X18" s="14">
        <v>0.0</v>
      </c>
      <c r="Y18" s="43"/>
      <c r="Z18" s="43"/>
      <c r="AA18" s="10" t="s">
        <v>950</v>
      </c>
      <c r="AB18" s="14">
        <v>0.0</v>
      </c>
      <c r="AC18" s="43"/>
      <c r="AD18" s="43"/>
      <c r="AE18" s="10" t="s">
        <v>951</v>
      </c>
      <c r="AF18" s="14">
        <v>0.0</v>
      </c>
      <c r="AG18" s="43"/>
      <c r="AH18" s="43"/>
      <c r="AI18" s="10" t="s">
        <v>952</v>
      </c>
      <c r="AJ18" s="14">
        <v>0.0</v>
      </c>
      <c r="AK18" s="43"/>
      <c r="AL18" s="43"/>
      <c r="AM18" s="10" t="s">
        <v>953</v>
      </c>
      <c r="AN18" s="14">
        <v>0.0</v>
      </c>
      <c r="AO18" s="43"/>
      <c r="AP18" s="43"/>
      <c r="AQ18" s="10" t="s">
        <v>954</v>
      </c>
      <c r="AR18" s="14">
        <v>0.0</v>
      </c>
      <c r="AS18" s="43"/>
      <c r="AT18" s="43"/>
      <c r="AU18" s="10" t="s">
        <v>921</v>
      </c>
      <c r="AV18" s="14">
        <v>0.0</v>
      </c>
      <c r="AW18" s="43"/>
      <c r="AX18" s="43"/>
      <c r="AY18" s="10" t="s">
        <v>955</v>
      </c>
      <c r="AZ18" s="14">
        <v>0.0</v>
      </c>
      <c r="BA18" s="43"/>
      <c r="BB18" s="43"/>
      <c r="BC18" s="10" t="s">
        <v>956</v>
      </c>
      <c r="BD18" s="5">
        <v>0.0</v>
      </c>
      <c r="BE18" s="7"/>
      <c r="BF18" s="7"/>
    </row>
    <row r="19">
      <c r="A19" s="5">
        <v>1334.0</v>
      </c>
      <c r="B19" s="6" t="s">
        <v>47</v>
      </c>
      <c r="C19" s="14" t="str">
        <f t="shared" si="1"/>
        <v>ESD-BPCL_ESD-BPCL</v>
      </c>
      <c r="D19" s="17" t="s">
        <v>1022</v>
      </c>
      <c r="E19" s="17" t="s">
        <v>1022</v>
      </c>
      <c r="F19" s="17" t="s">
        <v>1022</v>
      </c>
      <c r="G19" s="33" t="s">
        <v>1023</v>
      </c>
      <c r="H19" s="33">
        <v>0.0</v>
      </c>
      <c r="I19" s="16"/>
      <c r="J19" s="16"/>
      <c r="K19" s="16"/>
      <c r="L19" s="7"/>
      <c r="M19" s="7"/>
      <c r="N19" s="7"/>
      <c r="O19" s="10" t="s">
        <v>947</v>
      </c>
      <c r="P19" s="14">
        <v>0.0</v>
      </c>
      <c r="Q19" s="43"/>
      <c r="R19" s="43"/>
      <c r="S19" s="10" t="s">
        <v>948</v>
      </c>
      <c r="T19" s="14">
        <v>0.0</v>
      </c>
      <c r="U19" s="43"/>
      <c r="V19" s="43"/>
      <c r="W19" s="10" t="s">
        <v>949</v>
      </c>
      <c r="X19" s="14">
        <v>0.0</v>
      </c>
      <c r="Y19" s="43"/>
      <c r="Z19" s="43"/>
      <c r="AA19" s="10" t="s">
        <v>950</v>
      </c>
      <c r="AB19" s="14">
        <v>0.0</v>
      </c>
      <c r="AC19" s="43"/>
      <c r="AD19" s="43"/>
      <c r="AE19" s="10" t="s">
        <v>951</v>
      </c>
      <c r="AF19" s="14">
        <v>0.0</v>
      </c>
      <c r="AG19" s="43"/>
      <c r="AH19" s="43"/>
      <c r="AI19" s="10" t="s">
        <v>952</v>
      </c>
      <c r="AJ19" s="14">
        <v>0.0</v>
      </c>
      <c r="AK19" s="43"/>
      <c r="AL19" s="43"/>
      <c r="AM19" s="10" t="s">
        <v>953</v>
      </c>
      <c r="AN19" s="14">
        <v>0.0</v>
      </c>
      <c r="AO19" s="43"/>
      <c r="AP19" s="43"/>
      <c r="AQ19" s="10" t="s">
        <v>954</v>
      </c>
      <c r="AR19" s="14">
        <v>0.0</v>
      </c>
      <c r="AS19" s="43"/>
      <c r="AT19" s="43"/>
      <c r="AU19" s="10" t="s">
        <v>921</v>
      </c>
      <c r="AV19" s="14">
        <v>0.0</v>
      </c>
      <c r="AW19" s="43"/>
      <c r="AX19" s="43"/>
      <c r="AY19" s="10" t="s">
        <v>955</v>
      </c>
      <c r="AZ19" s="14">
        <v>0.0</v>
      </c>
      <c r="BA19" s="43"/>
      <c r="BB19" s="43"/>
      <c r="BC19" s="10" t="s">
        <v>956</v>
      </c>
      <c r="BD19" s="5">
        <v>0.0</v>
      </c>
      <c r="BE19" s="7"/>
      <c r="BF19" s="7"/>
    </row>
    <row r="20">
      <c r="A20" s="5">
        <v>1334.0</v>
      </c>
      <c r="B20" s="6" t="s">
        <v>47</v>
      </c>
      <c r="C20" s="14" t="str">
        <f t="shared" si="1"/>
        <v>ESD-IOCL_ESD-IOCL</v>
      </c>
      <c r="D20" s="17" t="s">
        <v>1024</v>
      </c>
      <c r="E20" s="17" t="s">
        <v>1024</v>
      </c>
      <c r="F20" s="17" t="s">
        <v>1024</v>
      </c>
      <c r="G20" s="33" t="s">
        <v>1025</v>
      </c>
      <c r="H20" s="33">
        <v>0.0</v>
      </c>
      <c r="I20" s="16"/>
      <c r="J20" s="16"/>
      <c r="K20" s="16"/>
      <c r="L20" s="7"/>
      <c r="M20" s="7"/>
      <c r="N20" s="7"/>
      <c r="O20" s="10" t="s">
        <v>947</v>
      </c>
      <c r="P20" s="14">
        <v>0.0</v>
      </c>
      <c r="Q20" s="43"/>
      <c r="R20" s="43"/>
      <c r="S20" s="10" t="s">
        <v>948</v>
      </c>
      <c r="T20" s="14">
        <v>0.0</v>
      </c>
      <c r="U20" s="43"/>
      <c r="V20" s="43"/>
      <c r="W20" s="10" t="s">
        <v>949</v>
      </c>
      <c r="X20" s="14">
        <v>0.0</v>
      </c>
      <c r="Y20" s="43"/>
      <c r="Z20" s="43"/>
      <c r="AA20" s="10" t="s">
        <v>950</v>
      </c>
      <c r="AB20" s="14">
        <v>0.0</v>
      </c>
      <c r="AC20" s="43"/>
      <c r="AD20" s="43"/>
      <c r="AE20" s="10" t="s">
        <v>951</v>
      </c>
      <c r="AF20" s="14">
        <v>0.0</v>
      </c>
      <c r="AG20" s="43"/>
      <c r="AH20" s="43"/>
      <c r="AI20" s="10" t="s">
        <v>952</v>
      </c>
      <c r="AJ20" s="14">
        <v>0.0</v>
      </c>
      <c r="AK20" s="43"/>
      <c r="AL20" s="43"/>
      <c r="AM20" s="10" t="s">
        <v>953</v>
      </c>
      <c r="AN20" s="14">
        <v>0.0</v>
      </c>
      <c r="AO20" s="43"/>
      <c r="AP20" s="43"/>
      <c r="AQ20" s="10" t="s">
        <v>954</v>
      </c>
      <c r="AR20" s="14">
        <v>0.0</v>
      </c>
      <c r="AS20" s="43"/>
      <c r="AT20" s="43"/>
      <c r="AU20" s="10" t="s">
        <v>921</v>
      </c>
      <c r="AV20" s="14">
        <v>0.0</v>
      </c>
      <c r="AW20" s="43"/>
      <c r="AX20" s="43"/>
      <c r="AY20" s="10" t="s">
        <v>955</v>
      </c>
      <c r="AZ20" s="14">
        <v>0.0</v>
      </c>
      <c r="BA20" s="43"/>
      <c r="BB20" s="43"/>
      <c r="BC20" s="10" t="s">
        <v>956</v>
      </c>
      <c r="BD20" s="5">
        <v>0.0</v>
      </c>
      <c r="BE20" s="7"/>
      <c r="BF20" s="7"/>
    </row>
    <row r="21">
      <c r="A21" s="5">
        <v>1334.0</v>
      </c>
      <c r="B21" s="6" t="s">
        <v>47</v>
      </c>
      <c r="C21" s="14" t="str">
        <f t="shared" si="1"/>
        <v>ESD-SOFT_SOFT FROM OIC</v>
      </c>
      <c r="D21" s="17" t="s">
        <v>1026</v>
      </c>
      <c r="E21" s="17" t="s">
        <v>1026</v>
      </c>
      <c r="F21" s="17" t="s">
        <v>1027</v>
      </c>
      <c r="G21" s="33" t="s">
        <v>1028</v>
      </c>
      <c r="H21" s="33">
        <v>0.0</v>
      </c>
      <c r="I21" s="16"/>
      <c r="J21" s="16"/>
      <c r="K21" s="16"/>
      <c r="L21" s="7"/>
      <c r="M21" s="7"/>
      <c r="N21" s="7"/>
      <c r="O21" s="10" t="s">
        <v>947</v>
      </c>
      <c r="P21" s="14">
        <v>0.0</v>
      </c>
      <c r="Q21" s="43"/>
      <c r="R21" s="43"/>
      <c r="S21" s="10" t="s">
        <v>948</v>
      </c>
      <c r="T21" s="14">
        <v>0.0</v>
      </c>
      <c r="U21" s="43"/>
      <c r="V21" s="43"/>
      <c r="W21" s="10" t="s">
        <v>949</v>
      </c>
      <c r="X21" s="14">
        <v>0.0</v>
      </c>
      <c r="Y21" s="43"/>
      <c r="Z21" s="43"/>
      <c r="AA21" s="10" t="s">
        <v>950</v>
      </c>
      <c r="AB21" s="14">
        <v>0.0</v>
      </c>
      <c r="AC21" s="43"/>
      <c r="AD21" s="43"/>
      <c r="AE21" s="10" t="s">
        <v>951</v>
      </c>
      <c r="AF21" s="14">
        <v>0.0</v>
      </c>
      <c r="AG21" s="43"/>
      <c r="AH21" s="43"/>
      <c r="AI21" s="10" t="s">
        <v>952</v>
      </c>
      <c r="AJ21" s="14">
        <v>0.0</v>
      </c>
      <c r="AK21" s="43"/>
      <c r="AL21" s="43"/>
      <c r="AM21" s="10" t="s">
        <v>953</v>
      </c>
      <c r="AN21" s="14">
        <v>0.0</v>
      </c>
      <c r="AO21" s="43"/>
      <c r="AP21" s="43"/>
      <c r="AQ21" s="10" t="s">
        <v>954</v>
      </c>
      <c r="AR21" s="14">
        <v>0.0</v>
      </c>
      <c r="AS21" s="43"/>
      <c r="AT21" s="43"/>
      <c r="AU21" s="10" t="s">
        <v>921</v>
      </c>
      <c r="AV21" s="14">
        <v>0.0</v>
      </c>
      <c r="AW21" s="43"/>
      <c r="AX21" s="43"/>
      <c r="AY21" s="10" t="s">
        <v>955</v>
      </c>
      <c r="AZ21" s="14">
        <v>0.0</v>
      </c>
      <c r="BA21" s="43"/>
      <c r="BB21" s="43"/>
      <c r="BC21" s="10" t="s">
        <v>956</v>
      </c>
      <c r="BD21" s="5">
        <v>0.0</v>
      </c>
      <c r="BE21" s="7"/>
      <c r="BF21" s="7"/>
    </row>
    <row r="22">
      <c r="A22" s="5">
        <v>1334.0</v>
      </c>
      <c r="B22" s="6" t="s">
        <v>47</v>
      </c>
      <c r="C22" s="14" t="str">
        <f t="shared" si="1"/>
        <v>ESD-VRU_VRU SKID</v>
      </c>
      <c r="D22" s="17" t="s">
        <v>1029</v>
      </c>
      <c r="E22" s="17" t="s">
        <v>1029</v>
      </c>
      <c r="F22" s="17" t="s">
        <v>1030</v>
      </c>
      <c r="G22" s="33" t="s">
        <v>1031</v>
      </c>
      <c r="H22" s="33">
        <v>0.0</v>
      </c>
      <c r="I22" s="16"/>
      <c r="J22" s="16"/>
      <c r="K22" s="16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1032</v>
      </c>
      <c r="E1" s="1" t="s">
        <v>1033</v>
      </c>
      <c r="F1" s="1" t="s">
        <v>1034</v>
      </c>
      <c r="G1" s="1" t="s">
        <v>5</v>
      </c>
      <c r="H1" s="45" t="s">
        <v>1035</v>
      </c>
      <c r="I1" s="45" t="s">
        <v>7</v>
      </c>
      <c r="J1" s="45" t="s">
        <v>8</v>
      </c>
      <c r="K1" s="45" t="s">
        <v>9</v>
      </c>
      <c r="L1" s="45" t="s">
        <v>1036</v>
      </c>
      <c r="M1" s="45" t="s">
        <v>7</v>
      </c>
      <c r="N1" s="45" t="s">
        <v>8</v>
      </c>
      <c r="O1" s="45" t="s">
        <v>9</v>
      </c>
      <c r="P1" s="45" t="s">
        <v>1037</v>
      </c>
      <c r="Q1" s="45" t="s">
        <v>7</v>
      </c>
      <c r="R1" s="45" t="s">
        <v>8</v>
      </c>
      <c r="S1" s="45" t="s">
        <v>9</v>
      </c>
      <c r="T1" s="45" t="s">
        <v>1038</v>
      </c>
      <c r="U1" s="45" t="s">
        <v>7</v>
      </c>
      <c r="V1" s="45" t="s">
        <v>8</v>
      </c>
      <c r="W1" s="45" t="s">
        <v>9</v>
      </c>
      <c r="X1" s="45" t="s">
        <v>1039</v>
      </c>
      <c r="Y1" s="45" t="s">
        <v>7</v>
      </c>
      <c r="Z1" s="45" t="s">
        <v>8</v>
      </c>
      <c r="AA1" s="45" t="s">
        <v>9</v>
      </c>
      <c r="AB1" s="45" t="s">
        <v>1040</v>
      </c>
      <c r="AC1" s="45" t="s">
        <v>7</v>
      </c>
      <c r="AD1" s="45" t="s">
        <v>8</v>
      </c>
      <c r="AE1" s="45" t="s">
        <v>9</v>
      </c>
      <c r="AF1" s="45" t="s">
        <v>1041</v>
      </c>
      <c r="AG1" s="45" t="s">
        <v>7</v>
      </c>
      <c r="AH1" s="45" t="s">
        <v>8</v>
      </c>
      <c r="AI1" s="45" t="s">
        <v>9</v>
      </c>
      <c r="AJ1" s="45" t="s">
        <v>1042</v>
      </c>
      <c r="AK1" s="45" t="s">
        <v>7</v>
      </c>
      <c r="AL1" s="45" t="s">
        <v>8</v>
      </c>
      <c r="AM1" s="45" t="s">
        <v>9</v>
      </c>
      <c r="AN1" s="45" t="s">
        <v>1043</v>
      </c>
      <c r="AO1" s="45" t="s">
        <v>7</v>
      </c>
      <c r="AP1" s="45" t="s">
        <v>8</v>
      </c>
      <c r="AQ1" s="45" t="s">
        <v>9</v>
      </c>
      <c r="AR1" s="45" t="s">
        <v>1044</v>
      </c>
      <c r="AS1" s="45" t="s">
        <v>7</v>
      </c>
      <c r="AT1" s="45" t="s">
        <v>8</v>
      </c>
      <c r="AU1" s="45" t="s">
        <v>9</v>
      </c>
      <c r="AV1" s="45" t="s">
        <v>1045</v>
      </c>
      <c r="AW1" s="45" t="s">
        <v>7</v>
      </c>
      <c r="AX1" s="45" t="s">
        <v>8</v>
      </c>
      <c r="AY1" s="45" t="s">
        <v>9</v>
      </c>
      <c r="AZ1" s="45" t="s">
        <v>1046</v>
      </c>
      <c r="BA1" s="45" t="s">
        <v>7</v>
      </c>
      <c r="BB1" s="45" t="s">
        <v>8</v>
      </c>
      <c r="BC1" s="45" t="s">
        <v>9</v>
      </c>
      <c r="BD1" s="45" t="s">
        <v>1047</v>
      </c>
      <c r="BE1" s="45" t="s">
        <v>7</v>
      </c>
      <c r="BF1" s="45" t="s">
        <v>8</v>
      </c>
      <c r="BG1" s="45" t="s">
        <v>9</v>
      </c>
      <c r="BH1" s="48" t="s">
        <v>1048</v>
      </c>
      <c r="BI1" s="49" t="s">
        <v>7</v>
      </c>
      <c r="BJ1" s="45" t="s">
        <v>8</v>
      </c>
      <c r="BK1" s="45" t="s">
        <v>9</v>
      </c>
      <c r="BL1" s="46" t="s">
        <v>1049</v>
      </c>
      <c r="BM1" s="46" t="s">
        <v>7</v>
      </c>
      <c r="BN1" s="45" t="s">
        <v>8</v>
      </c>
      <c r="BO1" s="45" t="s">
        <v>9</v>
      </c>
      <c r="BP1" s="46" t="s">
        <v>1050</v>
      </c>
      <c r="BQ1" s="46" t="s">
        <v>7</v>
      </c>
      <c r="BR1" s="45" t="s">
        <v>8</v>
      </c>
      <c r="BS1" s="45" t="s">
        <v>9</v>
      </c>
      <c r="BT1" s="45" t="s">
        <v>1051</v>
      </c>
      <c r="BU1" s="45" t="s">
        <v>13</v>
      </c>
      <c r="BV1" s="45" t="s">
        <v>8</v>
      </c>
      <c r="BW1" s="45" t="s">
        <v>9</v>
      </c>
      <c r="BX1" s="45" t="s">
        <v>1052</v>
      </c>
      <c r="BY1" s="45" t="s">
        <v>7</v>
      </c>
      <c r="BZ1" s="45" t="s">
        <v>8</v>
      </c>
      <c r="CA1" s="45" t="s">
        <v>9</v>
      </c>
      <c r="CB1" s="45" t="s">
        <v>1053</v>
      </c>
      <c r="CC1" s="45" t="s">
        <v>7</v>
      </c>
      <c r="CD1" s="45" t="s">
        <v>8</v>
      </c>
      <c r="CE1" s="45" t="s">
        <v>9</v>
      </c>
    </row>
    <row r="2">
      <c r="A2" s="5">
        <v>1334.0</v>
      </c>
      <c r="B2" s="6" t="s">
        <v>47</v>
      </c>
      <c r="C2" s="14" t="str">
        <f t="shared" ref="C2:C17" si="1">CONCATENATE(D2,"_",F2,"_",G2)</f>
        <v>LP-1_BC-501A_BS VI MS</v>
      </c>
      <c r="D2" s="14" t="s">
        <v>1054</v>
      </c>
      <c r="E2" s="14" t="s">
        <v>1055</v>
      </c>
      <c r="F2" s="17" t="s">
        <v>1056</v>
      </c>
      <c r="G2" s="17" t="s">
        <v>49</v>
      </c>
      <c r="H2" s="31" t="s">
        <v>1057</v>
      </c>
      <c r="I2" s="30">
        <v>0.0</v>
      </c>
      <c r="J2" s="31"/>
      <c r="K2" s="31"/>
      <c r="L2" s="31" t="s">
        <v>1058</v>
      </c>
      <c r="M2" s="30">
        <v>0.0</v>
      </c>
      <c r="N2" s="31"/>
      <c r="O2" s="31"/>
      <c r="P2" s="31" t="s">
        <v>1059</v>
      </c>
      <c r="Q2" s="30">
        <v>0.0</v>
      </c>
      <c r="R2" s="31"/>
      <c r="S2" s="31"/>
      <c r="T2" s="31" t="s">
        <v>1060</v>
      </c>
      <c r="U2" s="30">
        <v>0.0</v>
      </c>
      <c r="V2" s="31"/>
      <c r="W2" s="31"/>
      <c r="X2" s="31" t="s">
        <v>1061</v>
      </c>
      <c r="Y2" s="30">
        <v>0.0</v>
      </c>
      <c r="Z2" s="31"/>
      <c r="AA2" s="31"/>
      <c r="AB2" s="31" t="s">
        <v>1062</v>
      </c>
      <c r="AC2" s="30">
        <v>0.0</v>
      </c>
      <c r="AD2" s="31"/>
      <c r="AE2" s="31"/>
      <c r="AF2" s="31" t="s">
        <v>1063</v>
      </c>
      <c r="AG2" s="30">
        <v>0.0</v>
      </c>
      <c r="AH2" s="31"/>
      <c r="AI2" s="31"/>
      <c r="AJ2" s="31" t="s">
        <v>1064</v>
      </c>
      <c r="AK2" s="30">
        <v>0.0</v>
      </c>
      <c r="AL2" s="31"/>
      <c r="AM2" s="31"/>
      <c r="AN2" s="31" t="s">
        <v>1065</v>
      </c>
      <c r="AO2" s="30">
        <v>0.0</v>
      </c>
      <c r="AP2" s="31"/>
      <c r="AQ2" s="31"/>
      <c r="AR2" s="31" t="s">
        <v>1066</v>
      </c>
      <c r="AS2" s="30">
        <v>0.0</v>
      </c>
      <c r="AT2" s="31"/>
      <c r="AU2" s="31"/>
      <c r="AV2" s="31" t="s">
        <v>1067</v>
      </c>
      <c r="AW2" s="30">
        <v>0.0</v>
      </c>
      <c r="AX2" s="31"/>
      <c r="AY2" s="31"/>
      <c r="AZ2" s="31" t="s">
        <v>1068</v>
      </c>
      <c r="BA2" s="30">
        <v>0.0</v>
      </c>
      <c r="BB2" s="31"/>
      <c r="BC2" s="31"/>
      <c r="BD2" s="31" t="s">
        <v>1069</v>
      </c>
      <c r="BE2" s="30">
        <v>0.0</v>
      </c>
      <c r="BF2" s="31"/>
      <c r="BG2" s="31"/>
      <c r="BH2" s="31" t="s">
        <v>1070</v>
      </c>
      <c r="BI2" s="22"/>
      <c r="BJ2" s="50"/>
      <c r="BK2" s="50"/>
      <c r="BL2" s="31" t="s">
        <v>1071</v>
      </c>
      <c r="BM2" s="30">
        <v>0.0</v>
      </c>
      <c r="BN2" s="31"/>
      <c r="BO2" s="31"/>
      <c r="BP2" s="31" t="s">
        <v>1072</v>
      </c>
      <c r="BQ2" s="30">
        <v>0.0</v>
      </c>
      <c r="BR2" s="31"/>
      <c r="BS2" s="31"/>
      <c r="BT2" s="31" t="s">
        <v>1073</v>
      </c>
      <c r="BU2" s="30">
        <v>0.0</v>
      </c>
      <c r="BV2" s="31"/>
      <c r="BW2" s="31"/>
      <c r="BX2" s="31" t="s">
        <v>1074</v>
      </c>
      <c r="BY2" s="30">
        <v>0.0</v>
      </c>
      <c r="BZ2" s="31"/>
      <c r="CA2" s="31"/>
      <c r="CB2" s="31" t="s">
        <v>1075</v>
      </c>
      <c r="CC2" s="30">
        <v>0.0</v>
      </c>
      <c r="CD2" s="7"/>
      <c r="CE2" s="7"/>
    </row>
    <row r="3">
      <c r="A3" s="5">
        <v>1334.0</v>
      </c>
      <c r="B3" s="6" t="s">
        <v>47</v>
      </c>
      <c r="C3" s="14" t="str">
        <f t="shared" si="1"/>
        <v>LP-2_BC-501B_BS VI HSD</v>
      </c>
      <c r="D3" s="14" t="s">
        <v>1076</v>
      </c>
      <c r="E3" s="14" t="s">
        <v>1055</v>
      </c>
      <c r="F3" s="17" t="s">
        <v>1077</v>
      </c>
      <c r="G3" s="17" t="s">
        <v>171</v>
      </c>
      <c r="H3" s="16" t="s">
        <v>1078</v>
      </c>
      <c r="I3" s="33">
        <v>0.0</v>
      </c>
      <c r="J3" s="16"/>
      <c r="K3" s="16"/>
      <c r="L3" s="16" t="s">
        <v>1079</v>
      </c>
      <c r="M3" s="33">
        <v>0.0</v>
      </c>
      <c r="N3" s="16"/>
      <c r="O3" s="16"/>
      <c r="P3" s="16"/>
      <c r="Q3" s="16"/>
      <c r="R3" s="16"/>
      <c r="S3" s="16"/>
      <c r="T3" s="16" t="s">
        <v>1080</v>
      </c>
      <c r="U3" s="33">
        <v>0.0</v>
      </c>
      <c r="V3" s="16"/>
      <c r="W3" s="16"/>
      <c r="X3" s="16"/>
      <c r="Y3" s="16"/>
      <c r="Z3" s="16"/>
      <c r="AA3" s="16"/>
      <c r="AB3" s="16" t="s">
        <v>1081</v>
      </c>
      <c r="AC3" s="33">
        <v>0.0</v>
      </c>
      <c r="AD3" s="16"/>
      <c r="AE3" s="16"/>
      <c r="AF3" s="16"/>
      <c r="AG3" s="16"/>
      <c r="AH3" s="16"/>
      <c r="AI3" s="16"/>
      <c r="AJ3" s="16" t="s">
        <v>1082</v>
      </c>
      <c r="AK3" s="33">
        <v>0.0</v>
      </c>
      <c r="AL3" s="16"/>
      <c r="AM3" s="16"/>
      <c r="AN3" s="16" t="s">
        <v>1083</v>
      </c>
      <c r="AO3" s="33">
        <v>0.0</v>
      </c>
      <c r="AP3" s="16"/>
      <c r="AQ3" s="16"/>
      <c r="AR3" s="16" t="s">
        <v>1084</v>
      </c>
      <c r="AS3" s="33">
        <v>0.0</v>
      </c>
      <c r="AT3" s="16"/>
      <c r="AU3" s="16"/>
      <c r="AV3" s="16" t="s">
        <v>1085</v>
      </c>
      <c r="AW3" s="33">
        <v>0.0</v>
      </c>
      <c r="AX3" s="16"/>
      <c r="AY3" s="16"/>
      <c r="AZ3" s="16" t="s">
        <v>1086</v>
      </c>
      <c r="BA3" s="33">
        <v>0.0</v>
      </c>
      <c r="BB3" s="16"/>
      <c r="BC3" s="16"/>
      <c r="BD3" s="16" t="s">
        <v>1087</v>
      </c>
      <c r="BE3" s="33">
        <v>0.0</v>
      </c>
      <c r="BF3" s="16"/>
      <c r="BG3" s="16"/>
      <c r="BH3" s="16" t="s">
        <v>1088</v>
      </c>
      <c r="BI3" s="22"/>
      <c r="BJ3" s="50"/>
      <c r="BK3" s="50"/>
      <c r="BL3" s="16" t="s">
        <v>1089</v>
      </c>
      <c r="BM3" s="33">
        <v>0.0</v>
      </c>
      <c r="BN3" s="16"/>
      <c r="BO3" s="16"/>
      <c r="BP3" s="16"/>
      <c r="BQ3" s="16"/>
      <c r="BR3" s="16"/>
      <c r="BS3" s="16"/>
      <c r="BT3" s="16" t="s">
        <v>1090</v>
      </c>
      <c r="BU3" s="33">
        <v>0.0</v>
      </c>
      <c r="BV3" s="16"/>
      <c r="BW3" s="16"/>
      <c r="BX3" s="16" t="s">
        <v>1091</v>
      </c>
      <c r="BY3" s="33">
        <v>0.0</v>
      </c>
      <c r="BZ3" s="16"/>
      <c r="CA3" s="16"/>
      <c r="CB3" s="16"/>
      <c r="CC3" s="16"/>
      <c r="CD3" s="7"/>
      <c r="CE3" s="7"/>
    </row>
    <row r="4">
      <c r="A4" s="5">
        <v>1334.0</v>
      </c>
      <c r="B4" s="6" t="s">
        <v>47</v>
      </c>
      <c r="C4" s="14" t="str">
        <f t="shared" si="1"/>
        <v>LP-3_BC-502A_BS VI MS</v>
      </c>
      <c r="D4" s="14" t="s">
        <v>1092</v>
      </c>
      <c r="E4" s="14" t="s">
        <v>1055</v>
      </c>
      <c r="F4" s="17" t="s">
        <v>1093</v>
      </c>
      <c r="G4" s="17" t="s">
        <v>49</v>
      </c>
      <c r="H4" s="16" t="s">
        <v>1094</v>
      </c>
      <c r="I4" s="33">
        <v>0.0</v>
      </c>
      <c r="J4" s="16"/>
      <c r="K4" s="16"/>
      <c r="L4" s="16" t="s">
        <v>1095</v>
      </c>
      <c r="M4" s="33">
        <v>0.0</v>
      </c>
      <c r="N4" s="16"/>
      <c r="O4" s="16"/>
      <c r="P4" s="16" t="s">
        <v>1096</v>
      </c>
      <c r="Q4" s="33">
        <v>0.0</v>
      </c>
      <c r="R4" s="16"/>
      <c r="S4" s="16"/>
      <c r="T4" s="16" t="s">
        <v>1097</v>
      </c>
      <c r="U4" s="33">
        <v>0.0</v>
      </c>
      <c r="V4" s="16"/>
      <c r="W4" s="16"/>
      <c r="X4" s="16" t="s">
        <v>1098</v>
      </c>
      <c r="Y4" s="33">
        <v>0.0</v>
      </c>
      <c r="Z4" s="16"/>
      <c r="AA4" s="16"/>
      <c r="AB4" s="16" t="s">
        <v>1099</v>
      </c>
      <c r="AC4" s="33">
        <v>0.0</v>
      </c>
      <c r="AD4" s="16"/>
      <c r="AE4" s="16"/>
      <c r="AF4" s="16" t="s">
        <v>1100</v>
      </c>
      <c r="AG4" s="33">
        <v>0.0</v>
      </c>
      <c r="AH4" s="16"/>
      <c r="AI4" s="16"/>
      <c r="AJ4" s="16" t="s">
        <v>1101</v>
      </c>
      <c r="AK4" s="33">
        <v>0.0</v>
      </c>
      <c r="AL4" s="16"/>
      <c r="AM4" s="16"/>
      <c r="AN4" s="16" t="s">
        <v>1102</v>
      </c>
      <c r="AO4" s="33">
        <v>0.0</v>
      </c>
      <c r="AP4" s="16"/>
      <c r="AQ4" s="16"/>
      <c r="AR4" s="16" t="s">
        <v>1103</v>
      </c>
      <c r="AS4" s="33">
        <v>0.0</v>
      </c>
      <c r="AT4" s="16"/>
      <c r="AU4" s="16"/>
      <c r="AV4" s="16" t="s">
        <v>1104</v>
      </c>
      <c r="AW4" s="33">
        <v>0.0</v>
      </c>
      <c r="AX4" s="16"/>
      <c r="AY4" s="16"/>
      <c r="AZ4" s="16" t="s">
        <v>1105</v>
      </c>
      <c r="BA4" s="33">
        <v>0.0</v>
      </c>
      <c r="BB4" s="16"/>
      <c r="BC4" s="16"/>
      <c r="BD4" s="16" t="s">
        <v>1106</v>
      </c>
      <c r="BE4" s="33">
        <v>0.0</v>
      </c>
      <c r="BF4" s="16"/>
      <c r="BG4" s="16"/>
      <c r="BH4" s="16" t="s">
        <v>1107</v>
      </c>
      <c r="BI4" s="22"/>
      <c r="BJ4" s="50"/>
      <c r="BK4" s="50"/>
      <c r="BL4" s="16" t="s">
        <v>1108</v>
      </c>
      <c r="BM4" s="33">
        <v>0.0</v>
      </c>
      <c r="BN4" s="16"/>
      <c r="BO4" s="16"/>
      <c r="BP4" s="16" t="s">
        <v>1109</v>
      </c>
      <c r="BQ4" s="33">
        <v>0.0</v>
      </c>
      <c r="BR4" s="16"/>
      <c r="BS4" s="16"/>
      <c r="BT4" s="16" t="s">
        <v>1110</v>
      </c>
      <c r="BU4" s="33">
        <v>0.0</v>
      </c>
      <c r="BV4" s="16"/>
      <c r="BW4" s="16"/>
      <c r="BX4" s="16" t="s">
        <v>1111</v>
      </c>
      <c r="BY4" s="33">
        <v>0.0</v>
      </c>
      <c r="BZ4" s="16"/>
      <c r="CA4" s="16"/>
      <c r="CB4" s="16" t="s">
        <v>1112</v>
      </c>
      <c r="CC4" s="33">
        <v>0.0</v>
      </c>
      <c r="CD4" s="7"/>
      <c r="CE4" s="7"/>
    </row>
    <row r="5">
      <c r="A5" s="5">
        <v>1334.0</v>
      </c>
      <c r="B5" s="6" t="s">
        <v>47</v>
      </c>
      <c r="C5" s="14" t="str">
        <f t="shared" si="1"/>
        <v>LP-4_BC-502B_BS VI HSD</v>
      </c>
      <c r="D5" s="14" t="s">
        <v>1113</v>
      </c>
      <c r="E5" s="14" t="s">
        <v>1055</v>
      </c>
      <c r="F5" s="17" t="s">
        <v>1114</v>
      </c>
      <c r="G5" s="17" t="s">
        <v>171</v>
      </c>
      <c r="H5" s="16" t="s">
        <v>1115</v>
      </c>
      <c r="I5" s="33">
        <v>0.0</v>
      </c>
      <c r="J5" s="16"/>
      <c r="K5" s="16"/>
      <c r="L5" s="16" t="s">
        <v>1116</v>
      </c>
      <c r="M5" s="33">
        <v>0.0</v>
      </c>
      <c r="N5" s="16"/>
      <c r="O5" s="16"/>
      <c r="P5" s="16"/>
      <c r="Q5" s="16"/>
      <c r="R5" s="16"/>
      <c r="S5" s="16"/>
      <c r="T5" s="16" t="s">
        <v>1117</v>
      </c>
      <c r="U5" s="33">
        <v>0.0</v>
      </c>
      <c r="V5" s="16"/>
      <c r="W5" s="16"/>
      <c r="X5" s="16"/>
      <c r="Y5" s="16"/>
      <c r="Z5" s="16"/>
      <c r="AA5" s="16"/>
      <c r="AB5" s="16" t="s">
        <v>1118</v>
      </c>
      <c r="AC5" s="33">
        <v>0.0</v>
      </c>
      <c r="AD5" s="16"/>
      <c r="AE5" s="16"/>
      <c r="AF5" s="16"/>
      <c r="AG5" s="16"/>
      <c r="AH5" s="16"/>
      <c r="AI5" s="16"/>
      <c r="AJ5" s="16" t="s">
        <v>1119</v>
      </c>
      <c r="AK5" s="33">
        <v>0.0</v>
      </c>
      <c r="AL5" s="16"/>
      <c r="AM5" s="16"/>
      <c r="AN5" s="16" t="s">
        <v>1120</v>
      </c>
      <c r="AO5" s="33">
        <v>0.0</v>
      </c>
      <c r="AP5" s="16"/>
      <c r="AQ5" s="16"/>
      <c r="AR5" s="16" t="s">
        <v>1121</v>
      </c>
      <c r="AS5" s="33">
        <v>0.0</v>
      </c>
      <c r="AT5" s="16"/>
      <c r="AU5" s="16"/>
      <c r="AV5" s="16" t="s">
        <v>1122</v>
      </c>
      <c r="AW5" s="33">
        <v>0.0</v>
      </c>
      <c r="AX5" s="16"/>
      <c r="AY5" s="16"/>
      <c r="AZ5" s="16" t="s">
        <v>1123</v>
      </c>
      <c r="BA5" s="33">
        <v>0.0</v>
      </c>
      <c r="BB5" s="16"/>
      <c r="BC5" s="16"/>
      <c r="BD5" s="16" t="s">
        <v>1124</v>
      </c>
      <c r="BE5" s="33">
        <v>0.0</v>
      </c>
      <c r="BF5" s="16"/>
      <c r="BG5" s="16"/>
      <c r="BH5" s="16" t="s">
        <v>1125</v>
      </c>
      <c r="BI5" s="22"/>
      <c r="BJ5" s="50"/>
      <c r="BK5" s="50"/>
      <c r="BL5" s="16" t="s">
        <v>1126</v>
      </c>
      <c r="BM5" s="33">
        <v>0.0</v>
      </c>
      <c r="BN5" s="16"/>
      <c r="BO5" s="16"/>
      <c r="BP5" s="16"/>
      <c r="BQ5" s="16"/>
      <c r="BR5" s="16"/>
      <c r="BS5" s="16"/>
      <c r="BT5" s="16" t="s">
        <v>1127</v>
      </c>
      <c r="BU5" s="33">
        <v>0.0</v>
      </c>
      <c r="BV5" s="16"/>
      <c r="BW5" s="16"/>
      <c r="BX5" s="16" t="s">
        <v>1128</v>
      </c>
      <c r="BY5" s="33">
        <v>0.0</v>
      </c>
      <c r="BZ5" s="16"/>
      <c r="CA5" s="16"/>
      <c r="CB5" s="16"/>
      <c r="CC5" s="16"/>
      <c r="CD5" s="7"/>
      <c r="CE5" s="7"/>
    </row>
    <row r="6">
      <c r="A6" s="5">
        <v>1334.0</v>
      </c>
      <c r="B6" s="6" t="s">
        <v>47</v>
      </c>
      <c r="C6" s="14" t="str">
        <f t="shared" si="1"/>
        <v>LP-5_BC-503A_BS VI MS</v>
      </c>
      <c r="D6" s="14" t="s">
        <v>1129</v>
      </c>
      <c r="E6" s="14" t="s">
        <v>1055</v>
      </c>
      <c r="F6" s="17" t="s">
        <v>1130</v>
      </c>
      <c r="G6" s="17" t="s">
        <v>49</v>
      </c>
      <c r="H6" s="16" t="s">
        <v>1131</v>
      </c>
      <c r="I6" s="33">
        <v>0.0</v>
      </c>
      <c r="J6" s="16"/>
      <c r="K6" s="16"/>
      <c r="L6" s="16" t="s">
        <v>1132</v>
      </c>
      <c r="M6" s="33">
        <v>0.0</v>
      </c>
      <c r="N6" s="16"/>
      <c r="O6" s="16"/>
      <c r="P6" s="16" t="s">
        <v>1133</v>
      </c>
      <c r="Q6" s="33">
        <v>0.0</v>
      </c>
      <c r="R6" s="16"/>
      <c r="S6" s="16"/>
      <c r="T6" s="16" t="s">
        <v>1134</v>
      </c>
      <c r="U6" s="33">
        <v>0.0</v>
      </c>
      <c r="V6" s="16"/>
      <c r="W6" s="16"/>
      <c r="X6" s="16" t="s">
        <v>1135</v>
      </c>
      <c r="Y6" s="33">
        <v>0.0</v>
      </c>
      <c r="Z6" s="16"/>
      <c r="AA6" s="16"/>
      <c r="AB6" s="16" t="s">
        <v>1136</v>
      </c>
      <c r="AC6" s="33">
        <v>0.0</v>
      </c>
      <c r="AD6" s="16"/>
      <c r="AE6" s="16"/>
      <c r="AF6" s="16" t="s">
        <v>1137</v>
      </c>
      <c r="AG6" s="33">
        <v>0.0</v>
      </c>
      <c r="AH6" s="16"/>
      <c r="AI6" s="16"/>
      <c r="AJ6" s="16" t="s">
        <v>1138</v>
      </c>
      <c r="AK6" s="33">
        <v>0.0</v>
      </c>
      <c r="AL6" s="16"/>
      <c r="AM6" s="16"/>
      <c r="AN6" s="16" t="s">
        <v>1139</v>
      </c>
      <c r="AO6" s="33">
        <v>0.0</v>
      </c>
      <c r="AP6" s="16"/>
      <c r="AQ6" s="16"/>
      <c r="AR6" s="16" t="s">
        <v>1140</v>
      </c>
      <c r="AS6" s="33">
        <v>0.0</v>
      </c>
      <c r="AT6" s="16"/>
      <c r="AU6" s="16"/>
      <c r="AV6" s="16" t="s">
        <v>1141</v>
      </c>
      <c r="AW6" s="33">
        <v>0.0</v>
      </c>
      <c r="AX6" s="16"/>
      <c r="AY6" s="16"/>
      <c r="AZ6" s="16" t="s">
        <v>1142</v>
      </c>
      <c r="BA6" s="33">
        <v>0.0</v>
      </c>
      <c r="BB6" s="16"/>
      <c r="BC6" s="16"/>
      <c r="BD6" s="16" t="s">
        <v>1143</v>
      </c>
      <c r="BE6" s="33">
        <v>0.0</v>
      </c>
      <c r="BF6" s="16"/>
      <c r="BG6" s="16"/>
      <c r="BH6" s="16" t="s">
        <v>1144</v>
      </c>
      <c r="BI6" s="22"/>
      <c r="BJ6" s="50"/>
      <c r="BK6" s="50"/>
      <c r="BL6" s="16" t="s">
        <v>1145</v>
      </c>
      <c r="BM6" s="33">
        <v>0.0</v>
      </c>
      <c r="BN6" s="16"/>
      <c r="BO6" s="16"/>
      <c r="BP6" s="16" t="s">
        <v>1146</v>
      </c>
      <c r="BQ6" s="33">
        <v>0.0</v>
      </c>
      <c r="BR6" s="16"/>
      <c r="BS6" s="16"/>
      <c r="BT6" s="16" t="s">
        <v>1147</v>
      </c>
      <c r="BU6" s="33">
        <v>0.0</v>
      </c>
      <c r="BV6" s="16"/>
      <c r="BW6" s="16"/>
      <c r="BX6" s="16" t="s">
        <v>1148</v>
      </c>
      <c r="BY6" s="33">
        <v>0.0</v>
      </c>
      <c r="BZ6" s="16"/>
      <c r="CA6" s="16"/>
      <c r="CB6" s="16" t="s">
        <v>1149</v>
      </c>
      <c r="CC6" s="33">
        <v>0.0</v>
      </c>
      <c r="CD6" s="7"/>
      <c r="CE6" s="7"/>
    </row>
    <row r="7">
      <c r="A7" s="5">
        <v>1334.0</v>
      </c>
      <c r="B7" s="6" t="s">
        <v>47</v>
      </c>
      <c r="C7" s="14" t="str">
        <f t="shared" si="1"/>
        <v>LP-6_BC-503B_BS VI HSD</v>
      </c>
      <c r="D7" s="14" t="s">
        <v>1150</v>
      </c>
      <c r="E7" s="14" t="s">
        <v>1055</v>
      </c>
      <c r="F7" s="17" t="s">
        <v>1151</v>
      </c>
      <c r="G7" s="17" t="s">
        <v>171</v>
      </c>
      <c r="H7" s="16" t="s">
        <v>1152</v>
      </c>
      <c r="I7" s="33">
        <v>0.0</v>
      </c>
      <c r="J7" s="16"/>
      <c r="K7" s="16"/>
      <c r="L7" s="16" t="s">
        <v>1153</v>
      </c>
      <c r="M7" s="33">
        <v>0.0</v>
      </c>
      <c r="N7" s="16"/>
      <c r="O7" s="16"/>
      <c r="P7" s="16" t="s">
        <v>1154</v>
      </c>
      <c r="Q7" s="33">
        <v>0.0</v>
      </c>
      <c r="R7" s="16"/>
      <c r="S7" s="16"/>
      <c r="T7" s="16" t="s">
        <v>1155</v>
      </c>
      <c r="U7" s="33">
        <v>0.0</v>
      </c>
      <c r="V7" s="16"/>
      <c r="W7" s="16"/>
      <c r="X7" s="16" t="s">
        <v>1156</v>
      </c>
      <c r="Y7" s="33">
        <v>0.0</v>
      </c>
      <c r="Z7" s="16"/>
      <c r="AA7" s="16"/>
      <c r="AB7" s="16" t="s">
        <v>1157</v>
      </c>
      <c r="AC7" s="33">
        <v>0.0</v>
      </c>
      <c r="AD7" s="16"/>
      <c r="AE7" s="16"/>
      <c r="AF7" s="16" t="s">
        <v>1158</v>
      </c>
      <c r="AG7" s="33">
        <v>0.0</v>
      </c>
      <c r="AH7" s="16"/>
      <c r="AI7" s="16"/>
      <c r="AJ7" s="16" t="s">
        <v>1159</v>
      </c>
      <c r="AK7" s="33">
        <v>0.0</v>
      </c>
      <c r="AL7" s="16"/>
      <c r="AM7" s="16"/>
      <c r="AN7" s="16" t="s">
        <v>1160</v>
      </c>
      <c r="AO7" s="33">
        <v>0.0</v>
      </c>
      <c r="AP7" s="16"/>
      <c r="AQ7" s="16"/>
      <c r="AR7" s="16" t="s">
        <v>1161</v>
      </c>
      <c r="AS7" s="33">
        <v>0.0</v>
      </c>
      <c r="AT7" s="16"/>
      <c r="AU7" s="16"/>
      <c r="AV7" s="16" t="s">
        <v>1162</v>
      </c>
      <c r="AW7" s="33">
        <v>0.0</v>
      </c>
      <c r="AX7" s="16"/>
      <c r="AY7" s="16"/>
      <c r="AZ7" s="16" t="s">
        <v>1163</v>
      </c>
      <c r="BA7" s="33">
        <v>0.0</v>
      </c>
      <c r="BB7" s="16"/>
      <c r="BC7" s="16"/>
      <c r="BD7" s="16" t="s">
        <v>1164</v>
      </c>
      <c r="BE7" s="33">
        <v>0.0</v>
      </c>
      <c r="BF7" s="16"/>
      <c r="BG7" s="16"/>
      <c r="BH7" s="16" t="s">
        <v>1165</v>
      </c>
      <c r="BI7" s="22"/>
      <c r="BJ7" s="50"/>
      <c r="BK7" s="50"/>
      <c r="BL7" s="16" t="s">
        <v>1166</v>
      </c>
      <c r="BM7" s="33">
        <v>0.0</v>
      </c>
      <c r="BN7" s="16"/>
      <c r="BO7" s="16"/>
      <c r="BP7" s="16" t="s">
        <v>1167</v>
      </c>
      <c r="BQ7" s="33">
        <v>0.0</v>
      </c>
      <c r="BR7" s="16"/>
      <c r="BS7" s="16"/>
      <c r="BT7" s="16" t="s">
        <v>1168</v>
      </c>
      <c r="BU7" s="33">
        <v>0.0</v>
      </c>
      <c r="BV7" s="16"/>
      <c r="BW7" s="16"/>
      <c r="BX7" s="16" t="s">
        <v>1169</v>
      </c>
      <c r="BY7" s="33">
        <v>0.0</v>
      </c>
      <c r="BZ7" s="16"/>
      <c r="CA7" s="16"/>
      <c r="CB7" s="16" t="s">
        <v>1170</v>
      </c>
      <c r="CC7" s="33">
        <v>0.0</v>
      </c>
      <c r="CD7" s="7"/>
      <c r="CE7" s="7"/>
    </row>
    <row r="8">
      <c r="A8" s="5">
        <v>1334.0</v>
      </c>
      <c r="B8" s="6" t="s">
        <v>47</v>
      </c>
      <c r="C8" s="14" t="str">
        <f t="shared" si="1"/>
        <v>LP-7_BC-504A_BS VI HSD</v>
      </c>
      <c r="D8" s="14" t="s">
        <v>1171</v>
      </c>
      <c r="E8" s="14" t="s">
        <v>1055</v>
      </c>
      <c r="F8" s="17" t="s">
        <v>1172</v>
      </c>
      <c r="G8" s="17" t="s">
        <v>171</v>
      </c>
      <c r="H8" s="16" t="s">
        <v>1173</v>
      </c>
      <c r="I8" s="33">
        <v>0.0</v>
      </c>
      <c r="J8" s="16"/>
      <c r="K8" s="16"/>
      <c r="L8" s="16" t="s">
        <v>1174</v>
      </c>
      <c r="M8" s="33">
        <v>0.0</v>
      </c>
      <c r="N8" s="16"/>
      <c r="O8" s="16"/>
      <c r="P8" s="16" t="s">
        <v>1175</v>
      </c>
      <c r="Q8" s="33">
        <v>0.0</v>
      </c>
      <c r="R8" s="16"/>
      <c r="S8" s="16"/>
      <c r="T8" s="16" t="s">
        <v>1176</v>
      </c>
      <c r="U8" s="33">
        <v>0.0</v>
      </c>
      <c r="V8" s="16"/>
      <c r="W8" s="16"/>
      <c r="X8" s="16" t="s">
        <v>1177</v>
      </c>
      <c r="Y8" s="33">
        <v>0.0</v>
      </c>
      <c r="Z8" s="16"/>
      <c r="AA8" s="16"/>
      <c r="AB8" s="16" t="s">
        <v>1178</v>
      </c>
      <c r="AC8" s="33">
        <v>0.0</v>
      </c>
      <c r="AD8" s="16"/>
      <c r="AE8" s="16"/>
      <c r="AF8" s="16" t="s">
        <v>1179</v>
      </c>
      <c r="AG8" s="33">
        <v>0.0</v>
      </c>
      <c r="AH8" s="16"/>
      <c r="AI8" s="16"/>
      <c r="AJ8" s="16" t="s">
        <v>1180</v>
      </c>
      <c r="AK8" s="33">
        <v>0.0</v>
      </c>
      <c r="AL8" s="16"/>
      <c r="AM8" s="16"/>
      <c r="AN8" s="16" t="s">
        <v>1181</v>
      </c>
      <c r="AO8" s="33">
        <v>0.0</v>
      </c>
      <c r="AP8" s="16"/>
      <c r="AQ8" s="16"/>
      <c r="AR8" s="16" t="s">
        <v>1182</v>
      </c>
      <c r="AS8" s="33">
        <v>0.0</v>
      </c>
      <c r="AT8" s="16"/>
      <c r="AU8" s="16"/>
      <c r="AV8" s="16" t="s">
        <v>1183</v>
      </c>
      <c r="AW8" s="33">
        <v>0.0</v>
      </c>
      <c r="AX8" s="16"/>
      <c r="AY8" s="16"/>
      <c r="AZ8" s="16" t="s">
        <v>1184</v>
      </c>
      <c r="BA8" s="33">
        <v>0.0</v>
      </c>
      <c r="BB8" s="16"/>
      <c r="BC8" s="16"/>
      <c r="BD8" s="16" t="s">
        <v>1185</v>
      </c>
      <c r="BE8" s="33">
        <v>0.0</v>
      </c>
      <c r="BF8" s="16"/>
      <c r="BG8" s="16"/>
      <c r="BH8" s="16" t="s">
        <v>1186</v>
      </c>
      <c r="BI8" s="22"/>
      <c r="BJ8" s="50"/>
      <c r="BK8" s="50"/>
      <c r="BL8" s="16" t="s">
        <v>1187</v>
      </c>
      <c r="BM8" s="33">
        <v>0.0</v>
      </c>
      <c r="BN8" s="16"/>
      <c r="BO8" s="16"/>
      <c r="BP8" s="16" t="s">
        <v>1188</v>
      </c>
      <c r="BQ8" s="33">
        <v>0.0</v>
      </c>
      <c r="BR8" s="16"/>
      <c r="BS8" s="16"/>
      <c r="BT8" s="16" t="s">
        <v>1189</v>
      </c>
      <c r="BU8" s="33">
        <v>0.0</v>
      </c>
      <c r="BV8" s="16"/>
      <c r="BW8" s="16"/>
      <c r="BX8" s="16" t="s">
        <v>1190</v>
      </c>
      <c r="BY8" s="33">
        <v>0.0</v>
      </c>
      <c r="BZ8" s="16"/>
      <c r="CA8" s="16"/>
      <c r="CB8" s="16" t="s">
        <v>1191</v>
      </c>
      <c r="CC8" s="33">
        <v>0.0</v>
      </c>
      <c r="CD8" s="7"/>
      <c r="CE8" s="7"/>
    </row>
    <row r="9">
      <c r="A9" s="5">
        <v>1334.0</v>
      </c>
      <c r="B9" s="6" t="s">
        <v>47</v>
      </c>
      <c r="C9" s="14" t="str">
        <f t="shared" si="1"/>
        <v>LP-8_BC-504B_BS VI HSD</v>
      </c>
      <c r="D9" s="14" t="s">
        <v>1192</v>
      </c>
      <c r="E9" s="14" t="s">
        <v>1055</v>
      </c>
      <c r="F9" s="17" t="s">
        <v>1193</v>
      </c>
      <c r="G9" s="17" t="s">
        <v>171</v>
      </c>
      <c r="H9" s="16" t="s">
        <v>1194</v>
      </c>
      <c r="I9" s="33">
        <v>0.0</v>
      </c>
      <c r="J9" s="16"/>
      <c r="K9" s="16"/>
      <c r="L9" s="16" t="s">
        <v>1195</v>
      </c>
      <c r="M9" s="33">
        <v>0.0</v>
      </c>
      <c r="N9" s="16"/>
      <c r="O9" s="16"/>
      <c r="P9" s="16" t="s">
        <v>1196</v>
      </c>
      <c r="Q9" s="33">
        <v>0.0</v>
      </c>
      <c r="R9" s="16"/>
      <c r="S9" s="16"/>
      <c r="T9" s="16" t="s">
        <v>1197</v>
      </c>
      <c r="U9" s="33">
        <v>0.0</v>
      </c>
      <c r="V9" s="16"/>
      <c r="W9" s="16"/>
      <c r="X9" s="16" t="s">
        <v>1198</v>
      </c>
      <c r="Y9" s="33">
        <v>0.0</v>
      </c>
      <c r="Z9" s="16"/>
      <c r="AA9" s="16"/>
      <c r="AB9" s="16" t="s">
        <v>1199</v>
      </c>
      <c r="AC9" s="33">
        <v>0.0</v>
      </c>
      <c r="AD9" s="16"/>
      <c r="AE9" s="16"/>
      <c r="AF9" s="16" t="s">
        <v>1200</v>
      </c>
      <c r="AG9" s="33">
        <v>0.0</v>
      </c>
      <c r="AH9" s="16"/>
      <c r="AI9" s="16"/>
      <c r="AJ9" s="16" t="s">
        <v>1201</v>
      </c>
      <c r="AK9" s="33">
        <v>0.0</v>
      </c>
      <c r="AL9" s="16"/>
      <c r="AM9" s="16"/>
      <c r="AN9" s="16" t="s">
        <v>1202</v>
      </c>
      <c r="AO9" s="33">
        <v>0.0</v>
      </c>
      <c r="AP9" s="16"/>
      <c r="AQ9" s="16"/>
      <c r="AR9" s="16" t="s">
        <v>1203</v>
      </c>
      <c r="AS9" s="33">
        <v>0.0</v>
      </c>
      <c r="AT9" s="16"/>
      <c r="AU9" s="16"/>
      <c r="AV9" s="16" t="s">
        <v>1204</v>
      </c>
      <c r="AW9" s="33">
        <v>0.0</v>
      </c>
      <c r="AX9" s="16"/>
      <c r="AY9" s="16"/>
      <c r="AZ9" s="16" t="s">
        <v>1205</v>
      </c>
      <c r="BA9" s="33">
        <v>0.0</v>
      </c>
      <c r="BB9" s="16"/>
      <c r="BC9" s="16"/>
      <c r="BD9" s="16" t="s">
        <v>1206</v>
      </c>
      <c r="BE9" s="33">
        <v>0.0</v>
      </c>
      <c r="BF9" s="16"/>
      <c r="BG9" s="16"/>
      <c r="BH9" s="16" t="s">
        <v>1207</v>
      </c>
      <c r="BI9" s="22"/>
      <c r="BJ9" s="50"/>
      <c r="BK9" s="50"/>
      <c r="BL9" s="16" t="s">
        <v>1208</v>
      </c>
      <c r="BM9" s="33">
        <v>0.0</v>
      </c>
      <c r="BN9" s="16"/>
      <c r="BO9" s="16"/>
      <c r="BP9" s="16" t="s">
        <v>1209</v>
      </c>
      <c r="BQ9" s="33">
        <v>0.0</v>
      </c>
      <c r="BR9" s="16"/>
      <c r="BS9" s="16"/>
      <c r="BT9" s="16" t="s">
        <v>1210</v>
      </c>
      <c r="BU9" s="33">
        <v>0.0</v>
      </c>
      <c r="BV9" s="16"/>
      <c r="BW9" s="16"/>
      <c r="BX9" s="16" t="s">
        <v>1211</v>
      </c>
      <c r="BY9" s="33">
        <v>0.0</v>
      </c>
      <c r="BZ9" s="16"/>
      <c r="CA9" s="16"/>
      <c r="CB9" s="16" t="s">
        <v>1212</v>
      </c>
      <c r="CC9" s="33">
        <v>0.0</v>
      </c>
      <c r="CD9" s="7"/>
      <c r="CE9" s="7"/>
    </row>
    <row r="10">
      <c r="A10" s="5">
        <v>1334.0</v>
      </c>
      <c r="B10" s="6" t="s">
        <v>47</v>
      </c>
      <c r="C10" s="14" t="str">
        <f t="shared" si="1"/>
        <v>LP-9_BC-505A_BS VI HSD</v>
      </c>
      <c r="D10" s="14" t="s">
        <v>1213</v>
      </c>
      <c r="E10" s="14" t="s">
        <v>1055</v>
      </c>
      <c r="F10" s="17" t="s">
        <v>1214</v>
      </c>
      <c r="G10" s="17" t="s">
        <v>171</v>
      </c>
      <c r="H10" s="16" t="s">
        <v>1215</v>
      </c>
      <c r="I10" s="33">
        <v>0.0</v>
      </c>
      <c r="J10" s="16"/>
      <c r="K10" s="16"/>
      <c r="L10" s="16" t="s">
        <v>1216</v>
      </c>
      <c r="M10" s="33">
        <v>0.0</v>
      </c>
      <c r="N10" s="16"/>
      <c r="O10" s="16"/>
      <c r="P10" s="16"/>
      <c r="Q10" s="16"/>
      <c r="R10" s="16"/>
      <c r="S10" s="16"/>
      <c r="T10" s="16" t="s">
        <v>1217</v>
      </c>
      <c r="U10" s="33">
        <v>0.0</v>
      </c>
      <c r="V10" s="16"/>
      <c r="W10" s="16"/>
      <c r="X10" s="16"/>
      <c r="Y10" s="16"/>
      <c r="Z10" s="16"/>
      <c r="AA10" s="16"/>
      <c r="AB10" s="16" t="s">
        <v>1218</v>
      </c>
      <c r="AC10" s="33">
        <v>0.0</v>
      </c>
      <c r="AD10" s="16"/>
      <c r="AE10" s="16"/>
      <c r="AF10" s="16"/>
      <c r="AG10" s="16"/>
      <c r="AH10" s="16"/>
      <c r="AI10" s="16"/>
      <c r="AJ10" s="16" t="s">
        <v>1219</v>
      </c>
      <c r="AK10" s="33">
        <v>0.0</v>
      </c>
      <c r="AL10" s="16"/>
      <c r="AM10" s="16"/>
      <c r="AN10" s="16" t="s">
        <v>1220</v>
      </c>
      <c r="AO10" s="33">
        <v>0.0</v>
      </c>
      <c r="AP10" s="16"/>
      <c r="AQ10" s="16"/>
      <c r="AR10" s="16" t="s">
        <v>1221</v>
      </c>
      <c r="AS10" s="33">
        <v>0.0</v>
      </c>
      <c r="AT10" s="16"/>
      <c r="AU10" s="16"/>
      <c r="AV10" s="16" t="s">
        <v>1222</v>
      </c>
      <c r="AW10" s="33">
        <v>0.0</v>
      </c>
      <c r="AX10" s="16"/>
      <c r="AY10" s="16"/>
      <c r="AZ10" s="16" t="s">
        <v>1223</v>
      </c>
      <c r="BA10" s="33">
        <v>0.0</v>
      </c>
      <c r="BB10" s="16"/>
      <c r="BC10" s="16"/>
      <c r="BD10" s="16" t="s">
        <v>1224</v>
      </c>
      <c r="BE10" s="33">
        <v>0.0</v>
      </c>
      <c r="BF10" s="16"/>
      <c r="BG10" s="16"/>
      <c r="BH10" s="16" t="s">
        <v>1225</v>
      </c>
      <c r="BI10" s="22"/>
      <c r="BJ10" s="50"/>
      <c r="BK10" s="50"/>
      <c r="BL10" s="16" t="s">
        <v>1226</v>
      </c>
      <c r="BM10" s="33">
        <v>0.0</v>
      </c>
      <c r="BN10" s="16"/>
      <c r="BO10" s="16"/>
      <c r="BP10" s="16"/>
      <c r="BQ10" s="16"/>
      <c r="BR10" s="16"/>
      <c r="BS10" s="16"/>
      <c r="BT10" s="16" t="s">
        <v>1227</v>
      </c>
      <c r="BU10" s="33">
        <v>0.0</v>
      </c>
      <c r="BV10" s="16"/>
      <c r="BW10" s="16"/>
      <c r="BX10" s="16" t="s">
        <v>1228</v>
      </c>
      <c r="BY10" s="33">
        <v>0.0</v>
      </c>
      <c r="BZ10" s="16"/>
      <c r="CA10" s="16"/>
      <c r="CB10" s="16"/>
      <c r="CC10" s="16"/>
      <c r="CD10" s="7"/>
      <c r="CE10" s="7"/>
    </row>
    <row r="11">
      <c r="A11" s="5">
        <v>1334.0</v>
      </c>
      <c r="B11" s="6" t="s">
        <v>47</v>
      </c>
      <c r="C11" s="14" t="str">
        <f t="shared" si="1"/>
        <v>LP-10_BC-505B_BS VI HSD</v>
      </c>
      <c r="D11" s="14" t="s">
        <v>1229</v>
      </c>
      <c r="E11" s="14" t="s">
        <v>1055</v>
      </c>
      <c r="F11" s="17" t="s">
        <v>1230</v>
      </c>
      <c r="G11" s="17" t="s">
        <v>171</v>
      </c>
      <c r="H11" s="16" t="s">
        <v>1231</v>
      </c>
      <c r="I11" s="33">
        <v>0.0</v>
      </c>
      <c r="J11" s="16"/>
      <c r="K11" s="16"/>
      <c r="L11" s="16" t="s">
        <v>1232</v>
      </c>
      <c r="M11" s="33">
        <v>0.0</v>
      </c>
      <c r="N11" s="16"/>
      <c r="O11" s="16"/>
      <c r="P11" s="16"/>
      <c r="Q11" s="16"/>
      <c r="R11" s="16"/>
      <c r="S11" s="16"/>
      <c r="T11" s="16" t="s">
        <v>1233</v>
      </c>
      <c r="U11" s="33">
        <v>0.0</v>
      </c>
      <c r="V11" s="16"/>
      <c r="W11" s="16"/>
      <c r="X11" s="16"/>
      <c r="Y11" s="16"/>
      <c r="Z11" s="16"/>
      <c r="AA11" s="16"/>
      <c r="AB11" s="16" t="s">
        <v>1234</v>
      </c>
      <c r="AC11" s="33">
        <v>0.0</v>
      </c>
      <c r="AD11" s="16"/>
      <c r="AE11" s="16"/>
      <c r="AF11" s="16"/>
      <c r="AG11" s="16"/>
      <c r="AH11" s="16"/>
      <c r="AI11" s="16"/>
      <c r="AJ11" s="16" t="s">
        <v>1235</v>
      </c>
      <c r="AK11" s="33">
        <v>0.0</v>
      </c>
      <c r="AL11" s="16"/>
      <c r="AM11" s="16"/>
      <c r="AN11" s="16" t="s">
        <v>1236</v>
      </c>
      <c r="AO11" s="33">
        <v>0.0</v>
      </c>
      <c r="AP11" s="16"/>
      <c r="AQ11" s="16"/>
      <c r="AR11" s="16" t="s">
        <v>1237</v>
      </c>
      <c r="AS11" s="33">
        <v>0.0</v>
      </c>
      <c r="AT11" s="16"/>
      <c r="AU11" s="16"/>
      <c r="AV11" s="16" t="s">
        <v>1238</v>
      </c>
      <c r="AW11" s="33">
        <v>0.0</v>
      </c>
      <c r="AX11" s="16"/>
      <c r="AY11" s="16"/>
      <c r="AZ11" s="16" t="s">
        <v>1239</v>
      </c>
      <c r="BA11" s="33">
        <v>0.0</v>
      </c>
      <c r="BB11" s="16"/>
      <c r="BC11" s="16"/>
      <c r="BD11" s="16" t="s">
        <v>1240</v>
      </c>
      <c r="BE11" s="33">
        <v>0.0</v>
      </c>
      <c r="BF11" s="16"/>
      <c r="BG11" s="16"/>
      <c r="BH11" s="16" t="s">
        <v>1241</v>
      </c>
      <c r="BI11" s="22"/>
      <c r="BJ11" s="50"/>
      <c r="BK11" s="50"/>
      <c r="BL11" s="16" t="s">
        <v>1242</v>
      </c>
      <c r="BM11" s="33">
        <v>0.0</v>
      </c>
      <c r="BN11" s="16"/>
      <c r="BO11" s="16"/>
      <c r="BP11" s="16"/>
      <c r="BQ11" s="16"/>
      <c r="BR11" s="16"/>
      <c r="BS11" s="16"/>
      <c r="BT11" s="16" t="s">
        <v>1243</v>
      </c>
      <c r="BU11" s="33">
        <v>0.0</v>
      </c>
      <c r="BV11" s="16"/>
      <c r="BW11" s="16"/>
      <c r="BX11" s="16" t="s">
        <v>1244</v>
      </c>
      <c r="BY11" s="33">
        <v>0.0</v>
      </c>
      <c r="BZ11" s="16"/>
      <c r="CA11" s="16"/>
      <c r="CB11" s="16"/>
      <c r="CC11" s="16"/>
      <c r="CD11" s="7"/>
      <c r="CE11" s="7"/>
    </row>
    <row r="12">
      <c r="A12" s="5">
        <v>1334.0</v>
      </c>
      <c r="B12" s="6" t="s">
        <v>47</v>
      </c>
      <c r="C12" s="14" t="str">
        <f t="shared" si="1"/>
        <v>LP-11_BC-506A_BS VI HSD</v>
      </c>
      <c r="D12" s="14" t="s">
        <v>1245</v>
      </c>
      <c r="E12" s="14" t="s">
        <v>1055</v>
      </c>
      <c r="F12" s="17" t="s">
        <v>1246</v>
      </c>
      <c r="G12" s="17" t="s">
        <v>171</v>
      </c>
      <c r="H12" s="16" t="s">
        <v>1247</v>
      </c>
      <c r="I12" s="33">
        <v>0.0</v>
      </c>
      <c r="J12" s="16"/>
      <c r="K12" s="16"/>
      <c r="L12" s="16" t="s">
        <v>1248</v>
      </c>
      <c r="M12" s="33">
        <v>0.0</v>
      </c>
      <c r="N12" s="16"/>
      <c r="O12" s="16"/>
      <c r="P12" s="16"/>
      <c r="Q12" s="16"/>
      <c r="R12" s="16"/>
      <c r="S12" s="16"/>
      <c r="T12" s="16" t="s">
        <v>1249</v>
      </c>
      <c r="U12" s="33">
        <v>0.0</v>
      </c>
      <c r="V12" s="16"/>
      <c r="W12" s="16"/>
      <c r="X12" s="16"/>
      <c r="Y12" s="16"/>
      <c r="Z12" s="16"/>
      <c r="AA12" s="16"/>
      <c r="AB12" s="16" t="s">
        <v>1250</v>
      </c>
      <c r="AC12" s="33">
        <v>0.0</v>
      </c>
      <c r="AD12" s="16"/>
      <c r="AE12" s="16"/>
      <c r="AF12" s="16"/>
      <c r="AG12" s="16"/>
      <c r="AH12" s="16"/>
      <c r="AI12" s="16"/>
      <c r="AJ12" s="16" t="s">
        <v>1251</v>
      </c>
      <c r="AK12" s="33">
        <v>0.0</v>
      </c>
      <c r="AL12" s="16"/>
      <c r="AM12" s="16"/>
      <c r="AN12" s="16" t="s">
        <v>1252</v>
      </c>
      <c r="AO12" s="33">
        <v>0.0</v>
      </c>
      <c r="AP12" s="16"/>
      <c r="AQ12" s="16"/>
      <c r="AR12" s="16" t="s">
        <v>1253</v>
      </c>
      <c r="AS12" s="33">
        <v>0.0</v>
      </c>
      <c r="AT12" s="16"/>
      <c r="AU12" s="16"/>
      <c r="AV12" s="16" t="s">
        <v>1254</v>
      </c>
      <c r="AW12" s="33">
        <v>0.0</v>
      </c>
      <c r="AX12" s="16"/>
      <c r="AY12" s="16"/>
      <c r="AZ12" s="16" t="s">
        <v>1255</v>
      </c>
      <c r="BA12" s="33">
        <v>0.0</v>
      </c>
      <c r="BB12" s="16"/>
      <c r="BC12" s="16"/>
      <c r="BD12" s="16" t="s">
        <v>1256</v>
      </c>
      <c r="BE12" s="33">
        <v>0.0</v>
      </c>
      <c r="BF12" s="16"/>
      <c r="BG12" s="16"/>
      <c r="BH12" s="16" t="s">
        <v>1257</v>
      </c>
      <c r="BI12" s="22"/>
      <c r="BJ12" s="50"/>
      <c r="BK12" s="50"/>
      <c r="BL12" s="16" t="s">
        <v>1258</v>
      </c>
      <c r="BM12" s="33">
        <v>0.0</v>
      </c>
      <c r="BN12" s="16"/>
      <c r="BO12" s="16"/>
      <c r="BP12" s="16"/>
      <c r="BQ12" s="16"/>
      <c r="BR12" s="16"/>
      <c r="BS12" s="16"/>
      <c r="BT12" s="16" t="s">
        <v>1259</v>
      </c>
      <c r="BU12" s="33">
        <v>0.0</v>
      </c>
      <c r="BV12" s="16"/>
      <c r="BW12" s="16"/>
      <c r="BX12" s="16" t="s">
        <v>1260</v>
      </c>
      <c r="BY12" s="33">
        <v>0.0</v>
      </c>
      <c r="BZ12" s="16"/>
      <c r="CA12" s="16"/>
      <c r="CB12" s="16"/>
      <c r="CC12" s="16"/>
      <c r="CD12" s="7"/>
      <c r="CE12" s="7"/>
    </row>
    <row r="13">
      <c r="A13" s="5">
        <v>1334.0</v>
      </c>
      <c r="B13" s="6" t="s">
        <v>47</v>
      </c>
      <c r="C13" s="14" t="str">
        <f t="shared" si="1"/>
        <v>LP-12_BC-506B_BS VI HSD</v>
      </c>
      <c r="D13" s="14" t="s">
        <v>1261</v>
      </c>
      <c r="E13" s="14" t="s">
        <v>1055</v>
      </c>
      <c r="F13" s="17" t="s">
        <v>1262</v>
      </c>
      <c r="G13" s="17" t="s">
        <v>171</v>
      </c>
      <c r="H13" s="16" t="s">
        <v>1263</v>
      </c>
      <c r="I13" s="33">
        <v>0.0</v>
      </c>
      <c r="J13" s="16"/>
      <c r="K13" s="16"/>
      <c r="L13" s="16" t="s">
        <v>1264</v>
      </c>
      <c r="M13" s="33">
        <v>0.0</v>
      </c>
      <c r="N13" s="16"/>
      <c r="O13" s="16"/>
      <c r="P13" s="16"/>
      <c r="Q13" s="16"/>
      <c r="R13" s="16"/>
      <c r="S13" s="16"/>
      <c r="T13" s="16" t="s">
        <v>1265</v>
      </c>
      <c r="U13" s="33">
        <v>0.0</v>
      </c>
      <c r="V13" s="16"/>
      <c r="W13" s="16"/>
      <c r="X13" s="16"/>
      <c r="Y13" s="16"/>
      <c r="Z13" s="16"/>
      <c r="AA13" s="16"/>
      <c r="AB13" s="16" t="s">
        <v>1266</v>
      </c>
      <c r="AC13" s="33">
        <v>0.0</v>
      </c>
      <c r="AD13" s="16"/>
      <c r="AE13" s="16"/>
      <c r="AF13" s="16"/>
      <c r="AG13" s="16"/>
      <c r="AH13" s="16"/>
      <c r="AI13" s="16"/>
      <c r="AJ13" s="16" t="s">
        <v>1267</v>
      </c>
      <c r="AK13" s="33">
        <v>0.0</v>
      </c>
      <c r="AL13" s="16"/>
      <c r="AM13" s="16"/>
      <c r="AN13" s="16" t="s">
        <v>1268</v>
      </c>
      <c r="AO13" s="33">
        <v>0.0</v>
      </c>
      <c r="AP13" s="16"/>
      <c r="AQ13" s="16"/>
      <c r="AR13" s="16" t="s">
        <v>1269</v>
      </c>
      <c r="AS13" s="33">
        <v>0.0</v>
      </c>
      <c r="AT13" s="16"/>
      <c r="AU13" s="16"/>
      <c r="AV13" s="16" t="s">
        <v>1270</v>
      </c>
      <c r="AW13" s="33">
        <v>0.0</v>
      </c>
      <c r="AX13" s="16"/>
      <c r="AY13" s="16"/>
      <c r="AZ13" s="16" t="s">
        <v>1271</v>
      </c>
      <c r="BA13" s="33">
        <v>0.0</v>
      </c>
      <c r="BB13" s="16"/>
      <c r="BC13" s="16"/>
      <c r="BD13" s="16" t="s">
        <v>1272</v>
      </c>
      <c r="BE13" s="33">
        <v>0.0</v>
      </c>
      <c r="BF13" s="16"/>
      <c r="BG13" s="16"/>
      <c r="BH13" s="16" t="s">
        <v>1273</v>
      </c>
      <c r="BI13" s="22"/>
      <c r="BJ13" s="50"/>
      <c r="BK13" s="50"/>
      <c r="BL13" s="16" t="s">
        <v>1274</v>
      </c>
      <c r="BM13" s="33">
        <v>0.0</v>
      </c>
      <c r="BN13" s="16"/>
      <c r="BO13" s="16"/>
      <c r="BP13" s="16"/>
      <c r="BQ13" s="16"/>
      <c r="BR13" s="16"/>
      <c r="BS13" s="16"/>
      <c r="BT13" s="16" t="s">
        <v>1275</v>
      </c>
      <c r="BU13" s="33">
        <v>0.0</v>
      </c>
      <c r="BV13" s="16"/>
      <c r="BW13" s="16"/>
      <c r="BX13" s="16" t="s">
        <v>1276</v>
      </c>
      <c r="BY13" s="33">
        <v>0.0</v>
      </c>
      <c r="BZ13" s="16"/>
      <c r="CA13" s="16"/>
      <c r="CB13" s="16"/>
      <c r="CC13" s="16"/>
      <c r="CD13" s="7"/>
      <c r="CE13" s="7"/>
    </row>
    <row r="14">
      <c r="A14" s="5">
        <v>1334.0</v>
      </c>
      <c r="B14" s="6" t="s">
        <v>47</v>
      </c>
      <c r="C14" s="14" t="str">
        <f t="shared" si="1"/>
        <v>LP-13_BC-507A_BS VI MS</v>
      </c>
      <c r="D14" s="14" t="s">
        <v>1277</v>
      </c>
      <c r="E14" s="14" t="s">
        <v>1055</v>
      </c>
      <c r="F14" s="17" t="s">
        <v>1278</v>
      </c>
      <c r="G14" s="17" t="s">
        <v>49</v>
      </c>
      <c r="H14" s="16" t="s">
        <v>1279</v>
      </c>
      <c r="I14" s="33">
        <v>0.0</v>
      </c>
      <c r="J14" s="16"/>
      <c r="K14" s="16"/>
      <c r="L14" s="16" t="s">
        <v>1280</v>
      </c>
      <c r="M14" s="33">
        <v>0.0</v>
      </c>
      <c r="N14" s="16"/>
      <c r="O14" s="16"/>
      <c r="P14" s="16" t="s">
        <v>1281</v>
      </c>
      <c r="Q14" s="33">
        <v>0.0</v>
      </c>
      <c r="R14" s="16"/>
      <c r="S14" s="16"/>
      <c r="T14" s="16" t="s">
        <v>1282</v>
      </c>
      <c r="U14" s="33">
        <v>0.0</v>
      </c>
      <c r="V14" s="16"/>
      <c r="W14" s="16"/>
      <c r="X14" s="16" t="s">
        <v>1283</v>
      </c>
      <c r="Y14" s="33">
        <v>0.0</v>
      </c>
      <c r="Z14" s="16"/>
      <c r="AA14" s="16"/>
      <c r="AB14" s="16" t="s">
        <v>1284</v>
      </c>
      <c r="AC14" s="33">
        <v>0.0</v>
      </c>
      <c r="AD14" s="16"/>
      <c r="AE14" s="16"/>
      <c r="AF14" s="16" t="s">
        <v>1285</v>
      </c>
      <c r="AG14" s="33">
        <v>0.0</v>
      </c>
      <c r="AH14" s="16"/>
      <c r="AI14" s="16"/>
      <c r="AJ14" s="16" t="s">
        <v>1286</v>
      </c>
      <c r="AK14" s="33">
        <v>0.0</v>
      </c>
      <c r="AL14" s="16"/>
      <c r="AM14" s="16"/>
      <c r="AN14" s="16" t="s">
        <v>1287</v>
      </c>
      <c r="AO14" s="33">
        <v>0.0</v>
      </c>
      <c r="AP14" s="16"/>
      <c r="AQ14" s="16"/>
      <c r="AR14" s="16" t="s">
        <v>1288</v>
      </c>
      <c r="AS14" s="33">
        <v>0.0</v>
      </c>
      <c r="AT14" s="16"/>
      <c r="AU14" s="16"/>
      <c r="AV14" s="16" t="s">
        <v>1289</v>
      </c>
      <c r="AW14" s="33">
        <v>0.0</v>
      </c>
      <c r="AX14" s="16"/>
      <c r="AY14" s="16"/>
      <c r="AZ14" s="16" t="s">
        <v>1290</v>
      </c>
      <c r="BA14" s="33">
        <v>0.0</v>
      </c>
      <c r="BB14" s="16"/>
      <c r="BC14" s="16"/>
      <c r="BD14" s="16" t="s">
        <v>1291</v>
      </c>
      <c r="BE14" s="33">
        <v>0.0</v>
      </c>
      <c r="BF14" s="16"/>
      <c r="BG14" s="16"/>
      <c r="BH14" s="16" t="s">
        <v>1292</v>
      </c>
      <c r="BI14" s="22"/>
      <c r="BJ14" s="50"/>
      <c r="BK14" s="50"/>
      <c r="BL14" s="16" t="s">
        <v>1293</v>
      </c>
      <c r="BM14" s="33">
        <v>0.0</v>
      </c>
      <c r="BN14" s="16"/>
      <c r="BO14" s="16"/>
      <c r="BP14" s="16" t="s">
        <v>1294</v>
      </c>
      <c r="BQ14" s="33">
        <v>0.0</v>
      </c>
      <c r="BR14" s="16"/>
      <c r="BS14" s="16"/>
      <c r="BT14" s="16" t="s">
        <v>1295</v>
      </c>
      <c r="BU14" s="33">
        <v>0.0</v>
      </c>
      <c r="BV14" s="16"/>
      <c r="BW14" s="16"/>
      <c r="BX14" s="16" t="s">
        <v>1296</v>
      </c>
      <c r="BY14" s="33">
        <v>0.0</v>
      </c>
      <c r="BZ14" s="16"/>
      <c r="CA14" s="16"/>
      <c r="CB14" s="16" t="s">
        <v>1297</v>
      </c>
      <c r="CC14" s="33">
        <v>0.0</v>
      </c>
      <c r="CD14" s="7"/>
      <c r="CE14" s="7"/>
    </row>
    <row r="15">
      <c r="A15" s="5">
        <v>1334.0</v>
      </c>
      <c r="B15" s="6" t="s">
        <v>47</v>
      </c>
      <c r="C15" s="14" t="str">
        <f t="shared" si="1"/>
        <v>LP-14_BC-507B_BS VI HSD</v>
      </c>
      <c r="D15" s="14" t="s">
        <v>1298</v>
      </c>
      <c r="E15" s="14" t="s">
        <v>1055</v>
      </c>
      <c r="F15" s="17" t="s">
        <v>1299</v>
      </c>
      <c r="G15" s="17" t="s">
        <v>171</v>
      </c>
      <c r="H15" s="16" t="s">
        <v>1300</v>
      </c>
      <c r="I15" s="33">
        <v>0.0</v>
      </c>
      <c r="J15" s="16"/>
      <c r="K15" s="16"/>
      <c r="L15" s="16" t="s">
        <v>1301</v>
      </c>
      <c r="M15" s="33">
        <v>0.0</v>
      </c>
      <c r="N15" s="16"/>
      <c r="O15" s="16"/>
      <c r="P15" s="16" t="s">
        <v>1302</v>
      </c>
      <c r="Q15" s="33">
        <v>0.0</v>
      </c>
      <c r="R15" s="16"/>
      <c r="S15" s="16"/>
      <c r="T15" s="16" t="s">
        <v>1303</v>
      </c>
      <c r="U15" s="33">
        <v>0.0</v>
      </c>
      <c r="V15" s="16"/>
      <c r="W15" s="16"/>
      <c r="X15" s="16" t="s">
        <v>1304</v>
      </c>
      <c r="Y15" s="33">
        <v>0.0</v>
      </c>
      <c r="Z15" s="16"/>
      <c r="AA15" s="16"/>
      <c r="AB15" s="16" t="s">
        <v>1305</v>
      </c>
      <c r="AC15" s="33">
        <v>0.0</v>
      </c>
      <c r="AD15" s="16"/>
      <c r="AE15" s="16"/>
      <c r="AF15" s="16" t="s">
        <v>1306</v>
      </c>
      <c r="AG15" s="33">
        <v>0.0</v>
      </c>
      <c r="AH15" s="16"/>
      <c r="AI15" s="16"/>
      <c r="AJ15" s="16" t="s">
        <v>1307</v>
      </c>
      <c r="AK15" s="33">
        <v>0.0</v>
      </c>
      <c r="AL15" s="16"/>
      <c r="AM15" s="16"/>
      <c r="AN15" s="16" t="s">
        <v>1308</v>
      </c>
      <c r="AO15" s="33">
        <v>0.0</v>
      </c>
      <c r="AP15" s="16"/>
      <c r="AQ15" s="16"/>
      <c r="AR15" s="16" t="s">
        <v>1309</v>
      </c>
      <c r="AS15" s="33">
        <v>0.0</v>
      </c>
      <c r="AT15" s="16"/>
      <c r="AU15" s="16"/>
      <c r="AV15" s="16" t="s">
        <v>1310</v>
      </c>
      <c r="AW15" s="33">
        <v>0.0</v>
      </c>
      <c r="AX15" s="16"/>
      <c r="AY15" s="16"/>
      <c r="AZ15" s="16" t="s">
        <v>1311</v>
      </c>
      <c r="BA15" s="33">
        <v>0.0</v>
      </c>
      <c r="BB15" s="16"/>
      <c r="BC15" s="16"/>
      <c r="BD15" s="16" t="s">
        <v>1312</v>
      </c>
      <c r="BE15" s="33">
        <v>0.0</v>
      </c>
      <c r="BF15" s="16"/>
      <c r="BG15" s="16"/>
      <c r="BH15" s="16" t="s">
        <v>1313</v>
      </c>
      <c r="BI15" s="22"/>
      <c r="BJ15" s="50"/>
      <c r="BK15" s="50"/>
      <c r="BL15" s="16" t="s">
        <v>1314</v>
      </c>
      <c r="BM15" s="33">
        <v>0.0</v>
      </c>
      <c r="BN15" s="16"/>
      <c r="BO15" s="16"/>
      <c r="BP15" s="16" t="s">
        <v>1315</v>
      </c>
      <c r="BQ15" s="33">
        <v>0.0</v>
      </c>
      <c r="BR15" s="16"/>
      <c r="BS15" s="16"/>
      <c r="BT15" s="16" t="s">
        <v>1316</v>
      </c>
      <c r="BU15" s="33">
        <v>0.0</v>
      </c>
      <c r="BV15" s="16"/>
      <c r="BW15" s="16"/>
      <c r="BX15" s="16" t="s">
        <v>1317</v>
      </c>
      <c r="BY15" s="33">
        <v>0.0</v>
      </c>
      <c r="BZ15" s="16"/>
      <c r="CA15" s="16"/>
      <c r="CB15" s="16" t="s">
        <v>1318</v>
      </c>
      <c r="CC15" s="33">
        <v>0.0</v>
      </c>
      <c r="CD15" s="7"/>
      <c r="CE15" s="7"/>
    </row>
    <row r="16">
      <c r="A16" s="5">
        <v>1334.0</v>
      </c>
      <c r="B16" s="6" t="s">
        <v>47</v>
      </c>
      <c r="C16" s="14" t="str">
        <f t="shared" si="1"/>
        <v>LP-15_BC-508A_BS VI HSD</v>
      </c>
      <c r="D16" s="14" t="s">
        <v>1319</v>
      </c>
      <c r="E16" s="14" t="s">
        <v>1055</v>
      </c>
      <c r="F16" s="17" t="s">
        <v>1320</v>
      </c>
      <c r="G16" s="17" t="s">
        <v>171</v>
      </c>
      <c r="H16" s="16" t="s">
        <v>1321</v>
      </c>
      <c r="I16" s="33">
        <v>0.0</v>
      </c>
      <c r="J16" s="16"/>
      <c r="K16" s="16"/>
      <c r="L16" s="16" t="s">
        <v>1322</v>
      </c>
      <c r="M16" s="33">
        <v>0.0</v>
      </c>
      <c r="N16" s="16"/>
      <c r="O16" s="16"/>
      <c r="P16" s="16"/>
      <c r="Q16" s="16"/>
      <c r="R16" s="16"/>
      <c r="S16" s="16"/>
      <c r="T16" s="16" t="s">
        <v>1323</v>
      </c>
      <c r="U16" s="33">
        <v>0.0</v>
      </c>
      <c r="V16" s="16"/>
      <c r="W16" s="16"/>
      <c r="X16" s="16"/>
      <c r="Y16" s="16"/>
      <c r="Z16" s="16"/>
      <c r="AA16" s="16"/>
      <c r="AB16" s="16" t="s">
        <v>1324</v>
      </c>
      <c r="AC16" s="33">
        <v>0.0</v>
      </c>
      <c r="AD16" s="16"/>
      <c r="AE16" s="16"/>
      <c r="AF16" s="16"/>
      <c r="AG16" s="16"/>
      <c r="AH16" s="16"/>
      <c r="AI16" s="16"/>
      <c r="AJ16" s="16" t="s">
        <v>1325</v>
      </c>
      <c r="AK16" s="33">
        <v>0.0</v>
      </c>
      <c r="AL16" s="16"/>
      <c r="AM16" s="16"/>
      <c r="AN16" s="16" t="s">
        <v>1326</v>
      </c>
      <c r="AO16" s="33">
        <v>0.0</v>
      </c>
      <c r="AP16" s="16"/>
      <c r="AQ16" s="16"/>
      <c r="AR16" s="16" t="s">
        <v>1327</v>
      </c>
      <c r="AS16" s="33">
        <v>0.0</v>
      </c>
      <c r="AT16" s="16"/>
      <c r="AU16" s="16"/>
      <c r="AV16" s="16" t="s">
        <v>1328</v>
      </c>
      <c r="AW16" s="33">
        <v>0.0</v>
      </c>
      <c r="AX16" s="16"/>
      <c r="AY16" s="16"/>
      <c r="AZ16" s="16" t="s">
        <v>1329</v>
      </c>
      <c r="BA16" s="33">
        <v>0.0</v>
      </c>
      <c r="BB16" s="16"/>
      <c r="BC16" s="16"/>
      <c r="BD16" s="16" t="s">
        <v>1330</v>
      </c>
      <c r="BE16" s="33">
        <v>0.0</v>
      </c>
      <c r="BF16" s="16"/>
      <c r="BG16" s="16"/>
      <c r="BH16" s="16" t="s">
        <v>1331</v>
      </c>
      <c r="BI16" s="22"/>
      <c r="BJ16" s="50"/>
      <c r="BK16" s="50"/>
      <c r="BL16" s="16" t="s">
        <v>1332</v>
      </c>
      <c r="BM16" s="33">
        <v>0.0</v>
      </c>
      <c r="BN16" s="16"/>
      <c r="BO16" s="16"/>
      <c r="BP16" s="16"/>
      <c r="BQ16" s="16"/>
      <c r="BR16" s="16"/>
      <c r="BS16" s="16"/>
      <c r="BT16" s="16" t="s">
        <v>1333</v>
      </c>
      <c r="BU16" s="33">
        <v>0.0</v>
      </c>
      <c r="BV16" s="16"/>
      <c r="BW16" s="16"/>
      <c r="BX16" s="16" t="s">
        <v>1334</v>
      </c>
      <c r="BY16" s="33">
        <v>0.0</v>
      </c>
      <c r="BZ16" s="16"/>
      <c r="CA16" s="16"/>
      <c r="CB16" s="16"/>
      <c r="CC16" s="16"/>
      <c r="CD16" s="7"/>
      <c r="CE16" s="7"/>
    </row>
    <row r="17">
      <c r="A17" s="5">
        <v>1334.0</v>
      </c>
      <c r="B17" s="6" t="s">
        <v>47</v>
      </c>
      <c r="C17" s="14" t="str">
        <f t="shared" si="1"/>
        <v>LP-16_BC-508B_BS VI HSD</v>
      </c>
      <c r="D17" s="14" t="s">
        <v>1335</v>
      </c>
      <c r="E17" s="14" t="s">
        <v>1055</v>
      </c>
      <c r="F17" s="17" t="s">
        <v>1336</v>
      </c>
      <c r="G17" s="17" t="s">
        <v>171</v>
      </c>
      <c r="H17" s="16" t="s">
        <v>1337</v>
      </c>
      <c r="I17" s="33">
        <v>0.0</v>
      </c>
      <c r="J17" s="16"/>
      <c r="K17" s="16"/>
      <c r="L17" s="16" t="s">
        <v>1338</v>
      </c>
      <c r="M17" s="33">
        <v>0.0</v>
      </c>
      <c r="N17" s="16"/>
      <c r="O17" s="16"/>
      <c r="P17" s="16"/>
      <c r="Q17" s="16"/>
      <c r="R17" s="16"/>
      <c r="S17" s="16"/>
      <c r="T17" s="16" t="s">
        <v>1339</v>
      </c>
      <c r="U17" s="33">
        <v>0.0</v>
      </c>
      <c r="V17" s="16"/>
      <c r="W17" s="16"/>
      <c r="X17" s="16"/>
      <c r="Y17" s="16"/>
      <c r="Z17" s="16"/>
      <c r="AA17" s="16"/>
      <c r="AB17" s="16" t="s">
        <v>1340</v>
      </c>
      <c r="AC17" s="33">
        <v>0.0</v>
      </c>
      <c r="AD17" s="16"/>
      <c r="AE17" s="16"/>
      <c r="AF17" s="16"/>
      <c r="AG17" s="16"/>
      <c r="AH17" s="16"/>
      <c r="AI17" s="16"/>
      <c r="AJ17" s="16" t="s">
        <v>1341</v>
      </c>
      <c r="AK17" s="33">
        <v>0.0</v>
      </c>
      <c r="AL17" s="16"/>
      <c r="AM17" s="16"/>
      <c r="AN17" s="16" t="s">
        <v>1342</v>
      </c>
      <c r="AO17" s="33">
        <v>0.0</v>
      </c>
      <c r="AP17" s="16"/>
      <c r="AQ17" s="16"/>
      <c r="AR17" s="16" t="s">
        <v>1343</v>
      </c>
      <c r="AS17" s="33">
        <v>0.0</v>
      </c>
      <c r="AT17" s="16"/>
      <c r="AU17" s="16"/>
      <c r="AV17" s="16" t="s">
        <v>1344</v>
      </c>
      <c r="AW17" s="33">
        <v>0.0</v>
      </c>
      <c r="AX17" s="16"/>
      <c r="AY17" s="16"/>
      <c r="AZ17" s="16" t="s">
        <v>1345</v>
      </c>
      <c r="BA17" s="33">
        <v>0.0</v>
      </c>
      <c r="BB17" s="16"/>
      <c r="BC17" s="16"/>
      <c r="BD17" s="16" t="s">
        <v>1346</v>
      </c>
      <c r="BE17" s="33">
        <v>0.0</v>
      </c>
      <c r="BF17" s="16"/>
      <c r="BG17" s="16"/>
      <c r="BH17" s="16" t="s">
        <v>1347</v>
      </c>
      <c r="BI17" s="22"/>
      <c r="BJ17" s="50"/>
      <c r="BK17" s="50"/>
      <c r="BL17" s="16" t="s">
        <v>1348</v>
      </c>
      <c r="BM17" s="33">
        <v>0.0</v>
      </c>
      <c r="BN17" s="16"/>
      <c r="BO17" s="16"/>
      <c r="BP17" s="16"/>
      <c r="BQ17" s="16"/>
      <c r="BR17" s="16"/>
      <c r="BS17" s="16"/>
      <c r="BT17" s="16" t="s">
        <v>1349</v>
      </c>
      <c r="BU17" s="33">
        <v>0.0</v>
      </c>
      <c r="BV17" s="16"/>
      <c r="BW17" s="16"/>
      <c r="BX17" s="16" t="s">
        <v>1350</v>
      </c>
      <c r="BY17" s="33">
        <v>0.0</v>
      </c>
      <c r="BZ17" s="16"/>
      <c r="CA17" s="16"/>
      <c r="CB17" s="16"/>
      <c r="CC17" s="16"/>
      <c r="CD17" s="7"/>
      <c r="CE17" s="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1351</v>
      </c>
      <c r="D1" s="1" t="s">
        <v>1352</v>
      </c>
      <c r="E1" s="1" t="s">
        <v>7</v>
      </c>
      <c r="F1" s="1" t="s">
        <v>8</v>
      </c>
      <c r="G1" s="1" t="s">
        <v>9</v>
      </c>
      <c r="H1" s="47" t="s">
        <v>1353</v>
      </c>
      <c r="I1" s="1" t="s">
        <v>7</v>
      </c>
      <c r="J1" s="1" t="s">
        <v>8</v>
      </c>
      <c r="K1" s="1" t="s">
        <v>9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>
      <c r="A2" s="5">
        <v>1334.0</v>
      </c>
      <c r="B2" s="6" t="s">
        <v>47</v>
      </c>
      <c r="C2" s="14" t="s">
        <v>1354</v>
      </c>
      <c r="D2" s="51" t="s">
        <v>1355</v>
      </c>
      <c r="E2" s="12">
        <v>0.0</v>
      </c>
      <c r="F2" s="7"/>
      <c r="G2" s="7"/>
      <c r="H2" s="10" t="s">
        <v>950</v>
      </c>
      <c r="I2" s="5">
        <v>0.0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47" t="s">
        <v>1356</v>
      </c>
      <c r="D1" s="47" t="s">
        <v>1357</v>
      </c>
      <c r="E1" s="47" t="s">
        <v>1358</v>
      </c>
      <c r="F1" s="47" t="s">
        <v>8</v>
      </c>
      <c r="G1" s="47" t="s">
        <v>9</v>
      </c>
      <c r="H1" s="47" t="s">
        <v>934</v>
      </c>
      <c r="I1" s="47" t="s">
        <v>1359</v>
      </c>
      <c r="J1" s="47" t="s">
        <v>8</v>
      </c>
      <c r="K1" s="47" t="s">
        <v>9</v>
      </c>
      <c r="L1" s="47" t="s">
        <v>935</v>
      </c>
      <c r="M1" s="47" t="s">
        <v>1360</v>
      </c>
      <c r="N1" s="47" t="s">
        <v>8</v>
      </c>
      <c r="O1" s="47" t="s">
        <v>9</v>
      </c>
      <c r="P1" s="7" t="s">
        <v>1361</v>
      </c>
      <c r="Q1" s="7" t="s">
        <v>1362</v>
      </c>
      <c r="R1" s="47" t="s">
        <v>8</v>
      </c>
      <c r="S1" s="47" t="s">
        <v>9</v>
      </c>
      <c r="T1" s="7" t="s">
        <v>1363</v>
      </c>
      <c r="U1" s="7" t="s">
        <v>7</v>
      </c>
      <c r="V1" s="47" t="s">
        <v>8</v>
      </c>
      <c r="W1" s="47" t="s">
        <v>9</v>
      </c>
      <c r="X1" s="7"/>
      <c r="Y1" s="7"/>
      <c r="Z1" s="7"/>
      <c r="AA1" s="7"/>
      <c r="AB1" s="7"/>
      <c r="AC1" s="7"/>
      <c r="AD1" s="7"/>
      <c r="AE1" s="7"/>
      <c r="AF1" s="7"/>
      <c r="AG1" s="7"/>
      <c r="AH1" s="7"/>
    </row>
    <row r="2">
      <c r="A2" s="52">
        <v>1334.0</v>
      </c>
      <c r="B2" s="53" t="s">
        <v>47</v>
      </c>
      <c r="C2" s="54" t="s">
        <v>1364</v>
      </c>
      <c r="D2" s="10" t="s">
        <v>1365</v>
      </c>
      <c r="E2" s="53">
        <v>0.0</v>
      </c>
      <c r="F2" s="55"/>
      <c r="G2" s="55"/>
      <c r="H2" s="10" t="s">
        <v>949</v>
      </c>
      <c r="I2" s="14">
        <v>0.0</v>
      </c>
      <c r="J2" s="43"/>
      <c r="K2" s="43"/>
      <c r="L2" s="10" t="s">
        <v>950</v>
      </c>
      <c r="M2" s="14">
        <v>0.0</v>
      </c>
      <c r="N2" s="7"/>
      <c r="O2" s="7"/>
      <c r="P2" s="7"/>
      <c r="Q2" s="7"/>
      <c r="R2" s="7"/>
      <c r="S2" s="7"/>
      <c r="T2" s="7"/>
      <c r="U2" s="5">
        <v>0.0</v>
      </c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>
      <c r="A3" s="52">
        <v>1334.0</v>
      </c>
      <c r="B3" s="53" t="s">
        <v>47</v>
      </c>
      <c r="C3" s="20" t="s">
        <v>1366</v>
      </c>
      <c r="D3" s="7"/>
      <c r="E3" s="7"/>
      <c r="F3" s="7"/>
      <c r="G3" s="7"/>
      <c r="H3" s="51" t="s">
        <v>1355</v>
      </c>
      <c r="I3" s="14">
        <v>0.0</v>
      </c>
      <c r="J3" s="43"/>
      <c r="K3" s="43"/>
      <c r="L3" s="10" t="s">
        <v>950</v>
      </c>
      <c r="M3" s="14">
        <v>0.0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9.0"/>
  </cols>
  <sheetData>
    <row r="1">
      <c r="A1" s="1" t="s">
        <v>0</v>
      </c>
      <c r="B1" s="1" t="s">
        <v>1</v>
      </c>
      <c r="C1" s="1" t="s">
        <v>1367</v>
      </c>
      <c r="D1" s="42" t="s">
        <v>1368</v>
      </c>
      <c r="E1" s="42" t="s">
        <v>1369</v>
      </c>
      <c r="F1" s="47" t="s">
        <v>8</v>
      </c>
      <c r="G1" s="47" t="s">
        <v>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1370</v>
      </c>
      <c r="D1" s="20" t="s">
        <v>1371</v>
      </c>
      <c r="E1" s="20" t="s">
        <v>7</v>
      </c>
      <c r="F1" s="47" t="s">
        <v>8</v>
      </c>
      <c r="G1" s="47" t="s">
        <v>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52">
        <v>1334.0</v>
      </c>
      <c r="B2" s="53" t="s">
        <v>47</v>
      </c>
      <c r="C2" s="20" t="s">
        <v>1372</v>
      </c>
      <c r="D2" s="51" t="s">
        <v>1373</v>
      </c>
      <c r="E2" s="56">
        <v>0.0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0.63"/>
    <col customWidth="1" min="8" max="8" width="27.0"/>
  </cols>
  <sheetData>
    <row r="1">
      <c r="A1" s="1" t="s">
        <v>0</v>
      </c>
      <c r="B1" s="1" t="s">
        <v>1</v>
      </c>
      <c r="C1" s="20" t="s">
        <v>1374</v>
      </c>
      <c r="D1" s="20" t="s">
        <v>1375</v>
      </c>
      <c r="E1" s="20" t="s">
        <v>13</v>
      </c>
      <c r="F1" s="47" t="s">
        <v>8</v>
      </c>
      <c r="G1" s="47" t="s">
        <v>9</v>
      </c>
      <c r="H1" s="20" t="s">
        <v>1376</v>
      </c>
      <c r="I1" s="20" t="s">
        <v>13</v>
      </c>
      <c r="J1" s="47" t="s">
        <v>8</v>
      </c>
      <c r="K1" s="47" t="s">
        <v>9</v>
      </c>
      <c r="L1" s="20" t="s">
        <v>1377</v>
      </c>
      <c r="M1" s="20" t="s">
        <v>13</v>
      </c>
      <c r="N1" s="47" t="s">
        <v>8</v>
      </c>
      <c r="O1" s="47" t="s">
        <v>9</v>
      </c>
      <c r="P1" s="20" t="s">
        <v>1378</v>
      </c>
      <c r="Q1" s="20" t="s">
        <v>13</v>
      </c>
      <c r="R1" s="47" t="s">
        <v>8</v>
      </c>
      <c r="S1" s="20" t="s">
        <v>9</v>
      </c>
      <c r="T1" s="20" t="s">
        <v>1379</v>
      </c>
      <c r="U1" s="20" t="s">
        <v>13</v>
      </c>
      <c r="V1" s="47" t="s">
        <v>8</v>
      </c>
      <c r="W1" s="47" t="s">
        <v>9</v>
      </c>
      <c r="X1" s="14" t="s">
        <v>1380</v>
      </c>
      <c r="Y1" s="14" t="s">
        <v>7</v>
      </c>
      <c r="Z1" s="47" t="s">
        <v>8</v>
      </c>
      <c r="AA1" s="47" t="s">
        <v>9</v>
      </c>
      <c r="AB1" s="14" t="s">
        <v>1381</v>
      </c>
      <c r="AC1" s="14" t="s">
        <v>7</v>
      </c>
      <c r="AD1" s="47" t="s">
        <v>8</v>
      </c>
      <c r="AE1" s="47" t="s">
        <v>9</v>
      </c>
      <c r="AF1" s="20" t="s">
        <v>1382</v>
      </c>
      <c r="AG1" s="14" t="s">
        <v>7</v>
      </c>
      <c r="AH1" s="47" t="s">
        <v>8</v>
      </c>
      <c r="AI1" s="47" t="s">
        <v>9</v>
      </c>
      <c r="AJ1" s="33" t="s">
        <v>1383</v>
      </c>
      <c r="AK1" s="33" t="s">
        <v>7</v>
      </c>
      <c r="AL1" s="47" t="s">
        <v>8</v>
      </c>
      <c r="AM1" s="47" t="s">
        <v>9</v>
      </c>
      <c r="AN1" s="7" t="s">
        <v>1384</v>
      </c>
      <c r="AO1" s="7" t="s">
        <v>7</v>
      </c>
      <c r="AP1" s="47" t="s">
        <v>8</v>
      </c>
      <c r="AQ1" s="47" t="s">
        <v>9</v>
      </c>
      <c r="AR1" s="7" t="s">
        <v>1385</v>
      </c>
      <c r="AS1" s="7" t="s">
        <v>7</v>
      </c>
      <c r="AT1" s="47" t="s">
        <v>8</v>
      </c>
      <c r="AU1" s="47" t="s">
        <v>9</v>
      </c>
      <c r="AV1" s="7" t="s">
        <v>1386</v>
      </c>
      <c r="AW1" s="7" t="s">
        <v>7</v>
      </c>
      <c r="AX1" s="47" t="s">
        <v>8</v>
      </c>
      <c r="AY1" s="47" t="s">
        <v>9</v>
      </c>
      <c r="AZ1" s="7" t="s">
        <v>1387</v>
      </c>
      <c r="BA1" s="7" t="s">
        <v>7</v>
      </c>
      <c r="BB1" s="47" t="s">
        <v>8</v>
      </c>
      <c r="BC1" s="47" t="s">
        <v>9</v>
      </c>
    </row>
    <row r="2">
      <c r="A2" s="52">
        <v>1334.0</v>
      </c>
      <c r="B2" s="53" t="s">
        <v>47</v>
      </c>
      <c r="C2" s="20" t="s">
        <v>1388</v>
      </c>
      <c r="D2" s="57" t="s">
        <v>1389</v>
      </c>
      <c r="E2" s="14">
        <v>0.0</v>
      </c>
      <c r="F2" s="16"/>
      <c r="G2" s="16"/>
      <c r="H2" s="57" t="s">
        <v>1390</v>
      </c>
      <c r="I2" s="14">
        <v>0.0</v>
      </c>
      <c r="J2" s="16"/>
      <c r="K2" s="16"/>
      <c r="L2" s="57" t="s">
        <v>1391</v>
      </c>
      <c r="M2" s="14">
        <v>0.0</v>
      </c>
      <c r="N2" s="16"/>
      <c r="O2" s="16"/>
      <c r="P2" s="57" t="s">
        <v>724</v>
      </c>
      <c r="Q2" s="14">
        <v>1.0</v>
      </c>
      <c r="R2" s="16"/>
      <c r="S2" s="16"/>
      <c r="T2" s="57" t="s">
        <v>729</v>
      </c>
      <c r="U2" s="14">
        <v>1.0</v>
      </c>
      <c r="V2" s="16"/>
      <c r="W2" s="16"/>
      <c r="X2" s="51" t="s">
        <v>1392</v>
      </c>
      <c r="Y2" s="20"/>
      <c r="Z2" s="16"/>
      <c r="AA2" s="16"/>
      <c r="AB2" s="51" t="s">
        <v>1393</v>
      </c>
      <c r="AC2" s="20"/>
      <c r="AD2" s="16"/>
      <c r="AE2" s="16"/>
      <c r="AF2" s="51" t="s">
        <v>1394</v>
      </c>
      <c r="AG2" s="20"/>
      <c r="AH2" s="20"/>
      <c r="AI2" s="20"/>
      <c r="AJ2" s="58"/>
      <c r="AK2" s="7"/>
      <c r="AL2" s="7"/>
      <c r="AM2" s="7"/>
      <c r="AN2" s="33" t="s">
        <v>1395</v>
      </c>
      <c r="AO2" s="5">
        <v>1.0</v>
      </c>
      <c r="AP2" s="7"/>
      <c r="AQ2" s="7"/>
      <c r="AR2" s="7"/>
      <c r="AS2" s="5">
        <v>1.0</v>
      </c>
      <c r="AT2" s="7"/>
      <c r="AU2" s="7"/>
      <c r="AV2" s="33" t="s">
        <v>1396</v>
      </c>
      <c r="AW2" s="5">
        <v>1.0</v>
      </c>
      <c r="AX2" s="7"/>
      <c r="AY2" s="7"/>
      <c r="AZ2" s="7"/>
      <c r="BA2" s="5">
        <v>1.0</v>
      </c>
      <c r="BB2" s="7"/>
      <c r="BC2" s="7"/>
    </row>
  </sheetData>
  <drawing r:id="rId1"/>
</worksheet>
</file>