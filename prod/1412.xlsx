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KZtIIt4bOFkIe61wIPhcBNu8IiGlBgFprfOCA6CTxIE="/>
    </ext>
  </extLst>
</workbook>
</file>

<file path=xl/sharedStrings.xml><?xml version="1.0" encoding="utf-8"?>
<sst xmlns="http://schemas.openxmlformats.org/spreadsheetml/2006/main" count="2534" uniqueCount="1341">
  <si>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</si>
  <si>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</si>
  <si>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</si>
  <si>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</si>
  <si>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</si>
  <si>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</si>
  <si>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</si>
  <si>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</si>
  <si>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</si>
  <si>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</si>
  <si>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</si>
  <si>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</si>
  <si>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</si>
  <si>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</si>
  <si>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</si>
  <si>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</si>
  <si>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</si>
  <si>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</si>
  <si>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</si>
  <si>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</si>
  <si>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</si>
  <si>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</si>
  <si>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</si>
  <si>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</si>
  <si>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</si>
  <si>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</si>
  <si>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</si>
  <si>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</si>
  <si>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</si>
  <si>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</si>
  <si>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</si>
  <si>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</si>
  <si>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</si>
  <si>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</si>
  <si>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</si>
  <si>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</si>
  <si>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</si>
  <si>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</si>
  <si>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</si>
  <si>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</si>
  <si>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</si>
  <si>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</si>
  <si>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</si>
  <si>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</si>
  <si>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</si>
  <si>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</si>
  <si>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</si>
  <si>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</si>
  <si>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Hazira</t>
  </si>
  <si>
    <t>TK-01</t>
  </si>
  <si>
    <t>AG</t>
  </si>
  <si>
    <t>BS VI HSD</t>
  </si>
  <si>
    <t>PLC.SFTPLC.CAUSE_CENTRAL_ESD_ACTIVATED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</si>
  <si>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</si>
  <si>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</si>
  <si>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</si>
  <si>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</si>
  <si>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</si>
  <si>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</si>
  <si>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</si>
  <si>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</si>
  <si>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</si>
  <si>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</si>
  <si>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</si>
  <si>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</si>
  <si>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</si>
  <si>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</si>
  <si>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</si>
  <si>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</si>
  <si>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</si>
  <si>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</si>
  <si>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</si>
  <si>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</si>
  <si>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</si>
  <si>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</si>
  <si>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</si>
  <si>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</si>
  <si>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MOV.ROSOV-03.OPEN_STATUS</t>
  </si>
  <si>
    <t>ROSOV-03</t>
  </si>
  <si>
    <t>ROSOV RCL</t>
  </si>
  <si>
    <t>MOV.ROSOV-03.FAILED_TO_CLOSE</t>
  </si>
  <si>
    <t>ROSOV FAILED RCL</t>
  </si>
  <si>
    <t>MOV.MOV-01.OPEN_STATUS</t>
  </si>
  <si>
    <t>MOV-01</t>
  </si>
  <si>
    <t>MOV IL1</t>
  </si>
  <si>
    <t>MOV.MOV-02.OPEN_STATUS</t>
  </si>
  <si>
    <t>MOV OL</t>
  </si>
  <si>
    <t>MOV.MOV-03.OPEN_STATUS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</si>
  <si>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</si>
  <si>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</si>
  <si>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</si>
  <si>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</si>
  <si>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</si>
  <si>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</si>
  <si>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</si>
  <si>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</si>
  <si>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</si>
  <si>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</si>
  <si>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</si>
  <si>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</si>
  <si>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</si>
  <si>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</si>
  <si>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</si>
  <si>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</si>
  <si>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</si>
  <si>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</si>
  <si>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</si>
  <si>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</si>
  <si>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</si>
  <si>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</si>
  <si>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MOV.MOV-04.OPEN_STATUS</t>
  </si>
  <si>
    <t>MOV-04</t>
  </si>
  <si>
    <t>MOV.MOV-05.OPEN_STATUS</t>
  </si>
  <si>
    <t>MOV.MOV-06.OPEN_STATUS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</si>
  <si>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</si>
  <si>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</si>
  <si>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</si>
  <si>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</si>
  <si>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</si>
  <si>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</si>
  <si>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</si>
  <si>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</si>
  <si>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</si>
  <si>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</si>
  <si>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</si>
  <si>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</si>
  <si>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</si>
  <si>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</si>
  <si>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</si>
  <si>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</si>
  <si>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ROSOV-08</t>
  </si>
  <si>
    <t>MOV.ROSOV-08.FAILED_TO_CLOSE</t>
  </si>
  <si>
    <t>MOV.ROSOV-09.OPEN_STATUS</t>
  </si>
  <si>
    <t>ROSOV-09</t>
  </si>
  <si>
    <t>MOV.ROSOV-09.FAILED_TO_CLOSE</t>
  </si>
  <si>
    <t>MOV.MOV-07.OPEN_STATUS</t>
  </si>
  <si>
    <t>MOV-07</t>
  </si>
  <si>
    <t>MOV.MOV-08.OPEN_STATUS</t>
  </si>
  <si>
    <t>MOV.MOV-09.OPEN_STATUS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</si>
  <si>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</si>
  <si>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</si>
  <si>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</si>
  <si>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</si>
  <si>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</si>
  <si>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</si>
  <si>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</si>
  <si>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</si>
  <si>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</si>
  <si>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</si>
  <si>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</si>
  <si>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</si>
  <si>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</si>
  <si>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</si>
  <si>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</si>
  <si>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</si>
  <si>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</si>
  <si>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</si>
  <si>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</si>
  <si>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</si>
  <si>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</si>
  <si>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</si>
  <si>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MOV.MOV-10.OPEN_STATUS</t>
  </si>
  <si>
    <t>MOV-10</t>
  </si>
  <si>
    <t>MOV.MOV-11.OPEN_STATUS</t>
  </si>
  <si>
    <t>MOV.MOV-12.OPEN_STATUS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</si>
  <si>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</si>
  <si>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</si>
  <si>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</si>
  <si>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</si>
  <si>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</si>
  <si>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</si>
  <si>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</si>
  <si>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</si>
  <si>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</si>
  <si>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</si>
  <si>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</si>
  <si>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</si>
  <si>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</si>
  <si>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</si>
  <si>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</si>
  <si>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</si>
  <si>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ROSOV-14</t>
  </si>
  <si>
    <t>MOV.ROSOV-14.FAILED_TO_CLOSE</t>
  </si>
  <si>
    <t>MOV.ROSOV-15.OPEN_STATUS</t>
  </si>
  <si>
    <t>ROSOV-15</t>
  </si>
  <si>
    <t>MOV.ROSOV-15.FAILED_TO_CLOSE</t>
  </si>
  <si>
    <t>MOV.MOV-13.OPEN_STATUS</t>
  </si>
  <si>
    <t>MOV-13</t>
  </si>
  <si>
    <t>MOV.MOV-14.OPEN_STATUS</t>
  </si>
  <si>
    <t>MOV.MOV-15.OPEN_STATUS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</si>
  <si>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</si>
  <si>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</si>
  <si>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</si>
  <si>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</si>
  <si>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</si>
  <si>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</si>
  <si>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</si>
  <si>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</si>
  <si>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</si>
  <si>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</si>
  <si>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</si>
  <si>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</si>
  <si>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</si>
  <si>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</si>
  <si>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</si>
  <si>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</si>
  <si>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</si>
  <si>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</si>
  <si>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</si>
  <si>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</si>
  <si>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</si>
  <si>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MOV.MOV-16.OPEN_STATUS</t>
  </si>
  <si>
    <t>MOV-16</t>
  </si>
  <si>
    <t>MOV.MOV-17.OPEN_STATUS</t>
  </si>
  <si>
    <t>MOV.MOV-18.OPEN_STATUS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</si>
  <si>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</si>
  <si>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</si>
  <si>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</si>
  <si>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</si>
  <si>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</si>
  <si>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</si>
  <si>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</si>
  <si>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</si>
  <si>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</si>
  <si>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</si>
  <si>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</si>
  <si>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</si>
  <si>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BS VI MS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</si>
  <si>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</si>
  <si>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</si>
  <si>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</si>
  <si>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</si>
  <si>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</si>
  <si>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</si>
  <si>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</si>
  <si>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</si>
  <si>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</si>
  <si>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TK-11</t>
  </si>
  <si>
    <t>WATER</t>
  </si>
  <si>
    <t>TANK.TK-11.LEVEL</t>
  </si>
  <si>
    <t>TANK.TK-11.TANK_ALERT_ALARM</t>
  </si>
  <si>
    <t>TK-12</t>
  </si>
  <si>
    <t>TANK.TK-12.LEVEL</t>
  </si>
  <si>
    <t>TANK.TK-12.TANK_ALERT_ALARM</t>
  </si>
  <si>
    <t>TK-13</t>
  </si>
  <si>
    <t>TANK.TK-13.LEVEL</t>
  </si>
  <si>
    <t>TANK.TK-13.TANK_ALERT_ALARM</t>
  </si>
  <si>
    <t>TK-14</t>
  </si>
  <si>
    <t>TANK.TK-14.LEVEL</t>
  </si>
  <si>
    <t>TANK.TK-14.HIGH_LEVEL</t>
  </si>
  <si>
    <t>TANK.TK-14.TANK_ALERT_ALARM</t>
  </si>
  <si>
    <t>TANK.TK-14.HIGH_HIGH_LEVEL</t>
  </si>
  <si>
    <t>LEVELSWITCH.LSW-07.SWITCH_STATUS</t>
  </si>
  <si>
    <t>LSW-07</t>
  </si>
  <si>
    <t>LEVELSWITCH.LSW-07.PROOF_TEST_OK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</si>
  <si>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</si>
  <si>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</si>
  <si>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</si>
  <si>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</si>
  <si>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</si>
  <si>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</si>
  <si>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</si>
  <si>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</si>
  <si>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ROSOV-20</t>
  </si>
  <si>
    <t>MOV.ROSOV-20.FAILED_TO_CLOSE</t>
  </si>
  <si>
    <t>MOV.ROSOV-21.OPEN_STATUS</t>
  </si>
  <si>
    <t>ROSOV-21</t>
  </si>
  <si>
    <t>MOV.ROSOV-21.FAILED_TO_CLOSE</t>
  </si>
  <si>
    <t>MOV.MOV-19.OPEN_STATUS</t>
  </si>
  <si>
    <t>MOV-19</t>
  </si>
  <si>
    <t>MOV.MOV-20.OPEN_STATUS</t>
  </si>
  <si>
    <t>MOV.MOV-31.OPEN_STATUS</t>
  </si>
  <si>
    <t>MOV OL1</t>
  </si>
  <si>
    <t>MOV.MOV-21.OPEN_STATUS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</si>
  <si>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</si>
  <si>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</si>
  <si>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</si>
  <si>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</si>
  <si>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</si>
  <si>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LEVELSWITCH.LSW-08.SWITCH_STATUS</t>
  </si>
  <si>
    <t>LSW-08</t>
  </si>
  <si>
    <t>LEVELSWITCH.LSW-08.PROOF_TEST_OK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</si>
  <si>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</si>
  <si>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</si>
  <si>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</si>
  <si>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</si>
  <si>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</si>
  <si>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</si>
  <si>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</si>
  <si>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</si>
  <si>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</si>
  <si>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</si>
  <si>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</si>
  <si>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</si>
  <si>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</si>
  <si>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MOV.MOV-22.OPEN_STATUS</t>
  </si>
  <si>
    <t>MOV-22</t>
  </si>
  <si>
    <t>MOV.MOV-23.OPEN_STATUS</t>
  </si>
  <si>
    <t>MOV.MOV-32.OPEN_STATUS</t>
  </si>
  <si>
    <t>MOV.MOV-24.OPEN_STATUS</t>
  </si>
  <si>
    <t>TK-21</t>
  </si>
  <si>
    <t>HHSD</t>
  </si>
  <si>
    <t>TANK.TK-21.LEVEL</t>
  </si>
  <si>
    <t>TANK.TK-21.TANK_ALERT_ALARM</t>
  </si>
  <si>
    <t>TK-22</t>
  </si>
  <si>
    <t>TANK.TK-22.LEVEL</t>
  </si>
  <si>
    <t>TANK.TK-22.TANK_ALERT_ALARM</t>
  </si>
  <si>
    <t>TK-23</t>
  </si>
  <si>
    <t>FO</t>
  </si>
  <si>
    <t>TANK.TK-23.LEVEL</t>
  </si>
  <si>
    <t>TANK.TK-23.TANK_ALERT_ALARM</t>
  </si>
  <si>
    <t>TK-24</t>
  </si>
  <si>
    <t>TANK.TK-24.LEVEL</t>
  </si>
  <si>
    <t>TANK.TK-24.HIGH_LEVEL</t>
  </si>
  <si>
    <t>TANK.TK-24.TANK_ALERT_ALARM</t>
  </si>
  <si>
    <t>TANK.TK-24.HIGH_HIGH_LEVEL</t>
  </si>
  <si>
    <t>LEVELSWITCH.LSW-09.SWITCH_STATUS</t>
  </si>
  <si>
    <t>LSW-09</t>
  </si>
  <si>
    <t>LEVELSWITCH.LSW-09.PROOF_TEST_OK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</si>
  <si>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</si>
  <si>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</si>
  <si>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</si>
  <si>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</si>
  <si>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</si>
  <si>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</si>
  <si>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</si>
  <si>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</si>
  <si>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ROSOV-26</t>
  </si>
  <si>
    <t>MOV.ROSOV-26.FAILED_TO_CLOSE</t>
  </si>
  <si>
    <t>MOV.ROSOV-27.OPEN_STATUS</t>
  </si>
  <si>
    <t>ROSOV-27</t>
  </si>
  <si>
    <t>MOV.ROSOV-27.FAILED_TO_CLOSE</t>
  </si>
  <si>
    <t>MOV.MOV-25.OPEN_STATUS</t>
  </si>
  <si>
    <t>MOV-25</t>
  </si>
  <si>
    <t>MOV.MOV-26.OPEN_STATUS</t>
  </si>
  <si>
    <t>MOV.MOV-33.OPEN_STATUS</t>
  </si>
  <si>
    <t>MOV-33</t>
  </si>
  <si>
    <t>MOV.MOV-27.OPEN_STATUS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</si>
  <si>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</si>
  <si>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</si>
  <si>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</si>
  <si>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</si>
  <si>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</si>
  <si>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LEVELSWITCH.LSW-10.SWITCH_STATUS</t>
  </si>
  <si>
    <t>LSW-10</t>
  </si>
  <si>
    <t>LEVELSWITCH.LSW-10.PROOF_TEST_OK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</si>
  <si>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</si>
  <si>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</si>
  <si>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</si>
  <si>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</si>
  <si>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</si>
  <si>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MOV.ROSOV-28.OPEN_STATUS</t>
  </si>
  <si>
    <t>MOV.ROSOV-28.FAILED_TO_CLOSE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</si>
  <si>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</si>
  <si>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</si>
  <si>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</si>
  <si>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</si>
  <si>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</si>
  <si>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</si>
  <si>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MOV.MOV-28.OPEN_STATUS</t>
  </si>
  <si>
    <t>MOV-28</t>
  </si>
  <si>
    <t>MOV.MOV-29.OPEN_STATUS</t>
  </si>
  <si>
    <t>MOV.MOV-34.OPEN_STATUS</t>
  </si>
  <si>
    <t>MOV-34</t>
  </si>
  <si>
    <t>MOV.MOV-30.OPEN_STATUS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</si>
  <si>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</si>
  <si>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</si>
  <si>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</si>
  <si>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</si>
  <si>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</si>
  <si>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</si>
  <si>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</si>
  <si>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</si>
  <si>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</si>
  <si>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</si>
  <si>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</si>
  <si>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</si>
  <si>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</si>
  <si>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</si>
  <si>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</si>
  <si>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Hazira_M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</si>
  <si>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</si>
  <si>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</si>
  <si>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</si>
  <si>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</si>
  <si>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</si>
  <si>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</si>
  <si>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MOV.MOV-01.MAINTENANCE_STATUS</t>
  </si>
  <si>
    <t>MOV.MOV-03.MAINTENANCE_STATUS</t>
  </si>
  <si>
    <t>MOV.MOV-02.MAINTENANCE_STATUS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</si>
  <si>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</si>
  <si>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</si>
  <si>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</si>
  <si>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</si>
  <si>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</si>
  <si>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</si>
  <si>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MOV.MOV-04.MAINTENANCE_STATUS</t>
  </si>
  <si>
    <t>MOV.MOV-06.MAINTENANCE_STATUS</t>
  </si>
  <si>
    <t>MOV.MOV-05.MAINTENANCE_STATUS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</si>
  <si>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</si>
  <si>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</si>
  <si>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</si>
  <si>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</si>
  <si>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</si>
  <si>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</si>
  <si>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MOV.MOV-07.MAINTENANCE_STATUS</t>
  </si>
  <si>
    <t>MOV.MOV-09.MAINTENANCE_STATUS</t>
  </si>
  <si>
    <t>MOV.MOV-08.MAINTENANCE_STATUS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</si>
  <si>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</si>
  <si>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</si>
  <si>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</si>
  <si>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</si>
  <si>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</si>
  <si>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</si>
  <si>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MOV.MOV-10.MAINTENANCE_STATUS</t>
  </si>
  <si>
    <t>MOV.MOV-12.MAINTENANCE_STATUS</t>
  </si>
  <si>
    <t>MOV.MOV-11.MAINTENANCE_STATUS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</si>
  <si>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</si>
  <si>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</si>
  <si>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</si>
  <si>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</si>
  <si>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</si>
  <si>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</si>
  <si>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MOV.MOV-13.MAINTENANCE_STATUS</t>
  </si>
  <si>
    <t>MOV.MOV-15.MAINTENANCE_STATUS</t>
  </si>
  <si>
    <t>MOV.MOV-14.MAINTENANCE_STATUS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</si>
  <si>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</si>
  <si>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</si>
  <si>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</si>
  <si>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</si>
  <si>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</si>
  <si>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</si>
  <si>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</si>
  <si>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</si>
  <si>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</si>
  <si>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TANK.TK-07.MAINTENANCE_STATUS</t>
  </si>
  <si>
    <t>TANK.TK-08.MAINTENANCE_STATUS</t>
  </si>
  <si>
    <t>TANK.TK-09.MAINTENANCE_STATUS</t>
  </si>
  <si>
    <t>TANK.TK-10.MAINTENANCE_STATUS</t>
  </si>
  <si>
    <t>TANK.TK-11.MAINTENANCE_STATUS</t>
  </si>
  <si>
    <t>TANK.TK-12.MAINTENANCE_STATUS</t>
  </si>
  <si>
    <t>TANK.TK-13.MAINTENANCE_STATUS</t>
  </si>
  <si>
    <t>MOV.MOV-31.MAINTENANCE_STATUS</t>
  </si>
  <si>
    <t>TANK.TK-14.MAINTENANCE_STATUS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</si>
  <si>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</si>
  <si>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</si>
  <si>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</si>
  <si>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</si>
  <si>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</si>
  <si>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</si>
  <si>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</si>
  <si>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</si>
  <si>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MOV.MOV-32.MAINTENANCE_STATUS</t>
  </si>
  <si>
    <t>TANK.TK-15.MAINTENANCE_STATUS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</si>
  <si>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</si>
  <si>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</si>
  <si>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</si>
  <si>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</si>
  <si>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</si>
  <si>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MOV.MOV-22.MAINTENANCE_STATUS</t>
  </si>
  <si>
    <t>MOV.MOV-24.MAINTENANCE_STATUS</t>
  </si>
  <si>
    <t>MOV.MOV-23.MAINTENANCE_STATUS</t>
  </si>
  <si>
    <t>MOV.MOV-33.MAINTENANCE_STATUS</t>
  </si>
  <si>
    <t>TANK.TK-24.MAINTENANCE_STATUS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</si>
  <si>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</si>
  <si>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</si>
  <si>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</si>
  <si>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</si>
  <si>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</si>
  <si>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MOV.MOV-25.MAINTENANCE_STATUS</t>
  </si>
  <si>
    <t>MOV.MOV-27.MAINTENANCE_STATUS</t>
  </si>
  <si>
    <t>MOV.MOV-26.MAINTENANCE_STATUS</t>
  </si>
  <si>
    <t>MOV.MOV-34.MAINTENANCE_STATUS</t>
  </si>
  <si>
    <t>TANK.TK-25.MAINTENANCE_STATUS</t>
  </si>
  <si>
    <t>LEVELSWITCH.LSW-10.MAINTENANCE_STATUS</t>
  </si>
  <si>
    <t>LEVELSWITCH.RDR-10.MAINTENANCE_STATUS</t>
  </si>
  <si>
    <t>MOV.ROSOV-28.MAINTENANCE_STATUS</t>
  </si>
  <si>
    <t>MOV.ROSOV-29.MAINTENANCE_STATUS</t>
  </si>
  <si>
    <t>MOV.ROSOV-30.MAINTENANCE_STATUS</t>
  </si>
  <si>
    <t>MOV.MOV-28.MAINTENANCE_STATUS</t>
  </si>
  <si>
    <t>MOV.MOV-30.MAINTENANCE_STATUS</t>
  </si>
  <si>
    <t>MOV.MOV-29.MAINTENANCE_STATUS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</si>
  <si>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</si>
  <si>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</si>
  <si>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</si>
  <si>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</si>
  <si>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</si>
  <si>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</si>
  <si>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</si>
  <si>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</si>
  <si>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</si>
  <si>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</si>
  <si>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</si>
  <si>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</si>
  <si>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TURBOHSD</t>
  </si>
  <si>
    <t>Truck Loading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</si>
  <si>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</si>
  <si>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</si>
  <si>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</si>
  <si>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</si>
  <si>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</si>
  <si>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</si>
  <si>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</si>
  <si>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</si>
  <si>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</si>
  <si>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</si>
  <si>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</si>
  <si>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POWERMS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</si>
  <si>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</si>
  <si>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</si>
  <si>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</si>
  <si>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</si>
  <si>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</si>
  <si>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</si>
  <si>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</si>
  <si>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</si>
  <si>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</si>
  <si>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</si>
  <si>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</si>
  <si>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</si>
  <si>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</si>
  <si>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</si>
  <si>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</si>
  <si>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</si>
  <si>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</si>
  <si>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</si>
  <si>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</si>
  <si>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</si>
  <si>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Both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</si>
  <si>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</si>
  <si>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</si>
  <si>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</si>
  <si>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</si>
  <si>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</si>
  <si>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</si>
  <si>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</si>
  <si>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</si>
  <si>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</si>
  <si>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</si>
  <si>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</si>
  <si>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</si>
  <si>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</si>
  <si>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</si>
  <si>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</si>
  <si>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</si>
  <si>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</si>
  <si>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</si>
  <si>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</si>
  <si>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</si>
  <si>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</si>
  <si>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</si>
  <si>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</si>
  <si>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</si>
  <si>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</si>
  <si>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</si>
  <si>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</si>
  <si>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</si>
  <si>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</si>
  <si>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</si>
  <si>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</si>
  <si>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</si>
  <si>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</si>
  <si>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</si>
  <si>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</si>
  <si>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</si>
  <si>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</si>
  <si>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</si>
  <si>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</si>
  <si>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</si>
  <si>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</si>
  <si>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</si>
  <si>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</si>
  <si>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</si>
  <si>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</si>
  <si>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</si>
  <si>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</si>
  <si>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</si>
  <si>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</si>
  <si>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TWD-01</t>
  </si>
  <si>
    <t>Wagon Loading</t>
  </si>
  <si>
    <t>RECEIPT</t>
  </si>
  <si>
    <t>PUMP.TWD-01.ON</t>
  </si>
  <si>
    <t>PUMP.TWD-01.OFF</t>
  </si>
  <si>
    <t>PUMP.TWD-01.REMOTE_STATUS</t>
  </si>
  <si>
    <t>PUMP.TWD-01.MAINTENANCE_STATUS</t>
  </si>
  <si>
    <t>TWD-02</t>
  </si>
  <si>
    <t>PUMP.TWD-02.ON</t>
  </si>
  <si>
    <t>PUMP.TWD-02.OFF</t>
  </si>
  <si>
    <t>PUMP.TWD-02.REMOTE_STATUS</t>
  </si>
  <si>
    <t>PUMP.TWD-02.MAINTENANCE_STATUS</t>
  </si>
  <si>
    <t>TWD-03</t>
  </si>
  <si>
    <t>PUMP.TWD-03.ON</t>
  </si>
  <si>
    <t>PUMP.TWD-03.OFF</t>
  </si>
  <si>
    <t>PUMP.TWD-03.REMOTE_STATUS</t>
  </si>
  <si>
    <t>PUMP.TWD-03.MAINTENANCE_STATUS</t>
  </si>
  <si>
    <t>TWD-04</t>
  </si>
  <si>
    <t>PUMP.TWD-04.ON</t>
  </si>
  <si>
    <t>PUMP.TWD-04.OFF</t>
  </si>
  <si>
    <t>PUMP.TWD-04.REMOTE_STATUS</t>
  </si>
  <si>
    <t>PUMP.TWD-04.MAINTENANCE_STATUS</t>
  </si>
  <si>
    <t>TWD-05</t>
  </si>
  <si>
    <t>PUMP.TWD-05.ON</t>
  </si>
  <si>
    <t>PUMP.TWD-05.OFF</t>
  </si>
  <si>
    <t>PUMP.TWD-05.REMOTE_STATUS</t>
  </si>
  <si>
    <t>PUMP.TWD-05.MAINTENANCE_STATUS</t>
  </si>
  <si>
    <t>TWD-06</t>
  </si>
  <si>
    <t>PUMP.TWD-06.ON</t>
  </si>
  <si>
    <t>PUMP.TWD-06.OFF</t>
  </si>
  <si>
    <t>PUMP.TWD-06.REMOTE_STATUS</t>
  </si>
  <si>
    <t>PUMP.TWD-06.MAINTENANCE_STATUS</t>
  </si>
  <si>
    <t>TWD-07</t>
  </si>
  <si>
    <t>PUMP.TWD-07.ON</t>
  </si>
  <si>
    <t>PUMP.TWD-07.OFF</t>
  </si>
  <si>
    <t>PUMP.TWD-07.REMOTE_STATUS</t>
  </si>
  <si>
    <t>PUMP.TWD-07.MAINTENANCE_STATUS</t>
  </si>
  <si>
    <t>TWD-08</t>
  </si>
  <si>
    <t>PUMP.TWD-08.ON</t>
  </si>
  <si>
    <t>PUMP.TWD-08.OFF</t>
  </si>
  <si>
    <t>PUMP.TWD-08.REMOTE_STATUS</t>
  </si>
  <si>
    <t>PUMP.TWD-08.MAINTENANCE_STATUS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</si>
  <si>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</si>
  <si>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</si>
  <si>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</si>
  <si>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</si>
  <si>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</si>
  <si>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</si>
  <si>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</si>
  <si>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</si>
  <si>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</si>
  <si>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</si>
  <si>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</si>
  <si>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</si>
  <si>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</si>
  <si>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</si>
  <si>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</si>
  <si>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</si>
  <si>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</si>
  <si>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</si>
  <si>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</si>
  <si>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</si>
  <si>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</si>
  <si>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</si>
  <si>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</si>
  <si>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</si>
  <si>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</si>
  <si>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</si>
  <si>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</si>
  <si>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</si>
  <si>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</si>
  <si>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</si>
  <si>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</si>
  <si>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</si>
  <si>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</si>
  <si>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</si>
  <si>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</si>
  <si>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</si>
  <si>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</si>
  <si>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</si>
  <si>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</si>
  <si>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</si>
  <si>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</si>
  <si>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</si>
  <si>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</si>
  <si>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</si>
  <si>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</si>
  <si>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</si>
  <si>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</si>
  <si>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</si>
  <si>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</si>
  <si>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</si>
  <si>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</si>
  <si>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</si>
  <si>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</si>
  <si>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</si>
  <si>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</si>
  <si>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</si>
  <si>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</si>
  <si>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</si>
  <si>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</si>
  <si>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</si>
  <si>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</si>
  <si>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</si>
  <si>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</si>
  <si>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</si>
  <si>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</si>
  <si>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FIRE HYDRANT</t>
  </si>
  <si>
    <t>PressureTransmitter.FPT-01.MAINTENANCE_STATUS</t>
  </si>
  <si>
    <t>Nearest Point PT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</si>
  <si>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</si>
  <si>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</si>
  <si>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</si>
  <si>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</si>
  <si>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</si>
  <si>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</si>
  <si>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</si>
  <si>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</si>
  <si>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</si>
  <si>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</si>
  <si>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</si>
  <si>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</si>
  <si>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UPS.UPS-301.LOW_BATTERY</t>
  </si>
  <si>
    <t>UPS.UPS-301.LOAD_ON_UPS</t>
  </si>
  <si>
    <t>UPS.UPS-301.MAIN_AC_FAIL</t>
  </si>
  <si>
    <t>UPS-02</t>
  </si>
  <si>
    <t>UPS.UPS-302.LOW_BATTERY</t>
  </si>
  <si>
    <t>UPS.UPS-302.LOAD_ON_UPS</t>
  </si>
  <si>
    <t>UPS.UPS-302.MAIN_AC_FAIL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</si>
  <si>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</si>
  <si>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</si>
  <si>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</si>
  <si>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</si>
  <si>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</si>
  <si>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</si>
  <si>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</si>
  <si>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</si>
  <si>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</si>
  <si>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</si>
  <si>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</si>
  <si>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</si>
  <si>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</si>
  <si>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</si>
  <si>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</si>
  <si>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</si>
  <si>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</si>
  <si>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</si>
  <si>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</si>
  <si>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</si>
  <si>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</si>
  <si>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</si>
  <si>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</si>
  <si>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</si>
  <si>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</si>
  <si>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</si>
  <si>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</si>
  <si>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</si>
  <si>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</si>
  <si>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</si>
  <si>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</si>
  <si>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</si>
  <si>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</si>
  <si>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</si>
  <si>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</si>
  <si>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</si>
  <si>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OPEN-HCD-101</t>
  </si>
  <si>
    <t>OPD TK24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</si>
  <si>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</si>
  <si>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</si>
  <si>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</si>
  <si>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</si>
  <si>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</si>
  <si>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</si>
  <si>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</si>
  <si>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OPEN-HCD-102</t>
  </si>
  <si>
    <t>OPD TLF PH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</si>
  <si>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</si>
  <si>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</si>
  <si>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</si>
  <si>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</si>
  <si>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</si>
  <si>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</si>
  <si>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OPEN-HCD-103</t>
  </si>
  <si>
    <t>OPD TK5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</si>
  <si>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</si>
  <si>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</si>
  <si>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</si>
  <si>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</si>
  <si>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</si>
  <si>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</si>
  <si>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OPEN-HCD-104</t>
  </si>
  <si>
    <t>FIXED TWD PH NEAR TK15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</si>
  <si>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</si>
  <si>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</si>
  <si>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</si>
  <si>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</si>
  <si>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</si>
  <si>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</si>
  <si>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OPEN-HCD-105</t>
  </si>
  <si>
    <t>OPD TWD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</si>
  <si>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</si>
  <si>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</si>
  <si>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</si>
  <si>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</si>
  <si>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</si>
  <si>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</si>
  <si>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POINT-HCD-101</t>
  </si>
  <si>
    <t>PTD TK24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</si>
  <si>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</si>
  <si>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</si>
  <si>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</si>
  <si>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</si>
  <si>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</si>
  <si>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</si>
  <si>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POINT-HCD-102</t>
  </si>
  <si>
    <t>PTD TK05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</si>
  <si>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</si>
  <si>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</si>
  <si>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</si>
  <si>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</si>
  <si>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</si>
  <si>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</si>
  <si>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POINT-HCD-103</t>
  </si>
  <si>
    <t>TLF PH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</si>
  <si>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</si>
  <si>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</si>
  <si>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</si>
  <si>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</si>
  <si>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</si>
  <si>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</si>
  <si>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POINT-HCD-104</t>
  </si>
  <si>
    <t>OPD TLF PH NEAR TK4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</si>
  <si>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</si>
  <si>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</si>
  <si>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</si>
  <si>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</si>
  <si>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</si>
  <si>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</si>
  <si>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POINT-HCD-105</t>
  </si>
  <si>
    <t>OPD TK15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</si>
  <si>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</si>
  <si>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</si>
  <si>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</si>
  <si>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</si>
  <si>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</si>
  <si>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</si>
  <si>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FIXED-HCD-TK01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</si>
  <si>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</si>
  <si>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</si>
  <si>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</si>
  <si>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</si>
  <si>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</si>
  <si>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</si>
  <si>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FIXED-HCD-TK15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</si>
  <si>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</si>
  <si>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</si>
  <si>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</si>
  <si>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</si>
  <si>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</si>
  <si>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</si>
  <si>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</si>
  <si>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</si>
  <si>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</si>
  <si>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</si>
  <si>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</si>
  <si>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</si>
  <si>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</si>
  <si>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</si>
  <si>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</si>
  <si>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</si>
  <si>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</si>
  <si>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</si>
  <si>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</si>
  <si>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</si>
  <si>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</si>
  <si>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</si>
  <si>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</si>
  <si>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</si>
  <si>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</si>
  <si>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</si>
  <si>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</si>
  <si>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</si>
  <si>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</si>
  <si>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</si>
  <si>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</si>
  <si>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</si>
  <si>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</si>
  <si>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</si>
  <si>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</si>
  <si>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</si>
  <si>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</si>
  <si>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</si>
  <si>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1</t>
  </si>
  <si>
    <t>HOOTER_FIELD_1</t>
  </si>
  <si>
    <t>PLC.SFTPLC.HOOTER_FIELD_1</t>
  </si>
  <si>
    <t>HOOTER 2</t>
  </si>
  <si>
    <t>HOOTER_FIELD_2</t>
  </si>
  <si>
    <t>PLC.SFTPLC.HOOTER_FIELD_2</t>
  </si>
  <si>
    <t>HOOTER 3</t>
  </si>
  <si>
    <t>HOOTER_FIELD_3</t>
  </si>
  <si>
    <t>PLC.SFTPLC.HOOTER_FIELD_3</t>
  </si>
  <si>
    <t>HOOTER 4</t>
  </si>
  <si>
    <t>HOOTER_FIELD_4</t>
  </si>
  <si>
    <t>PLC.SFTPLC.HOOTER_FIELD_4</t>
  </si>
  <si>
    <t>HOOTER 5</t>
  </si>
  <si>
    <t>HOOTER_FOR_HC_CR</t>
  </si>
  <si>
    <t>HOOTER 6</t>
  </si>
  <si>
    <t>HOOTER_FOR_RIMSEAL_CR</t>
  </si>
  <si>
    <t>PLC.SFTPLC.HOOTER_FOR_RIMSEAL_CR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</si>
  <si>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</si>
  <si>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</si>
  <si>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</si>
  <si>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</si>
  <si>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</si>
  <si>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</si>
  <si>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</si>
  <si>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</si>
  <si>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</si>
  <si>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</si>
  <si>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</si>
  <si>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</si>
  <si>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</si>
  <si>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</si>
  <si>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</si>
  <si>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</si>
  <si>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</si>
  <si>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</si>
  <si>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</si>
  <si>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</si>
  <si>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</si>
  <si>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</si>
  <si>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</si>
  <si>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</si>
  <si>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</si>
  <si>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</si>
  <si>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</si>
  <si>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</si>
  <si>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</si>
  <si>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NEAR TK-14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</si>
  <si>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</si>
  <si>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</si>
  <si>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</si>
  <si>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</si>
  <si>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</si>
  <si>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</si>
  <si>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</si>
  <si>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</si>
  <si>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PLC.SFTPLC.EFFECT_ESD_COMMAND_TO_PPLC</t>
  </si>
  <si>
    <t>PLC.SFTPLC.EFFECT_SIREN_ACTIVATED</t>
  </si>
  <si>
    <t>PLC.SFTPLC.EFFECT_HOOTER_FOR_ESD_CR</t>
  </si>
  <si>
    <t>PLC.SFTPLC.EFFECT_POWER_ESD_ACTI</t>
  </si>
  <si>
    <t>ESD-02</t>
  </si>
  <si>
    <t>ADMIN BUILDING</t>
  </si>
  <si>
    <t>ESD.ESD-02.ESD_STATUS</t>
  </si>
  <si>
    <t>ESD.ESD-02.MAINTENANCE_STATUS</t>
  </si>
  <si>
    <t>ESD-03</t>
  </si>
  <si>
    <t>TLF PUMP HOUSE-1</t>
  </si>
  <si>
    <t>ESD.ESD-03.ESD_STATUS</t>
  </si>
  <si>
    <t>ESD.ESD-03.MAINTENANCE_STATUS</t>
  </si>
  <si>
    <t>ESD-04</t>
  </si>
  <si>
    <t>TLF GANTRY_CABIN</t>
  </si>
  <si>
    <t>ESD.ESD-04.ESD_STATUS</t>
  </si>
  <si>
    <t>ESD.ESD-04.MAINTENANCE_STATUS</t>
  </si>
  <si>
    <t>ESD-05</t>
  </si>
  <si>
    <t>SPARE</t>
  </si>
  <si>
    <t>ESD.ESD-05.ESD_STATUS</t>
  </si>
  <si>
    <t>ESD.ESD-05.MAINTENANCE_STATUS</t>
  </si>
  <si>
    <t>ESD-06</t>
  </si>
  <si>
    <t>TLF PUMP HOUSE-2</t>
  </si>
  <si>
    <t>ESD.ESD-06.ESD_STATUS</t>
  </si>
  <si>
    <t>ESD.ESD-06.MAINTENANCE_STATUS</t>
  </si>
  <si>
    <t>ESD-07</t>
  </si>
  <si>
    <t>NEAR TK-03</t>
  </si>
  <si>
    <t>ESD.ESD-07.ESD_STATUS</t>
  </si>
  <si>
    <t>ESD.ESD-07.MAINTENANCE_STATUS</t>
  </si>
  <si>
    <t>ESD-08</t>
  </si>
  <si>
    <t>NEAR TK-06</t>
  </si>
  <si>
    <t>ESD.ESD-08.ESD_STATUS</t>
  </si>
  <si>
    <t>ESD.ESD-08.MAINTENANCE_STATUS</t>
  </si>
  <si>
    <t>ESD-09</t>
  </si>
  <si>
    <t>NEAR TK-15</t>
  </si>
  <si>
    <t>ESD.ESD-09.ESD_STATUS</t>
  </si>
  <si>
    <t>ESD.ESD-09.MAINTENANCE_STATUS</t>
  </si>
  <si>
    <t>ESD-10</t>
  </si>
  <si>
    <t>WAGON SIDING</t>
  </si>
  <si>
    <t>ESD.ESD-10.ESD_STATUS</t>
  </si>
  <si>
    <t>ESD.ESD-10.MAINTENANCE_STATUS</t>
  </si>
  <si>
    <t>ESD-11</t>
  </si>
  <si>
    <t>TM ROOM</t>
  </si>
  <si>
    <t>ESD.ESD-11.ESD_STATUS</t>
  </si>
  <si>
    <t>ESD.ESD-11.MAINTENANCE_STATUS</t>
  </si>
  <si>
    <t>ESD-12</t>
  </si>
  <si>
    <t>CONTROL ROOM</t>
  </si>
  <si>
    <t>ESD.ESD-12.ESD_STATUS</t>
  </si>
  <si>
    <t>ESD.ESD-12.MAINTENANCE_STATUS</t>
  </si>
  <si>
    <t>ESD-13</t>
  </si>
  <si>
    <t>NEAR TK-23</t>
  </si>
  <si>
    <t>ESD.ESD-13.ESD_STATUS</t>
  </si>
  <si>
    <t>ESD.ESD-13.MAINTENANCE_STATUS</t>
  </si>
  <si>
    <t>ESD-14</t>
  </si>
  <si>
    <t>ESD.ESD-14.ESD_STATUS</t>
  </si>
  <si>
    <t>ESD.ESD-14.MAINTENANCE_STATUS</t>
  </si>
  <si>
    <t>ESD-15</t>
  </si>
  <si>
    <t>WAGON PH</t>
  </si>
  <si>
    <t>ESD.ESD-15.ESD_STATUS</t>
  </si>
  <si>
    <t>ESD.ESD-15.MAINTENANCE_STATUS</t>
  </si>
  <si>
    <t>ESD-16</t>
  </si>
  <si>
    <t>SECURITY GATE</t>
  </si>
  <si>
    <t>ESD.ESD-16.ESD_STATUS</t>
  </si>
  <si>
    <t>ESD.ESD-16.MAINTENANCE_STATUS</t>
  </si>
  <si>
    <t>ESD-CENTRAL</t>
  </si>
  <si>
    <t>CENTRAL ESD</t>
  </si>
  <si>
    <t>ESD.ESD-CENTRAL.ESD_STATUS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</si>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</sst>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FFFFCC"/>
        <bgColor rgb="FFFFFFCC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ill="1" applyFont="1">
      <alignment vertical="top"/>
    </xf>
    <xf borderId="1" fillId="4" fontId="4" numFmtId="0" xfId="0" applyAlignment="1" applyBorder="1" applyFont="1">
      <alignment readingOrder="0" vertical="top"/>
    </xf>
    <xf borderId="1" fillId="4" fontId="4" numFmtId="0" xfId="0" applyBorder="1" applyFont="1"/>
    <xf borderId="0" fillId="0" fontId="2" numFmtId="0" xfId="0" applyFont="1"/>
    <xf borderId="2" fillId="3" fontId="2" numFmtId="0" xfId="0" applyBorder="1" applyFont="1"/>
    <xf borderId="0" fillId="0" fontId="4" numFmtId="0" xfId="0" applyAlignment="1" applyFont="1">
      <alignment vertical="bottom"/>
    </xf>
    <xf borderId="3" fillId="3" fontId="2" numFmtId="0" xfId="0" applyBorder="1" applyFont="1"/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8" numFmtId="0" xfId="0" applyBorder="1" applyFont="1"/>
    <xf borderId="0" fillId="3" fontId="2" numFmtId="0" xfId="0" applyFont="1"/>
    <xf borderId="0" fillId="3" fontId="8" numFmtId="0" xfId="0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6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shrinkToFit="0" vertical="bottom" wrapText="1"/>
    </xf>
    <xf borderId="1" fillId="7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vertical="top"/>
    </xf>
    <xf borderId="5" fillId="6" fontId="4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Alignment="1" applyFont="1">
      <alignment horizontal="left" vertical="center"/>
    </xf>
    <xf borderId="6" fillId="0" fontId="4" numFmtId="0" xfId="0" applyBorder="1" applyFont="1"/>
    <xf borderId="3" fillId="4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40.3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4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6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7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</row>
    <row r="2" ht="15.75" customHeight="1">
      <c r="A2" s="8">
        <v>1412.0</v>
      </c>
      <c r="B2" s="8" t="s">
        <v>48</v>
      </c>
      <c r="C2" s="9" t="str">
        <f t="shared" ref="C2:C21" si="1">CONCATENATE(D2,"_",F2)</f>
        <v>TK-01_BS VI HSD</v>
      </c>
      <c r="D2" s="10" t="s">
        <v>49</v>
      </c>
      <c r="E2" s="10" t="s">
        <v>50</v>
      </c>
      <c r="F2" s="10" t="s">
        <v>51</v>
      </c>
      <c r="G2" s="11" t="s">
        <v>52</v>
      </c>
      <c r="H2" s="8">
        <v>0.0</v>
      </c>
      <c r="I2" s="12" t="s">
        <v>53</v>
      </c>
      <c r="J2" s="9"/>
      <c r="K2" s="13" t="s">
        <v>49</v>
      </c>
      <c r="L2" s="13" t="s">
        <v>54</v>
      </c>
      <c r="M2" s="9"/>
      <c r="N2" s="9"/>
      <c r="O2" s="12" t="s">
        <v>55</v>
      </c>
      <c r="P2" s="14">
        <v>0.0</v>
      </c>
      <c r="Q2" s="13" t="s">
        <v>49</v>
      </c>
      <c r="R2" s="13" t="s">
        <v>54</v>
      </c>
      <c r="S2" s="12" t="s">
        <v>56</v>
      </c>
      <c r="T2" s="14">
        <v>0.0</v>
      </c>
      <c r="U2" s="12" t="s">
        <v>57</v>
      </c>
      <c r="V2" s="14">
        <v>0.0</v>
      </c>
      <c r="W2" s="13" t="s">
        <v>49</v>
      </c>
      <c r="X2" s="13" t="s">
        <v>54</v>
      </c>
      <c r="Y2" s="12" t="s">
        <v>58</v>
      </c>
      <c r="Z2" s="14">
        <v>0.0</v>
      </c>
      <c r="AA2" s="13" t="s">
        <v>59</v>
      </c>
      <c r="AB2" s="13" t="s">
        <v>60</v>
      </c>
      <c r="AC2" s="12" t="s">
        <v>61</v>
      </c>
      <c r="AD2" s="14">
        <v>0.0</v>
      </c>
      <c r="AE2" s="13" t="s">
        <v>59</v>
      </c>
      <c r="AF2" s="13" t="s">
        <v>60</v>
      </c>
      <c r="AG2" s="12" t="s">
        <v>62</v>
      </c>
      <c r="AH2" s="14">
        <v>0.0</v>
      </c>
      <c r="AI2" s="15" t="s">
        <v>59</v>
      </c>
      <c r="AJ2" s="13" t="s">
        <v>60</v>
      </c>
      <c r="AK2" s="12" t="s">
        <v>63</v>
      </c>
      <c r="AL2" s="14">
        <v>0.0</v>
      </c>
      <c r="AM2" s="13" t="s">
        <v>64</v>
      </c>
      <c r="AN2" s="13" t="s">
        <v>65</v>
      </c>
      <c r="AO2" s="12" t="s">
        <v>66</v>
      </c>
      <c r="AP2" s="14">
        <v>0.0</v>
      </c>
      <c r="AQ2" s="13" t="s">
        <v>64</v>
      </c>
      <c r="AR2" s="13" t="s">
        <v>65</v>
      </c>
      <c r="AS2" s="12" t="s">
        <v>67</v>
      </c>
      <c r="AT2" s="14">
        <v>0.0</v>
      </c>
      <c r="AU2" s="13" t="s">
        <v>64</v>
      </c>
      <c r="AV2" s="13" t="s">
        <v>65</v>
      </c>
      <c r="AW2" s="12" t="s">
        <v>68</v>
      </c>
      <c r="AX2" s="14">
        <v>0.0</v>
      </c>
      <c r="AY2" s="16" t="str">
        <f t="shared" ref="AY2:AY21" si="2">MID(AW2,5,8)</f>
        <v>ROSOV-01</v>
      </c>
      <c r="AZ2" s="13" t="s">
        <v>69</v>
      </c>
      <c r="BA2" s="12" t="s">
        <v>70</v>
      </c>
      <c r="BB2" s="14">
        <v>0.0</v>
      </c>
      <c r="BC2" s="16" t="str">
        <f t="shared" ref="BC2:BC21" si="3">MID(BA2,5,8)</f>
        <v>ROSOV-01</v>
      </c>
      <c r="BD2" s="13" t="s">
        <v>71</v>
      </c>
      <c r="BE2" s="9"/>
      <c r="BF2" s="9"/>
      <c r="BG2" s="9"/>
      <c r="BH2" s="17"/>
      <c r="BI2" s="17"/>
      <c r="BJ2" s="17"/>
      <c r="BK2" s="9"/>
      <c r="BL2" s="17"/>
      <c r="BM2" s="18" t="s">
        <v>72</v>
      </c>
      <c r="BN2" s="14">
        <v>0.0</v>
      </c>
      <c r="BO2" s="13" t="s">
        <v>73</v>
      </c>
      <c r="BP2" s="13" t="s">
        <v>74</v>
      </c>
      <c r="BQ2" s="18" t="s">
        <v>75</v>
      </c>
      <c r="BR2" s="19">
        <v>0.0</v>
      </c>
      <c r="BS2" s="13" t="s">
        <v>73</v>
      </c>
      <c r="BT2" s="13" t="s">
        <v>76</v>
      </c>
      <c r="BU2" s="18" t="s">
        <v>77</v>
      </c>
      <c r="BV2" s="19">
        <v>0.0</v>
      </c>
      <c r="BW2" s="13" t="s">
        <v>78</v>
      </c>
      <c r="BX2" s="13" t="s">
        <v>79</v>
      </c>
      <c r="BY2" s="18" t="s">
        <v>80</v>
      </c>
      <c r="BZ2" s="19">
        <v>0.0</v>
      </c>
      <c r="CA2" s="13" t="s">
        <v>78</v>
      </c>
      <c r="CB2" s="13" t="s">
        <v>81</v>
      </c>
      <c r="CC2" s="12" t="s">
        <v>82</v>
      </c>
      <c r="CD2" s="19">
        <v>0.0</v>
      </c>
      <c r="CE2" s="13" t="s">
        <v>83</v>
      </c>
      <c r="CF2" s="13" t="s">
        <v>84</v>
      </c>
      <c r="CG2" s="9"/>
      <c r="CH2" s="17"/>
      <c r="CI2" s="9"/>
      <c r="CJ2" s="9"/>
      <c r="CK2" s="18" t="s">
        <v>85</v>
      </c>
      <c r="CL2" s="19">
        <v>0.0</v>
      </c>
      <c r="CM2" s="16" t="str">
        <f t="shared" ref="CM2:CM21" si="4">MID(CK2,5,6)</f>
        <v>MOV-02</v>
      </c>
      <c r="CN2" s="20" t="s">
        <v>86</v>
      </c>
      <c r="CO2" s="21"/>
      <c r="CP2" s="21"/>
      <c r="CQ2" s="16"/>
      <c r="CR2" s="16"/>
      <c r="CS2" s="18" t="s">
        <v>87</v>
      </c>
      <c r="CT2" s="19">
        <v>0.0</v>
      </c>
      <c r="CU2" s="9" t="str">
        <f t="shared" ref="CU2:CU21" si="5">MID(CS2,5,6)</f>
        <v>MOV-03</v>
      </c>
      <c r="CV2" s="8" t="s">
        <v>88</v>
      </c>
      <c r="CW2" s="5"/>
      <c r="CX2" s="4"/>
      <c r="CY2" s="5"/>
      <c r="CZ2" s="5"/>
      <c r="DA2" s="5"/>
      <c r="DB2" s="4"/>
      <c r="DC2" s="5"/>
      <c r="DD2" s="5"/>
    </row>
    <row r="3" ht="15.75" customHeight="1">
      <c r="A3" s="8">
        <v>1412.0</v>
      </c>
      <c r="B3" s="8" t="s">
        <v>48</v>
      </c>
      <c r="C3" s="9" t="str">
        <f t="shared" si="1"/>
        <v>TK-02_BS VI HSD</v>
      </c>
      <c r="D3" s="22" t="s">
        <v>89</v>
      </c>
      <c r="E3" s="22" t="s">
        <v>50</v>
      </c>
      <c r="F3" s="22" t="s">
        <v>51</v>
      </c>
      <c r="G3" s="11" t="s">
        <v>52</v>
      </c>
      <c r="H3" s="8">
        <v>0.0</v>
      </c>
      <c r="I3" s="12" t="s">
        <v>90</v>
      </c>
      <c r="J3" s="5"/>
      <c r="K3" s="13" t="s">
        <v>89</v>
      </c>
      <c r="L3" s="13" t="s">
        <v>54</v>
      </c>
      <c r="M3" s="5"/>
      <c r="N3" s="5"/>
      <c r="O3" s="12" t="s">
        <v>91</v>
      </c>
      <c r="P3" s="14">
        <v>0.0</v>
      </c>
      <c r="Q3" s="13" t="s">
        <v>89</v>
      </c>
      <c r="R3" s="13" t="s">
        <v>54</v>
      </c>
      <c r="S3" s="12" t="s">
        <v>92</v>
      </c>
      <c r="T3" s="14">
        <v>0.0</v>
      </c>
      <c r="U3" s="12" t="s">
        <v>93</v>
      </c>
      <c r="V3" s="14">
        <v>0.0</v>
      </c>
      <c r="W3" s="13" t="s">
        <v>89</v>
      </c>
      <c r="X3" s="13" t="s">
        <v>54</v>
      </c>
      <c r="Y3" s="12" t="s">
        <v>94</v>
      </c>
      <c r="Z3" s="14">
        <v>0.0</v>
      </c>
      <c r="AA3" s="13" t="s">
        <v>95</v>
      </c>
      <c r="AB3" s="13" t="s">
        <v>60</v>
      </c>
      <c r="AC3" s="12" t="s">
        <v>96</v>
      </c>
      <c r="AD3" s="14">
        <v>0.0</v>
      </c>
      <c r="AE3" s="13" t="s">
        <v>95</v>
      </c>
      <c r="AF3" s="13" t="s">
        <v>60</v>
      </c>
      <c r="AG3" s="12" t="s">
        <v>97</v>
      </c>
      <c r="AH3" s="14">
        <v>0.0</v>
      </c>
      <c r="AI3" s="15" t="s">
        <v>95</v>
      </c>
      <c r="AJ3" s="13" t="s">
        <v>60</v>
      </c>
      <c r="AK3" s="12" t="s">
        <v>98</v>
      </c>
      <c r="AL3" s="14">
        <v>0.0</v>
      </c>
      <c r="AM3" s="13" t="s">
        <v>99</v>
      </c>
      <c r="AN3" s="13" t="s">
        <v>65</v>
      </c>
      <c r="AO3" s="12" t="s">
        <v>100</v>
      </c>
      <c r="AP3" s="14">
        <v>0.0</v>
      </c>
      <c r="AQ3" s="13" t="s">
        <v>99</v>
      </c>
      <c r="AR3" s="13" t="s">
        <v>65</v>
      </c>
      <c r="AS3" s="12" t="s">
        <v>101</v>
      </c>
      <c r="AT3" s="14">
        <v>0.0</v>
      </c>
      <c r="AU3" s="13" t="s">
        <v>99</v>
      </c>
      <c r="AV3" s="13" t="s">
        <v>65</v>
      </c>
      <c r="AW3" s="12" t="s">
        <v>102</v>
      </c>
      <c r="AX3" s="14">
        <v>0.0</v>
      </c>
      <c r="AY3" s="16" t="str">
        <f t="shared" si="2"/>
        <v>ROSOV-04</v>
      </c>
      <c r="AZ3" s="13" t="s">
        <v>69</v>
      </c>
      <c r="BA3" s="12" t="s">
        <v>103</v>
      </c>
      <c r="BB3" s="14">
        <v>0.0</v>
      </c>
      <c r="BC3" s="16" t="str">
        <f t="shared" si="3"/>
        <v>ROSOV-04</v>
      </c>
      <c r="BD3" s="13" t="s">
        <v>71</v>
      </c>
      <c r="BE3" s="5"/>
      <c r="BF3" s="5"/>
      <c r="BG3" s="5"/>
      <c r="BH3" s="5"/>
      <c r="BI3" s="5"/>
      <c r="BJ3" s="5"/>
      <c r="BK3" s="5"/>
      <c r="BL3" s="5"/>
      <c r="BM3" s="18" t="s">
        <v>104</v>
      </c>
      <c r="BN3" s="14">
        <v>0.0</v>
      </c>
      <c r="BO3" s="13" t="s">
        <v>105</v>
      </c>
      <c r="BP3" s="13" t="s">
        <v>74</v>
      </c>
      <c r="BQ3" s="18" t="s">
        <v>106</v>
      </c>
      <c r="BR3" s="19">
        <v>0.0</v>
      </c>
      <c r="BS3" s="13" t="s">
        <v>105</v>
      </c>
      <c r="BT3" s="13" t="s">
        <v>76</v>
      </c>
      <c r="BU3" s="18" t="s">
        <v>107</v>
      </c>
      <c r="BV3" s="19">
        <v>0.0</v>
      </c>
      <c r="BW3" s="13" t="s">
        <v>108</v>
      </c>
      <c r="BX3" s="13" t="s">
        <v>79</v>
      </c>
      <c r="BY3" s="18" t="s">
        <v>109</v>
      </c>
      <c r="BZ3" s="19">
        <v>0.0</v>
      </c>
      <c r="CA3" s="13" t="s">
        <v>108</v>
      </c>
      <c r="CB3" s="13" t="s">
        <v>81</v>
      </c>
      <c r="CC3" s="12" t="s">
        <v>110</v>
      </c>
      <c r="CD3" s="19">
        <v>0.0</v>
      </c>
      <c r="CE3" s="13" t="s">
        <v>111</v>
      </c>
      <c r="CF3" s="13" t="s">
        <v>84</v>
      </c>
      <c r="CG3" s="5"/>
      <c r="CH3" s="5"/>
      <c r="CI3" s="5"/>
      <c r="CJ3" s="5"/>
      <c r="CK3" s="18" t="s">
        <v>112</v>
      </c>
      <c r="CL3" s="19">
        <v>0.0</v>
      </c>
      <c r="CM3" s="16" t="str">
        <f t="shared" si="4"/>
        <v>MOV-05</v>
      </c>
      <c r="CN3" s="23" t="s">
        <v>86</v>
      </c>
      <c r="CO3" s="21"/>
      <c r="CP3" s="21"/>
      <c r="CQ3" s="5"/>
      <c r="CR3" s="5"/>
      <c r="CS3" s="18" t="s">
        <v>113</v>
      </c>
      <c r="CT3" s="19">
        <v>0.0</v>
      </c>
      <c r="CU3" s="9" t="str">
        <f t="shared" si="5"/>
        <v>MOV-06</v>
      </c>
      <c r="CV3" s="23" t="s">
        <v>88</v>
      </c>
      <c r="CW3" s="5"/>
      <c r="CX3" s="5"/>
      <c r="CY3" s="5"/>
      <c r="CZ3" s="5"/>
      <c r="DA3" s="5"/>
      <c r="DB3" s="5"/>
      <c r="DC3" s="5"/>
      <c r="DD3" s="5"/>
    </row>
    <row r="4" ht="15.75" customHeight="1">
      <c r="A4" s="8">
        <v>1412.0</v>
      </c>
      <c r="B4" s="8" t="s">
        <v>48</v>
      </c>
      <c r="C4" s="9" t="str">
        <f t="shared" si="1"/>
        <v>TK-03_BS VI HSD</v>
      </c>
      <c r="D4" s="22" t="s">
        <v>114</v>
      </c>
      <c r="E4" s="22" t="s">
        <v>50</v>
      </c>
      <c r="F4" s="22" t="s">
        <v>51</v>
      </c>
      <c r="G4" s="11" t="s">
        <v>52</v>
      </c>
      <c r="H4" s="8">
        <v>0.0</v>
      </c>
      <c r="I4" s="12" t="s">
        <v>115</v>
      </c>
      <c r="J4" s="5"/>
      <c r="K4" s="13" t="s">
        <v>114</v>
      </c>
      <c r="L4" s="13" t="s">
        <v>54</v>
      </c>
      <c r="M4" s="5"/>
      <c r="N4" s="5"/>
      <c r="O4" s="12" t="s">
        <v>116</v>
      </c>
      <c r="P4" s="14">
        <v>0.0</v>
      </c>
      <c r="Q4" s="13" t="s">
        <v>114</v>
      </c>
      <c r="R4" s="13" t="s">
        <v>54</v>
      </c>
      <c r="S4" s="12" t="s">
        <v>117</v>
      </c>
      <c r="T4" s="14">
        <v>0.0</v>
      </c>
      <c r="U4" s="12" t="s">
        <v>118</v>
      </c>
      <c r="V4" s="14">
        <v>0.0</v>
      </c>
      <c r="W4" s="13" t="s">
        <v>114</v>
      </c>
      <c r="X4" s="13" t="s">
        <v>54</v>
      </c>
      <c r="Y4" s="12" t="s">
        <v>119</v>
      </c>
      <c r="Z4" s="14">
        <v>0.0</v>
      </c>
      <c r="AA4" s="13" t="s">
        <v>120</v>
      </c>
      <c r="AB4" s="13" t="s">
        <v>60</v>
      </c>
      <c r="AC4" s="12" t="s">
        <v>121</v>
      </c>
      <c r="AD4" s="14">
        <v>0.0</v>
      </c>
      <c r="AE4" s="13" t="s">
        <v>120</v>
      </c>
      <c r="AF4" s="13" t="s">
        <v>60</v>
      </c>
      <c r="AG4" s="12" t="s">
        <v>122</v>
      </c>
      <c r="AH4" s="14">
        <v>0.0</v>
      </c>
      <c r="AI4" s="15" t="s">
        <v>120</v>
      </c>
      <c r="AJ4" s="13" t="s">
        <v>60</v>
      </c>
      <c r="AK4" s="12" t="s">
        <v>123</v>
      </c>
      <c r="AL4" s="14">
        <v>0.0</v>
      </c>
      <c r="AM4" s="13" t="s">
        <v>124</v>
      </c>
      <c r="AN4" s="13" t="s">
        <v>65</v>
      </c>
      <c r="AO4" s="12" t="s">
        <v>125</v>
      </c>
      <c r="AP4" s="14">
        <v>0.0</v>
      </c>
      <c r="AQ4" s="13" t="s">
        <v>124</v>
      </c>
      <c r="AR4" s="13" t="s">
        <v>65</v>
      </c>
      <c r="AS4" s="12" t="s">
        <v>126</v>
      </c>
      <c r="AT4" s="14">
        <v>0.0</v>
      </c>
      <c r="AU4" s="13" t="s">
        <v>124</v>
      </c>
      <c r="AV4" s="13" t="s">
        <v>65</v>
      </c>
      <c r="AW4" s="12" t="s">
        <v>127</v>
      </c>
      <c r="AX4" s="14">
        <v>0.0</v>
      </c>
      <c r="AY4" s="16" t="str">
        <f t="shared" si="2"/>
        <v>ROSOV-07</v>
      </c>
      <c r="AZ4" s="13" t="s">
        <v>69</v>
      </c>
      <c r="BA4" s="12" t="s">
        <v>128</v>
      </c>
      <c r="BB4" s="14">
        <v>0.0</v>
      </c>
      <c r="BC4" s="16" t="str">
        <f t="shared" si="3"/>
        <v>ROSOV-07</v>
      </c>
      <c r="BD4" s="13" t="s">
        <v>71</v>
      </c>
      <c r="BE4" s="5"/>
      <c r="BF4" s="5"/>
      <c r="BG4" s="5"/>
      <c r="BH4" s="5"/>
      <c r="BI4" s="5"/>
      <c r="BJ4" s="5"/>
      <c r="BK4" s="5"/>
      <c r="BL4" s="5"/>
      <c r="BM4" s="18" t="s">
        <v>129</v>
      </c>
      <c r="BN4" s="14">
        <v>0.0</v>
      </c>
      <c r="BO4" s="13" t="s">
        <v>130</v>
      </c>
      <c r="BP4" s="13" t="s">
        <v>74</v>
      </c>
      <c r="BQ4" s="18" t="s">
        <v>131</v>
      </c>
      <c r="BR4" s="19">
        <v>0.0</v>
      </c>
      <c r="BS4" s="13" t="s">
        <v>130</v>
      </c>
      <c r="BT4" s="13" t="s">
        <v>76</v>
      </c>
      <c r="BU4" s="18" t="s">
        <v>132</v>
      </c>
      <c r="BV4" s="19">
        <v>0.0</v>
      </c>
      <c r="BW4" s="13" t="s">
        <v>133</v>
      </c>
      <c r="BX4" s="13" t="s">
        <v>79</v>
      </c>
      <c r="BY4" s="18" t="s">
        <v>134</v>
      </c>
      <c r="BZ4" s="19">
        <v>0.0</v>
      </c>
      <c r="CA4" s="13" t="s">
        <v>133</v>
      </c>
      <c r="CB4" s="13" t="s">
        <v>81</v>
      </c>
      <c r="CC4" s="12" t="s">
        <v>135</v>
      </c>
      <c r="CD4" s="19">
        <v>0.0</v>
      </c>
      <c r="CE4" s="13" t="s">
        <v>136</v>
      </c>
      <c r="CF4" s="13" t="s">
        <v>84</v>
      </c>
      <c r="CG4" s="5"/>
      <c r="CH4" s="5"/>
      <c r="CI4" s="5"/>
      <c r="CJ4" s="5"/>
      <c r="CK4" s="18" t="s">
        <v>137</v>
      </c>
      <c r="CL4" s="19">
        <v>0.0</v>
      </c>
      <c r="CM4" s="16" t="str">
        <f t="shared" si="4"/>
        <v>MOV-08</v>
      </c>
      <c r="CN4" s="23" t="s">
        <v>86</v>
      </c>
      <c r="CO4" s="21"/>
      <c r="CP4" s="21"/>
      <c r="CQ4" s="5"/>
      <c r="CR4" s="5"/>
      <c r="CS4" s="18" t="s">
        <v>138</v>
      </c>
      <c r="CT4" s="19">
        <v>0.0</v>
      </c>
      <c r="CU4" s="9" t="str">
        <f t="shared" si="5"/>
        <v>MOV-09</v>
      </c>
      <c r="CV4" s="23" t="s">
        <v>88</v>
      </c>
      <c r="CW4" s="5"/>
      <c r="CX4" s="5"/>
      <c r="CY4" s="5"/>
      <c r="CZ4" s="5"/>
      <c r="DA4" s="5"/>
      <c r="DB4" s="5"/>
      <c r="DC4" s="5"/>
      <c r="DD4" s="5"/>
    </row>
    <row r="5" ht="15.75" customHeight="1">
      <c r="A5" s="8">
        <v>1412.0</v>
      </c>
      <c r="B5" s="8" t="s">
        <v>48</v>
      </c>
      <c r="C5" s="9" t="str">
        <f t="shared" si="1"/>
        <v>TK-04_ETHANOL</v>
      </c>
      <c r="D5" s="22" t="s">
        <v>139</v>
      </c>
      <c r="E5" s="22" t="s">
        <v>50</v>
      </c>
      <c r="F5" s="22" t="s">
        <v>140</v>
      </c>
      <c r="G5" s="11" t="s">
        <v>52</v>
      </c>
      <c r="H5" s="8">
        <v>0.0</v>
      </c>
      <c r="I5" s="12" t="s">
        <v>141</v>
      </c>
      <c r="J5" s="5"/>
      <c r="K5" s="13" t="s">
        <v>139</v>
      </c>
      <c r="L5" s="13" t="s">
        <v>54</v>
      </c>
      <c r="M5" s="5"/>
      <c r="N5" s="5"/>
      <c r="O5" s="12" t="s">
        <v>142</v>
      </c>
      <c r="P5" s="14">
        <v>0.0</v>
      </c>
      <c r="Q5" s="13" t="s">
        <v>139</v>
      </c>
      <c r="R5" s="13" t="s">
        <v>54</v>
      </c>
      <c r="S5" s="12" t="s">
        <v>143</v>
      </c>
      <c r="T5" s="14">
        <v>0.0</v>
      </c>
      <c r="U5" s="12" t="s">
        <v>144</v>
      </c>
      <c r="V5" s="14">
        <v>0.0</v>
      </c>
      <c r="W5" s="13" t="s">
        <v>139</v>
      </c>
      <c r="X5" s="13" t="s">
        <v>54</v>
      </c>
      <c r="Y5" s="12" t="s">
        <v>145</v>
      </c>
      <c r="Z5" s="14">
        <v>0.0</v>
      </c>
      <c r="AA5" s="13" t="s">
        <v>146</v>
      </c>
      <c r="AB5" s="13" t="s">
        <v>60</v>
      </c>
      <c r="AC5" s="12" t="s">
        <v>147</v>
      </c>
      <c r="AD5" s="14">
        <v>0.0</v>
      </c>
      <c r="AE5" s="13" t="s">
        <v>146</v>
      </c>
      <c r="AF5" s="13" t="s">
        <v>60</v>
      </c>
      <c r="AG5" s="12" t="s">
        <v>148</v>
      </c>
      <c r="AH5" s="14">
        <v>0.0</v>
      </c>
      <c r="AI5" s="15" t="s">
        <v>146</v>
      </c>
      <c r="AJ5" s="13" t="s">
        <v>60</v>
      </c>
      <c r="AK5" s="12" t="s">
        <v>149</v>
      </c>
      <c r="AL5" s="14">
        <v>0.0</v>
      </c>
      <c r="AM5" s="13" t="s">
        <v>150</v>
      </c>
      <c r="AN5" s="13" t="s">
        <v>65</v>
      </c>
      <c r="AO5" s="12" t="s">
        <v>151</v>
      </c>
      <c r="AP5" s="14">
        <v>0.0</v>
      </c>
      <c r="AQ5" s="13" t="s">
        <v>150</v>
      </c>
      <c r="AR5" s="13" t="s">
        <v>65</v>
      </c>
      <c r="AS5" s="12" t="s">
        <v>152</v>
      </c>
      <c r="AT5" s="14">
        <v>0.0</v>
      </c>
      <c r="AU5" s="13" t="s">
        <v>150</v>
      </c>
      <c r="AV5" s="13" t="s">
        <v>65</v>
      </c>
      <c r="AW5" s="12" t="s">
        <v>153</v>
      </c>
      <c r="AX5" s="14">
        <v>0.0</v>
      </c>
      <c r="AY5" s="16" t="str">
        <f t="shared" si="2"/>
        <v>ROSOV-10</v>
      </c>
      <c r="AZ5" s="13" t="s">
        <v>69</v>
      </c>
      <c r="BA5" s="12" t="s">
        <v>154</v>
      </c>
      <c r="BB5" s="14">
        <v>0.0</v>
      </c>
      <c r="BC5" s="16" t="str">
        <f t="shared" si="3"/>
        <v>ROSOV-10</v>
      </c>
      <c r="BD5" s="13" t="s">
        <v>71</v>
      </c>
      <c r="BE5" s="5"/>
      <c r="BF5" s="5"/>
      <c r="BG5" s="5"/>
      <c r="BH5" s="5"/>
      <c r="BI5" s="5"/>
      <c r="BJ5" s="5"/>
      <c r="BK5" s="5"/>
      <c r="BL5" s="5"/>
      <c r="BM5" s="18" t="s">
        <v>155</v>
      </c>
      <c r="BN5" s="14">
        <v>0.0</v>
      </c>
      <c r="BO5" s="13" t="s">
        <v>156</v>
      </c>
      <c r="BP5" s="13" t="s">
        <v>74</v>
      </c>
      <c r="BQ5" s="18" t="s">
        <v>157</v>
      </c>
      <c r="BR5" s="19">
        <v>0.0</v>
      </c>
      <c r="BS5" s="13" t="s">
        <v>156</v>
      </c>
      <c r="BT5" s="13" t="s">
        <v>76</v>
      </c>
      <c r="BU5" s="18" t="s">
        <v>158</v>
      </c>
      <c r="BV5" s="19">
        <v>0.0</v>
      </c>
      <c r="BW5" s="13" t="s">
        <v>159</v>
      </c>
      <c r="BX5" s="13" t="s">
        <v>79</v>
      </c>
      <c r="BY5" s="18" t="s">
        <v>160</v>
      </c>
      <c r="BZ5" s="19">
        <v>0.0</v>
      </c>
      <c r="CA5" s="13" t="s">
        <v>159</v>
      </c>
      <c r="CB5" s="13" t="s">
        <v>81</v>
      </c>
      <c r="CC5" s="12" t="s">
        <v>161</v>
      </c>
      <c r="CD5" s="19">
        <v>0.0</v>
      </c>
      <c r="CE5" s="13" t="s">
        <v>162</v>
      </c>
      <c r="CF5" s="13" t="s">
        <v>84</v>
      </c>
      <c r="CG5" s="5"/>
      <c r="CH5" s="5"/>
      <c r="CI5" s="5"/>
      <c r="CJ5" s="5"/>
      <c r="CK5" s="18" t="s">
        <v>163</v>
      </c>
      <c r="CL5" s="19">
        <v>0.0</v>
      </c>
      <c r="CM5" s="16" t="str">
        <f t="shared" si="4"/>
        <v>MOV-11</v>
      </c>
      <c r="CN5" s="23" t="s">
        <v>86</v>
      </c>
      <c r="CO5" s="21"/>
      <c r="CP5" s="21"/>
      <c r="CQ5" s="5"/>
      <c r="CR5" s="5"/>
      <c r="CS5" s="18" t="s">
        <v>164</v>
      </c>
      <c r="CT5" s="19">
        <v>0.0</v>
      </c>
      <c r="CU5" s="9" t="str">
        <f t="shared" si="5"/>
        <v>MOV-12</v>
      </c>
      <c r="CV5" s="23" t="s">
        <v>88</v>
      </c>
      <c r="CW5" s="5"/>
      <c r="CX5" s="5"/>
      <c r="CY5" s="5"/>
      <c r="CZ5" s="5"/>
      <c r="DA5" s="5"/>
      <c r="DB5" s="5"/>
      <c r="DC5" s="5"/>
      <c r="DD5" s="5"/>
    </row>
    <row r="6" ht="15.75" customHeight="1">
      <c r="A6" s="8">
        <v>1412.0</v>
      </c>
      <c r="B6" s="8" t="s">
        <v>48</v>
      </c>
      <c r="C6" s="9" t="str">
        <f t="shared" si="1"/>
        <v>TK-05_ETHANOL</v>
      </c>
      <c r="D6" s="22" t="s">
        <v>165</v>
      </c>
      <c r="E6" s="22" t="s">
        <v>50</v>
      </c>
      <c r="F6" s="22" t="s">
        <v>140</v>
      </c>
      <c r="G6" s="11" t="s">
        <v>52</v>
      </c>
      <c r="H6" s="8">
        <v>0.0</v>
      </c>
      <c r="I6" s="12" t="s">
        <v>166</v>
      </c>
      <c r="J6" s="5"/>
      <c r="K6" s="13" t="s">
        <v>165</v>
      </c>
      <c r="L6" s="13" t="s">
        <v>54</v>
      </c>
      <c r="M6" s="5"/>
      <c r="N6" s="5"/>
      <c r="O6" s="12" t="s">
        <v>167</v>
      </c>
      <c r="P6" s="14">
        <v>0.0</v>
      </c>
      <c r="Q6" s="13" t="s">
        <v>165</v>
      </c>
      <c r="R6" s="13" t="s">
        <v>54</v>
      </c>
      <c r="S6" s="12" t="s">
        <v>168</v>
      </c>
      <c r="T6" s="14">
        <v>0.0</v>
      </c>
      <c r="U6" s="12" t="s">
        <v>169</v>
      </c>
      <c r="V6" s="14">
        <v>0.0</v>
      </c>
      <c r="W6" s="13" t="s">
        <v>165</v>
      </c>
      <c r="X6" s="13" t="s">
        <v>54</v>
      </c>
      <c r="Y6" s="12" t="s">
        <v>170</v>
      </c>
      <c r="Z6" s="14">
        <v>0.0</v>
      </c>
      <c r="AA6" s="13" t="s">
        <v>171</v>
      </c>
      <c r="AB6" s="13" t="s">
        <v>60</v>
      </c>
      <c r="AC6" s="12" t="s">
        <v>172</v>
      </c>
      <c r="AD6" s="14">
        <v>0.0</v>
      </c>
      <c r="AE6" s="13" t="s">
        <v>171</v>
      </c>
      <c r="AF6" s="13" t="s">
        <v>60</v>
      </c>
      <c r="AG6" s="12" t="s">
        <v>173</v>
      </c>
      <c r="AH6" s="14">
        <v>0.0</v>
      </c>
      <c r="AI6" s="15" t="s">
        <v>171</v>
      </c>
      <c r="AJ6" s="13" t="s">
        <v>60</v>
      </c>
      <c r="AK6" s="12" t="s">
        <v>174</v>
      </c>
      <c r="AL6" s="14">
        <v>0.0</v>
      </c>
      <c r="AM6" s="13" t="s">
        <v>175</v>
      </c>
      <c r="AN6" s="13" t="s">
        <v>65</v>
      </c>
      <c r="AO6" s="12" t="s">
        <v>176</v>
      </c>
      <c r="AP6" s="14">
        <v>0.0</v>
      </c>
      <c r="AQ6" s="13" t="s">
        <v>175</v>
      </c>
      <c r="AR6" s="13" t="s">
        <v>65</v>
      </c>
      <c r="AS6" s="12" t="s">
        <v>177</v>
      </c>
      <c r="AT6" s="14">
        <v>0.0</v>
      </c>
      <c r="AU6" s="13" t="s">
        <v>175</v>
      </c>
      <c r="AV6" s="13" t="s">
        <v>65</v>
      </c>
      <c r="AW6" s="12" t="s">
        <v>178</v>
      </c>
      <c r="AX6" s="14">
        <v>0.0</v>
      </c>
      <c r="AY6" s="16" t="str">
        <f t="shared" si="2"/>
        <v>ROSOV-13</v>
      </c>
      <c r="AZ6" s="13" t="s">
        <v>69</v>
      </c>
      <c r="BA6" s="12" t="s">
        <v>179</v>
      </c>
      <c r="BB6" s="14">
        <v>0.0</v>
      </c>
      <c r="BC6" s="16" t="str">
        <f t="shared" si="3"/>
        <v>ROSOV-13</v>
      </c>
      <c r="BD6" s="13" t="s">
        <v>71</v>
      </c>
      <c r="BE6" s="5"/>
      <c r="BF6" s="5"/>
      <c r="BG6" s="5"/>
      <c r="BH6" s="5"/>
      <c r="BI6" s="5"/>
      <c r="BJ6" s="5"/>
      <c r="BK6" s="5"/>
      <c r="BL6" s="5"/>
      <c r="BM6" s="18" t="s">
        <v>180</v>
      </c>
      <c r="BN6" s="14">
        <v>0.0</v>
      </c>
      <c r="BO6" s="13" t="s">
        <v>181</v>
      </c>
      <c r="BP6" s="13" t="s">
        <v>74</v>
      </c>
      <c r="BQ6" s="18" t="s">
        <v>182</v>
      </c>
      <c r="BR6" s="19">
        <v>0.0</v>
      </c>
      <c r="BS6" s="13" t="s">
        <v>181</v>
      </c>
      <c r="BT6" s="13" t="s">
        <v>76</v>
      </c>
      <c r="BU6" s="18" t="s">
        <v>183</v>
      </c>
      <c r="BV6" s="19">
        <v>0.0</v>
      </c>
      <c r="BW6" s="13" t="s">
        <v>184</v>
      </c>
      <c r="BX6" s="13" t="s">
        <v>79</v>
      </c>
      <c r="BY6" s="18" t="s">
        <v>185</v>
      </c>
      <c r="BZ6" s="19">
        <v>0.0</v>
      </c>
      <c r="CA6" s="13" t="s">
        <v>184</v>
      </c>
      <c r="CB6" s="13" t="s">
        <v>81</v>
      </c>
      <c r="CC6" s="12" t="s">
        <v>186</v>
      </c>
      <c r="CD6" s="19">
        <v>0.0</v>
      </c>
      <c r="CE6" s="13" t="s">
        <v>187</v>
      </c>
      <c r="CF6" s="13" t="s">
        <v>84</v>
      </c>
      <c r="CG6" s="5"/>
      <c r="CH6" s="5"/>
      <c r="CI6" s="5"/>
      <c r="CJ6" s="5"/>
      <c r="CK6" s="18" t="s">
        <v>188</v>
      </c>
      <c r="CL6" s="19">
        <v>0.0</v>
      </c>
      <c r="CM6" s="16" t="str">
        <f t="shared" si="4"/>
        <v>MOV-14</v>
      </c>
      <c r="CN6" s="23" t="s">
        <v>86</v>
      </c>
      <c r="CO6" s="21"/>
      <c r="CP6" s="21"/>
      <c r="CQ6" s="5"/>
      <c r="CR6" s="5"/>
      <c r="CS6" s="18" t="s">
        <v>189</v>
      </c>
      <c r="CT6" s="19">
        <v>0.0</v>
      </c>
      <c r="CU6" s="9" t="str">
        <f t="shared" si="5"/>
        <v>MOV-15</v>
      </c>
      <c r="CV6" s="23" t="s">
        <v>88</v>
      </c>
      <c r="CW6" s="5"/>
      <c r="CX6" s="5"/>
      <c r="CY6" s="5"/>
      <c r="CZ6" s="5"/>
      <c r="DA6" s="5"/>
      <c r="DB6" s="5"/>
      <c r="DC6" s="5"/>
      <c r="DD6" s="5"/>
    </row>
    <row r="7" ht="15.75" customHeight="1">
      <c r="A7" s="8">
        <v>1412.0</v>
      </c>
      <c r="B7" s="8" t="s">
        <v>48</v>
      </c>
      <c r="C7" s="9" t="str">
        <f t="shared" si="1"/>
        <v>TK-06_ETHANOL</v>
      </c>
      <c r="D7" s="22" t="s">
        <v>190</v>
      </c>
      <c r="E7" s="22" t="s">
        <v>50</v>
      </c>
      <c r="F7" s="22" t="s">
        <v>140</v>
      </c>
      <c r="G7" s="11" t="s">
        <v>52</v>
      </c>
      <c r="H7" s="8">
        <v>0.0</v>
      </c>
      <c r="I7" s="12" t="s">
        <v>191</v>
      </c>
      <c r="J7" s="5"/>
      <c r="K7" s="13" t="s">
        <v>190</v>
      </c>
      <c r="L7" s="13" t="s">
        <v>54</v>
      </c>
      <c r="M7" s="5"/>
      <c r="N7" s="5"/>
      <c r="O7" s="12" t="s">
        <v>192</v>
      </c>
      <c r="P7" s="14">
        <v>0.0</v>
      </c>
      <c r="Q7" s="13" t="s">
        <v>190</v>
      </c>
      <c r="R7" s="13" t="s">
        <v>54</v>
      </c>
      <c r="S7" s="12" t="s">
        <v>193</v>
      </c>
      <c r="T7" s="14">
        <v>0.0</v>
      </c>
      <c r="U7" s="12" t="s">
        <v>194</v>
      </c>
      <c r="V7" s="14">
        <v>0.0</v>
      </c>
      <c r="W7" s="13" t="s">
        <v>190</v>
      </c>
      <c r="X7" s="13" t="s">
        <v>54</v>
      </c>
      <c r="Y7" s="12" t="s">
        <v>195</v>
      </c>
      <c r="Z7" s="14">
        <v>0.0</v>
      </c>
      <c r="AA7" s="13" t="s">
        <v>196</v>
      </c>
      <c r="AB7" s="13" t="s">
        <v>60</v>
      </c>
      <c r="AC7" s="12" t="s">
        <v>197</v>
      </c>
      <c r="AD7" s="14">
        <v>0.0</v>
      </c>
      <c r="AE7" s="13" t="s">
        <v>196</v>
      </c>
      <c r="AF7" s="13" t="s">
        <v>60</v>
      </c>
      <c r="AG7" s="12" t="s">
        <v>198</v>
      </c>
      <c r="AH7" s="14">
        <v>0.0</v>
      </c>
      <c r="AI7" s="15" t="s">
        <v>196</v>
      </c>
      <c r="AJ7" s="13" t="s">
        <v>60</v>
      </c>
      <c r="AK7" s="12" t="s">
        <v>199</v>
      </c>
      <c r="AL7" s="14">
        <v>0.0</v>
      </c>
      <c r="AM7" s="13" t="s">
        <v>200</v>
      </c>
      <c r="AN7" s="13" t="s">
        <v>65</v>
      </c>
      <c r="AO7" s="12" t="s">
        <v>201</v>
      </c>
      <c r="AP7" s="14">
        <v>0.0</v>
      </c>
      <c r="AQ7" s="13" t="s">
        <v>200</v>
      </c>
      <c r="AR7" s="13" t="s">
        <v>65</v>
      </c>
      <c r="AS7" s="12" t="s">
        <v>202</v>
      </c>
      <c r="AT7" s="14">
        <v>0.0</v>
      </c>
      <c r="AU7" s="13" t="s">
        <v>200</v>
      </c>
      <c r="AV7" s="13" t="s">
        <v>65</v>
      </c>
      <c r="AW7" s="12" t="s">
        <v>203</v>
      </c>
      <c r="AX7" s="14">
        <v>0.0</v>
      </c>
      <c r="AY7" s="16" t="str">
        <f t="shared" si="2"/>
        <v>ROSOV-16</v>
      </c>
      <c r="AZ7" s="13" t="s">
        <v>69</v>
      </c>
      <c r="BA7" s="12" t="s">
        <v>204</v>
      </c>
      <c r="BB7" s="14">
        <v>0.0</v>
      </c>
      <c r="BC7" s="16" t="str">
        <f t="shared" si="3"/>
        <v>ROSOV-16</v>
      </c>
      <c r="BD7" s="13" t="s">
        <v>71</v>
      </c>
      <c r="BE7" s="5"/>
      <c r="BF7" s="5"/>
      <c r="BG7" s="5"/>
      <c r="BH7" s="5"/>
      <c r="BI7" s="5"/>
      <c r="BJ7" s="5"/>
      <c r="BK7" s="5"/>
      <c r="BL7" s="5"/>
      <c r="BM7" s="18" t="s">
        <v>205</v>
      </c>
      <c r="BN7" s="14">
        <v>0.0</v>
      </c>
      <c r="BO7" s="13" t="s">
        <v>206</v>
      </c>
      <c r="BP7" s="13" t="s">
        <v>74</v>
      </c>
      <c r="BQ7" s="18" t="s">
        <v>207</v>
      </c>
      <c r="BR7" s="19">
        <v>0.0</v>
      </c>
      <c r="BS7" s="13" t="s">
        <v>206</v>
      </c>
      <c r="BT7" s="13" t="s">
        <v>76</v>
      </c>
      <c r="BU7" s="18" t="s">
        <v>208</v>
      </c>
      <c r="BV7" s="19">
        <v>0.0</v>
      </c>
      <c r="BW7" s="13" t="s">
        <v>209</v>
      </c>
      <c r="BX7" s="13" t="s">
        <v>79</v>
      </c>
      <c r="BY7" s="18" t="s">
        <v>210</v>
      </c>
      <c r="BZ7" s="19">
        <v>0.0</v>
      </c>
      <c r="CA7" s="13" t="s">
        <v>209</v>
      </c>
      <c r="CB7" s="13" t="s">
        <v>81</v>
      </c>
      <c r="CC7" s="12" t="s">
        <v>211</v>
      </c>
      <c r="CD7" s="19">
        <v>0.0</v>
      </c>
      <c r="CE7" s="13" t="s">
        <v>212</v>
      </c>
      <c r="CF7" s="13" t="s">
        <v>84</v>
      </c>
      <c r="CG7" s="5"/>
      <c r="CH7" s="5"/>
      <c r="CI7" s="5"/>
      <c r="CJ7" s="5"/>
      <c r="CK7" s="18" t="s">
        <v>213</v>
      </c>
      <c r="CL7" s="19">
        <v>0.0</v>
      </c>
      <c r="CM7" s="16" t="str">
        <f t="shared" si="4"/>
        <v>MOV-17</v>
      </c>
      <c r="CN7" s="23" t="s">
        <v>86</v>
      </c>
      <c r="CO7" s="21"/>
      <c r="CP7" s="21"/>
      <c r="CQ7" s="5"/>
      <c r="CR7" s="5"/>
      <c r="CS7" s="18" t="s">
        <v>214</v>
      </c>
      <c r="CT7" s="19">
        <v>0.0</v>
      </c>
      <c r="CU7" s="9" t="str">
        <f t="shared" si="5"/>
        <v>MOV-18</v>
      </c>
      <c r="CV7" s="23" t="s">
        <v>88</v>
      </c>
      <c r="CW7" s="5"/>
      <c r="CX7" s="5"/>
      <c r="CY7" s="5"/>
      <c r="CZ7" s="5"/>
      <c r="DA7" s="5"/>
      <c r="DB7" s="5"/>
      <c r="DC7" s="5"/>
      <c r="DD7" s="5"/>
    </row>
    <row r="8" ht="15.75" customHeight="1">
      <c r="A8" s="8">
        <v>1412.0</v>
      </c>
      <c r="B8" s="8" t="s">
        <v>48</v>
      </c>
      <c r="C8" s="9" t="str">
        <f t="shared" si="1"/>
        <v>TK-07_ETHANOL</v>
      </c>
      <c r="D8" s="22" t="s">
        <v>215</v>
      </c>
      <c r="E8" s="24" t="s">
        <v>216</v>
      </c>
      <c r="F8" s="22" t="s">
        <v>140</v>
      </c>
      <c r="G8" s="11" t="s">
        <v>52</v>
      </c>
      <c r="H8" s="8">
        <v>0.0</v>
      </c>
      <c r="I8" s="12" t="s">
        <v>217</v>
      </c>
      <c r="J8" s="5"/>
      <c r="K8" s="13" t="s">
        <v>215</v>
      </c>
      <c r="L8" s="13" t="s">
        <v>54</v>
      </c>
      <c r="M8" s="5"/>
      <c r="N8" s="5"/>
      <c r="O8" s="12" t="s">
        <v>218</v>
      </c>
      <c r="P8" s="14">
        <v>0.0</v>
      </c>
      <c r="Q8" s="13" t="s">
        <v>215</v>
      </c>
      <c r="R8" s="13" t="s">
        <v>54</v>
      </c>
      <c r="S8" s="12" t="s">
        <v>219</v>
      </c>
      <c r="T8" s="14">
        <v>0.0</v>
      </c>
      <c r="U8" s="12" t="s">
        <v>220</v>
      </c>
      <c r="V8" s="14">
        <v>0.0</v>
      </c>
      <c r="W8" s="13" t="s">
        <v>215</v>
      </c>
      <c r="X8" s="13" t="s">
        <v>54</v>
      </c>
      <c r="Y8" s="12"/>
      <c r="Z8" s="12"/>
      <c r="AA8" s="25"/>
      <c r="AB8" s="25"/>
      <c r="AC8" s="12"/>
      <c r="AD8" s="12"/>
      <c r="AE8" s="25"/>
      <c r="AF8" s="25"/>
      <c r="AG8" s="12"/>
      <c r="AH8" s="12"/>
      <c r="AI8" s="26"/>
      <c r="AJ8" s="25"/>
      <c r="AK8" s="21"/>
      <c r="AL8" s="21"/>
      <c r="AM8" s="25"/>
      <c r="AN8" s="25"/>
      <c r="AO8" s="21"/>
      <c r="AP8" s="21"/>
      <c r="AQ8" s="25"/>
      <c r="AR8" s="25"/>
      <c r="AS8" s="21"/>
      <c r="AT8" s="21"/>
      <c r="AU8" s="25"/>
      <c r="AV8" s="25"/>
      <c r="AW8" s="12"/>
      <c r="AX8" s="21"/>
      <c r="AY8" s="16" t="str">
        <f t="shared" si="2"/>
        <v/>
      </c>
      <c r="AZ8" s="25"/>
      <c r="BA8" s="12"/>
      <c r="BB8" s="12"/>
      <c r="BC8" s="16" t="str">
        <f t="shared" si="3"/>
        <v/>
      </c>
      <c r="BD8" s="25"/>
      <c r="BE8" s="5"/>
      <c r="BF8" s="5"/>
      <c r="BG8" s="5"/>
      <c r="BH8" s="5"/>
      <c r="BI8" s="5"/>
      <c r="BJ8" s="5"/>
      <c r="BK8" s="5"/>
      <c r="BL8" s="5"/>
      <c r="BM8" s="21"/>
      <c r="BN8" s="12"/>
      <c r="BO8" s="25"/>
      <c r="BP8" s="25"/>
      <c r="BQ8" s="21"/>
      <c r="BR8" s="21"/>
      <c r="BS8" s="25"/>
      <c r="BT8" s="25"/>
      <c r="BU8" s="21"/>
      <c r="BV8" s="21"/>
      <c r="BW8" s="25"/>
      <c r="BX8" s="25"/>
      <c r="BY8" s="21"/>
      <c r="BZ8" s="21"/>
      <c r="CA8" s="25"/>
      <c r="CB8" s="25"/>
      <c r="CC8" s="12"/>
      <c r="CD8" s="21"/>
      <c r="CE8" s="25"/>
      <c r="CF8" s="25"/>
      <c r="CG8" s="5"/>
      <c r="CH8" s="5"/>
      <c r="CI8" s="5"/>
      <c r="CJ8" s="5"/>
      <c r="CK8" s="21"/>
      <c r="CL8" s="21"/>
      <c r="CM8" s="16" t="str">
        <f t="shared" si="4"/>
        <v/>
      </c>
      <c r="CN8" s="5"/>
      <c r="CO8" s="21"/>
      <c r="CP8" s="21"/>
      <c r="CQ8" s="5"/>
      <c r="CR8" s="5"/>
      <c r="CS8" s="21"/>
      <c r="CT8" s="21"/>
      <c r="CU8" s="9" t="str">
        <f t="shared" si="5"/>
        <v/>
      </c>
      <c r="CV8" s="5"/>
      <c r="CW8" s="5"/>
      <c r="CX8" s="5"/>
      <c r="CY8" s="5"/>
      <c r="CZ8" s="5"/>
      <c r="DA8" s="5"/>
      <c r="DB8" s="5"/>
      <c r="DC8" s="5"/>
      <c r="DD8" s="5"/>
    </row>
    <row r="9" ht="15.75" customHeight="1">
      <c r="A9" s="8">
        <v>1412.0</v>
      </c>
      <c r="B9" s="8" t="s">
        <v>48</v>
      </c>
      <c r="C9" s="9" t="str">
        <f t="shared" si="1"/>
        <v>TK-08_ETHANOL</v>
      </c>
      <c r="D9" s="22" t="s">
        <v>221</v>
      </c>
      <c r="E9" s="24" t="s">
        <v>216</v>
      </c>
      <c r="F9" s="22" t="s">
        <v>140</v>
      </c>
      <c r="G9" s="11" t="s">
        <v>52</v>
      </c>
      <c r="H9" s="8">
        <v>0.0</v>
      </c>
      <c r="I9" s="12" t="s">
        <v>222</v>
      </c>
      <c r="J9" s="5"/>
      <c r="K9" s="13" t="s">
        <v>221</v>
      </c>
      <c r="L9" s="13" t="s">
        <v>54</v>
      </c>
      <c r="M9" s="5"/>
      <c r="N9" s="5"/>
      <c r="O9" s="12" t="s">
        <v>223</v>
      </c>
      <c r="P9" s="14">
        <v>0.0</v>
      </c>
      <c r="Q9" s="13" t="s">
        <v>221</v>
      </c>
      <c r="R9" s="13" t="s">
        <v>54</v>
      </c>
      <c r="S9" s="12" t="s">
        <v>224</v>
      </c>
      <c r="T9" s="14">
        <v>0.0</v>
      </c>
      <c r="U9" s="12" t="s">
        <v>225</v>
      </c>
      <c r="V9" s="14">
        <v>0.0</v>
      </c>
      <c r="W9" s="13" t="s">
        <v>221</v>
      </c>
      <c r="X9" s="13" t="s">
        <v>54</v>
      </c>
      <c r="Y9" s="12"/>
      <c r="Z9" s="12"/>
      <c r="AA9" s="25"/>
      <c r="AB9" s="25"/>
      <c r="AC9" s="12"/>
      <c r="AD9" s="12"/>
      <c r="AE9" s="25"/>
      <c r="AF9" s="25"/>
      <c r="AG9" s="12"/>
      <c r="AH9" s="12"/>
      <c r="AI9" s="26"/>
      <c r="AJ9" s="25"/>
      <c r="AK9" s="21"/>
      <c r="AL9" s="21"/>
      <c r="AM9" s="25"/>
      <c r="AN9" s="25"/>
      <c r="AO9" s="21"/>
      <c r="AP9" s="21"/>
      <c r="AQ9" s="25"/>
      <c r="AR9" s="25"/>
      <c r="AS9" s="21"/>
      <c r="AT9" s="21"/>
      <c r="AU9" s="25"/>
      <c r="AV9" s="25"/>
      <c r="AW9" s="12"/>
      <c r="AX9" s="21"/>
      <c r="AY9" s="16" t="str">
        <f t="shared" si="2"/>
        <v/>
      </c>
      <c r="AZ9" s="25"/>
      <c r="BA9" s="12"/>
      <c r="BB9" s="12"/>
      <c r="BC9" s="16" t="str">
        <f t="shared" si="3"/>
        <v/>
      </c>
      <c r="BD9" s="25"/>
      <c r="BE9" s="5"/>
      <c r="BF9" s="5"/>
      <c r="BG9" s="5"/>
      <c r="BH9" s="5"/>
      <c r="BI9" s="5"/>
      <c r="BJ9" s="5"/>
      <c r="BK9" s="5"/>
      <c r="BL9" s="5"/>
      <c r="BM9" s="21"/>
      <c r="BN9" s="12"/>
      <c r="BO9" s="25"/>
      <c r="BP9" s="25"/>
      <c r="BQ9" s="21"/>
      <c r="BR9" s="21"/>
      <c r="BS9" s="25"/>
      <c r="BT9" s="25"/>
      <c r="BU9" s="21"/>
      <c r="BV9" s="21"/>
      <c r="BW9" s="25"/>
      <c r="BX9" s="25"/>
      <c r="BY9" s="21"/>
      <c r="BZ9" s="21"/>
      <c r="CA9" s="25"/>
      <c r="CB9" s="25"/>
      <c r="CC9" s="12"/>
      <c r="CD9" s="21"/>
      <c r="CE9" s="25"/>
      <c r="CF9" s="25"/>
      <c r="CG9" s="5"/>
      <c r="CH9" s="5"/>
      <c r="CI9" s="5"/>
      <c r="CJ9" s="5"/>
      <c r="CK9" s="21"/>
      <c r="CL9" s="21"/>
      <c r="CM9" s="16" t="str">
        <f t="shared" si="4"/>
        <v/>
      </c>
      <c r="CN9" s="5"/>
      <c r="CO9" s="21"/>
      <c r="CP9" s="21"/>
      <c r="CQ9" s="5"/>
      <c r="CR9" s="5"/>
      <c r="CS9" s="21"/>
      <c r="CT9" s="21"/>
      <c r="CU9" s="9" t="str">
        <f t="shared" si="5"/>
        <v/>
      </c>
      <c r="CV9" s="5"/>
      <c r="CW9" s="5"/>
      <c r="CX9" s="5"/>
      <c r="CY9" s="5"/>
      <c r="CZ9" s="5"/>
      <c r="DA9" s="5"/>
      <c r="DB9" s="5"/>
      <c r="DC9" s="5"/>
      <c r="DD9" s="5"/>
    </row>
    <row r="10" ht="15.75" customHeight="1">
      <c r="A10" s="8">
        <v>1412.0</v>
      </c>
      <c r="B10" s="8" t="s">
        <v>48</v>
      </c>
      <c r="C10" s="9" t="str">
        <f t="shared" si="1"/>
        <v>TK-09_BS VI MS</v>
      </c>
      <c r="D10" s="22" t="s">
        <v>226</v>
      </c>
      <c r="E10" s="24" t="s">
        <v>216</v>
      </c>
      <c r="F10" s="22" t="s">
        <v>227</v>
      </c>
      <c r="G10" s="11" t="s">
        <v>52</v>
      </c>
      <c r="H10" s="8">
        <v>0.0</v>
      </c>
      <c r="I10" s="12" t="s">
        <v>228</v>
      </c>
      <c r="J10" s="5"/>
      <c r="K10" s="13" t="s">
        <v>226</v>
      </c>
      <c r="L10" s="13" t="s">
        <v>54</v>
      </c>
      <c r="M10" s="5"/>
      <c r="N10" s="5"/>
      <c r="O10" s="12" t="s">
        <v>229</v>
      </c>
      <c r="P10" s="14">
        <v>0.0</v>
      </c>
      <c r="Q10" s="13" t="s">
        <v>226</v>
      </c>
      <c r="R10" s="13" t="s">
        <v>54</v>
      </c>
      <c r="S10" s="12" t="s">
        <v>230</v>
      </c>
      <c r="T10" s="14">
        <v>0.0</v>
      </c>
      <c r="U10" s="12" t="s">
        <v>231</v>
      </c>
      <c r="V10" s="14">
        <v>0.0</v>
      </c>
      <c r="W10" s="13" t="s">
        <v>226</v>
      </c>
      <c r="X10" s="13" t="s">
        <v>54</v>
      </c>
      <c r="Y10" s="12"/>
      <c r="Z10" s="12"/>
      <c r="AA10" s="25"/>
      <c r="AB10" s="25"/>
      <c r="AC10" s="12"/>
      <c r="AD10" s="12"/>
      <c r="AE10" s="25"/>
      <c r="AF10" s="25"/>
      <c r="AG10" s="12"/>
      <c r="AH10" s="12"/>
      <c r="AI10" s="26"/>
      <c r="AJ10" s="25"/>
      <c r="AK10" s="21"/>
      <c r="AL10" s="21"/>
      <c r="AM10" s="25"/>
      <c r="AN10" s="25"/>
      <c r="AO10" s="21"/>
      <c r="AP10" s="21"/>
      <c r="AQ10" s="25"/>
      <c r="AR10" s="25"/>
      <c r="AS10" s="21"/>
      <c r="AT10" s="21"/>
      <c r="AU10" s="25"/>
      <c r="AV10" s="25"/>
      <c r="AW10" s="12"/>
      <c r="AX10" s="21"/>
      <c r="AY10" s="16" t="str">
        <f t="shared" si="2"/>
        <v/>
      </c>
      <c r="AZ10" s="25"/>
      <c r="BA10" s="12"/>
      <c r="BB10" s="12"/>
      <c r="BC10" s="16" t="str">
        <f t="shared" si="3"/>
        <v/>
      </c>
      <c r="BD10" s="25"/>
      <c r="BE10" s="5"/>
      <c r="BF10" s="5"/>
      <c r="BG10" s="5"/>
      <c r="BH10" s="5"/>
      <c r="BI10" s="5"/>
      <c r="BJ10" s="5"/>
      <c r="BK10" s="5"/>
      <c r="BL10" s="5"/>
      <c r="BM10" s="21"/>
      <c r="BN10" s="12"/>
      <c r="BO10" s="25"/>
      <c r="BP10" s="25"/>
      <c r="BQ10" s="21"/>
      <c r="BR10" s="21"/>
      <c r="BS10" s="25"/>
      <c r="BT10" s="25"/>
      <c r="BU10" s="21"/>
      <c r="BV10" s="21"/>
      <c r="BW10" s="25"/>
      <c r="BX10" s="25"/>
      <c r="BY10" s="21"/>
      <c r="BZ10" s="21"/>
      <c r="CA10" s="25"/>
      <c r="CB10" s="25"/>
      <c r="CC10" s="12"/>
      <c r="CD10" s="21"/>
      <c r="CE10" s="25"/>
      <c r="CF10" s="25"/>
      <c r="CG10" s="5"/>
      <c r="CH10" s="5"/>
      <c r="CI10" s="5"/>
      <c r="CJ10" s="5"/>
      <c r="CK10" s="21"/>
      <c r="CL10" s="21"/>
      <c r="CM10" s="16" t="str">
        <f t="shared" si="4"/>
        <v/>
      </c>
      <c r="CN10" s="5"/>
      <c r="CO10" s="21"/>
      <c r="CP10" s="21"/>
      <c r="CQ10" s="5"/>
      <c r="CR10" s="5"/>
      <c r="CS10" s="21"/>
      <c r="CT10" s="21"/>
      <c r="CU10" s="9" t="str">
        <f t="shared" si="5"/>
        <v/>
      </c>
      <c r="CV10" s="5"/>
      <c r="CW10" s="5"/>
      <c r="CX10" s="5"/>
      <c r="CY10" s="5"/>
      <c r="CZ10" s="5"/>
      <c r="DA10" s="5"/>
      <c r="DB10" s="5"/>
      <c r="DC10" s="5"/>
      <c r="DD10" s="5"/>
    </row>
    <row r="11" ht="15.75" customHeight="1">
      <c r="A11" s="8">
        <v>1412.0</v>
      </c>
      <c r="B11" s="8" t="s">
        <v>48</v>
      </c>
      <c r="C11" s="9" t="str">
        <f t="shared" si="1"/>
        <v>TK-10_BS VI HSD</v>
      </c>
      <c r="D11" s="22" t="s">
        <v>232</v>
      </c>
      <c r="E11" s="24" t="s">
        <v>216</v>
      </c>
      <c r="F11" s="22" t="s">
        <v>51</v>
      </c>
      <c r="G11" s="11" t="s">
        <v>52</v>
      </c>
      <c r="H11" s="8">
        <v>0.0</v>
      </c>
      <c r="I11" s="12" t="s">
        <v>233</v>
      </c>
      <c r="J11" s="5"/>
      <c r="K11" s="13" t="s">
        <v>232</v>
      </c>
      <c r="L11" s="13" t="s">
        <v>54</v>
      </c>
      <c r="M11" s="5"/>
      <c r="N11" s="5"/>
      <c r="O11" s="12" t="s">
        <v>234</v>
      </c>
      <c r="P11" s="14">
        <v>0.0</v>
      </c>
      <c r="Q11" s="13" t="s">
        <v>232</v>
      </c>
      <c r="R11" s="13" t="s">
        <v>54</v>
      </c>
      <c r="S11" s="12" t="s">
        <v>235</v>
      </c>
      <c r="T11" s="14">
        <v>0.0</v>
      </c>
      <c r="U11" s="12" t="s">
        <v>236</v>
      </c>
      <c r="V11" s="14">
        <v>0.0</v>
      </c>
      <c r="W11" s="13" t="s">
        <v>232</v>
      </c>
      <c r="X11" s="13" t="s">
        <v>54</v>
      </c>
      <c r="Y11" s="12"/>
      <c r="Z11" s="12"/>
      <c r="AA11" s="25"/>
      <c r="AB11" s="25"/>
      <c r="AC11" s="12"/>
      <c r="AD11" s="12"/>
      <c r="AE11" s="25"/>
      <c r="AF11" s="25"/>
      <c r="AG11" s="12"/>
      <c r="AH11" s="12"/>
      <c r="AI11" s="26"/>
      <c r="AJ11" s="25"/>
      <c r="AK11" s="21"/>
      <c r="AL11" s="21"/>
      <c r="AM11" s="25"/>
      <c r="AN11" s="25"/>
      <c r="AO11" s="21"/>
      <c r="AP11" s="21"/>
      <c r="AQ11" s="25"/>
      <c r="AR11" s="25"/>
      <c r="AS11" s="21"/>
      <c r="AT11" s="21"/>
      <c r="AU11" s="25"/>
      <c r="AV11" s="25"/>
      <c r="AW11" s="12"/>
      <c r="AX11" s="21"/>
      <c r="AY11" s="16" t="str">
        <f t="shared" si="2"/>
        <v/>
      </c>
      <c r="AZ11" s="25"/>
      <c r="BA11" s="12"/>
      <c r="BB11" s="12"/>
      <c r="BC11" s="16" t="str">
        <f t="shared" si="3"/>
        <v/>
      </c>
      <c r="BD11" s="25"/>
      <c r="BE11" s="5"/>
      <c r="BF11" s="5"/>
      <c r="BG11" s="5"/>
      <c r="BH11" s="5"/>
      <c r="BI11" s="5"/>
      <c r="BJ11" s="5"/>
      <c r="BK11" s="5"/>
      <c r="BL11" s="5"/>
      <c r="BM11" s="21"/>
      <c r="BN11" s="12"/>
      <c r="BO11" s="25"/>
      <c r="BP11" s="25"/>
      <c r="BQ11" s="21"/>
      <c r="BR11" s="21"/>
      <c r="BS11" s="25"/>
      <c r="BT11" s="25"/>
      <c r="BU11" s="21"/>
      <c r="BV11" s="21"/>
      <c r="BW11" s="25"/>
      <c r="BX11" s="25"/>
      <c r="BY11" s="21"/>
      <c r="BZ11" s="21"/>
      <c r="CA11" s="25"/>
      <c r="CB11" s="25"/>
      <c r="CC11" s="12"/>
      <c r="CD11" s="21"/>
      <c r="CE11" s="25"/>
      <c r="CF11" s="25"/>
      <c r="CG11" s="5"/>
      <c r="CH11" s="5"/>
      <c r="CI11" s="5"/>
      <c r="CJ11" s="5"/>
      <c r="CK11" s="21"/>
      <c r="CL11" s="21"/>
      <c r="CM11" s="16" t="str">
        <f t="shared" si="4"/>
        <v/>
      </c>
      <c r="CN11" s="5"/>
      <c r="CO11" s="21"/>
      <c r="CP11" s="21"/>
      <c r="CQ11" s="5"/>
      <c r="CR11" s="5"/>
      <c r="CS11" s="21"/>
      <c r="CT11" s="21"/>
      <c r="CU11" s="9" t="str">
        <f t="shared" si="5"/>
        <v/>
      </c>
      <c r="CV11" s="5"/>
      <c r="CW11" s="5"/>
      <c r="CX11" s="5"/>
      <c r="CY11" s="5"/>
      <c r="CZ11" s="5"/>
      <c r="DA11" s="5"/>
      <c r="DB11" s="5"/>
      <c r="DC11" s="5"/>
      <c r="DD11" s="5"/>
    </row>
    <row r="12" ht="15.75" customHeight="1">
      <c r="A12" s="8">
        <v>1412.0</v>
      </c>
      <c r="B12" s="8" t="s">
        <v>48</v>
      </c>
      <c r="C12" s="9" t="str">
        <f t="shared" si="1"/>
        <v>TK-11_WATER</v>
      </c>
      <c r="D12" s="22" t="s">
        <v>237</v>
      </c>
      <c r="E12" s="22" t="s">
        <v>50</v>
      </c>
      <c r="F12" s="22" t="s">
        <v>238</v>
      </c>
      <c r="G12" s="11" t="s">
        <v>52</v>
      </c>
      <c r="H12" s="8">
        <v>0.0</v>
      </c>
      <c r="I12" s="12" t="s">
        <v>239</v>
      </c>
      <c r="J12" s="5"/>
      <c r="K12" s="13" t="s">
        <v>237</v>
      </c>
      <c r="L12" s="13" t="s">
        <v>54</v>
      </c>
      <c r="M12" s="5"/>
      <c r="N12" s="5"/>
      <c r="O12" s="12"/>
      <c r="P12" s="12"/>
      <c r="Q12" s="25"/>
      <c r="R12" s="25"/>
      <c r="S12" s="12" t="s">
        <v>240</v>
      </c>
      <c r="T12" s="14">
        <v>0.0</v>
      </c>
      <c r="U12" s="12"/>
      <c r="V12" s="12"/>
      <c r="W12" s="25"/>
      <c r="X12" s="25"/>
      <c r="Y12" s="21"/>
      <c r="Z12" s="21"/>
      <c r="AA12" s="25"/>
      <c r="AB12" s="25"/>
      <c r="AC12" s="21"/>
      <c r="AD12" s="21"/>
      <c r="AE12" s="25"/>
      <c r="AF12" s="25"/>
      <c r="AG12" s="21"/>
      <c r="AH12" s="21"/>
      <c r="AI12" s="26"/>
      <c r="AJ12" s="25"/>
      <c r="AK12" s="21"/>
      <c r="AL12" s="21"/>
      <c r="AM12" s="25"/>
      <c r="AN12" s="25"/>
      <c r="AO12" s="21"/>
      <c r="AP12" s="21"/>
      <c r="AQ12" s="25"/>
      <c r="AR12" s="25"/>
      <c r="AS12" s="21"/>
      <c r="AT12" s="21"/>
      <c r="AU12" s="25"/>
      <c r="AV12" s="25"/>
      <c r="AW12" s="12"/>
      <c r="AX12" s="21"/>
      <c r="AY12" s="16" t="str">
        <f t="shared" si="2"/>
        <v/>
      </c>
      <c r="AZ12" s="25"/>
      <c r="BA12" s="12"/>
      <c r="BB12" s="12"/>
      <c r="BC12" s="16" t="str">
        <f t="shared" si="3"/>
        <v/>
      </c>
      <c r="BD12" s="25"/>
      <c r="BE12" s="5"/>
      <c r="BF12" s="5"/>
      <c r="BG12" s="5"/>
      <c r="BH12" s="5"/>
      <c r="BI12" s="5"/>
      <c r="BJ12" s="5"/>
      <c r="BK12" s="5"/>
      <c r="BL12" s="5"/>
      <c r="BM12" s="21"/>
      <c r="BN12" s="12"/>
      <c r="BO12" s="25"/>
      <c r="BP12" s="25"/>
      <c r="BQ12" s="21"/>
      <c r="BR12" s="21"/>
      <c r="BS12" s="25"/>
      <c r="BT12" s="25"/>
      <c r="BU12" s="21"/>
      <c r="BV12" s="21"/>
      <c r="BW12" s="25"/>
      <c r="BX12" s="25"/>
      <c r="BY12" s="21"/>
      <c r="BZ12" s="21"/>
      <c r="CA12" s="25"/>
      <c r="CB12" s="25"/>
      <c r="CC12" s="12"/>
      <c r="CD12" s="21"/>
      <c r="CE12" s="25"/>
      <c r="CF12" s="25"/>
      <c r="CG12" s="5"/>
      <c r="CH12" s="5"/>
      <c r="CI12" s="5"/>
      <c r="CJ12" s="5"/>
      <c r="CK12" s="21"/>
      <c r="CL12" s="21"/>
      <c r="CM12" s="16" t="str">
        <f t="shared" si="4"/>
        <v/>
      </c>
      <c r="CN12" s="5"/>
      <c r="CO12" s="21"/>
      <c r="CP12" s="21"/>
      <c r="CQ12" s="5"/>
      <c r="CR12" s="5"/>
      <c r="CS12" s="21"/>
      <c r="CT12" s="21"/>
      <c r="CU12" s="9" t="str">
        <f t="shared" si="5"/>
        <v/>
      </c>
      <c r="CV12" s="5"/>
      <c r="CW12" s="5"/>
      <c r="CX12" s="5"/>
      <c r="CY12" s="5"/>
      <c r="CZ12" s="5"/>
      <c r="DA12" s="5"/>
      <c r="DB12" s="5"/>
      <c r="DC12" s="5"/>
      <c r="DD12" s="5"/>
    </row>
    <row r="13" ht="15.75" customHeight="1">
      <c r="A13" s="8">
        <v>1412.0</v>
      </c>
      <c r="B13" s="8" t="s">
        <v>48</v>
      </c>
      <c r="C13" s="9" t="str">
        <f t="shared" si="1"/>
        <v>TK-12_WATER</v>
      </c>
      <c r="D13" s="22" t="s">
        <v>241</v>
      </c>
      <c r="E13" s="22" t="s">
        <v>50</v>
      </c>
      <c r="F13" s="22" t="s">
        <v>238</v>
      </c>
      <c r="G13" s="11" t="s">
        <v>52</v>
      </c>
      <c r="H13" s="8">
        <v>0.0</v>
      </c>
      <c r="I13" s="12" t="s">
        <v>242</v>
      </c>
      <c r="J13" s="5"/>
      <c r="K13" s="13" t="s">
        <v>241</v>
      </c>
      <c r="L13" s="13" t="s">
        <v>54</v>
      </c>
      <c r="M13" s="5"/>
      <c r="N13" s="5"/>
      <c r="O13" s="12"/>
      <c r="P13" s="12"/>
      <c r="Q13" s="25"/>
      <c r="R13" s="25"/>
      <c r="S13" s="12" t="s">
        <v>243</v>
      </c>
      <c r="T13" s="14">
        <v>0.0</v>
      </c>
      <c r="U13" s="12"/>
      <c r="V13" s="12"/>
      <c r="W13" s="25"/>
      <c r="X13" s="25"/>
      <c r="Y13" s="21"/>
      <c r="Z13" s="21"/>
      <c r="AA13" s="25"/>
      <c r="AB13" s="25"/>
      <c r="AC13" s="21"/>
      <c r="AD13" s="21"/>
      <c r="AE13" s="25"/>
      <c r="AF13" s="25"/>
      <c r="AG13" s="21"/>
      <c r="AH13" s="21"/>
      <c r="AI13" s="26"/>
      <c r="AJ13" s="25"/>
      <c r="AK13" s="21"/>
      <c r="AL13" s="21"/>
      <c r="AM13" s="25"/>
      <c r="AN13" s="25"/>
      <c r="AO13" s="21"/>
      <c r="AP13" s="21"/>
      <c r="AQ13" s="25"/>
      <c r="AR13" s="25"/>
      <c r="AS13" s="21"/>
      <c r="AT13" s="21"/>
      <c r="AU13" s="25"/>
      <c r="AV13" s="25"/>
      <c r="AW13" s="12"/>
      <c r="AX13" s="21"/>
      <c r="AY13" s="16" t="str">
        <f t="shared" si="2"/>
        <v/>
      </c>
      <c r="AZ13" s="25"/>
      <c r="BA13" s="12"/>
      <c r="BB13" s="12"/>
      <c r="BC13" s="16" t="str">
        <f t="shared" si="3"/>
        <v/>
      </c>
      <c r="BD13" s="25"/>
      <c r="BE13" s="5"/>
      <c r="BF13" s="5"/>
      <c r="BG13" s="5"/>
      <c r="BH13" s="5"/>
      <c r="BI13" s="5"/>
      <c r="BJ13" s="5"/>
      <c r="BK13" s="5"/>
      <c r="BL13" s="5"/>
      <c r="BM13" s="21"/>
      <c r="BN13" s="12"/>
      <c r="BO13" s="25"/>
      <c r="BP13" s="25"/>
      <c r="BQ13" s="21"/>
      <c r="BR13" s="21"/>
      <c r="BS13" s="25"/>
      <c r="BT13" s="25"/>
      <c r="BU13" s="21"/>
      <c r="BV13" s="21"/>
      <c r="BW13" s="25"/>
      <c r="BX13" s="25"/>
      <c r="BY13" s="21"/>
      <c r="BZ13" s="21"/>
      <c r="CA13" s="25"/>
      <c r="CB13" s="25"/>
      <c r="CC13" s="12"/>
      <c r="CD13" s="21"/>
      <c r="CE13" s="25"/>
      <c r="CF13" s="25"/>
      <c r="CG13" s="5"/>
      <c r="CH13" s="5"/>
      <c r="CI13" s="5"/>
      <c r="CJ13" s="5"/>
      <c r="CK13" s="21"/>
      <c r="CL13" s="21"/>
      <c r="CM13" s="16" t="str">
        <f t="shared" si="4"/>
        <v/>
      </c>
      <c r="CN13" s="5"/>
      <c r="CO13" s="21"/>
      <c r="CP13" s="21"/>
      <c r="CQ13" s="5"/>
      <c r="CR13" s="5"/>
      <c r="CS13" s="21"/>
      <c r="CT13" s="21"/>
      <c r="CU13" s="9" t="str">
        <f t="shared" si="5"/>
        <v/>
      </c>
      <c r="CV13" s="5"/>
      <c r="CW13" s="5"/>
      <c r="CX13" s="5"/>
      <c r="CY13" s="5"/>
      <c r="CZ13" s="5"/>
      <c r="DA13" s="5"/>
      <c r="DB13" s="5"/>
      <c r="DC13" s="5"/>
      <c r="DD13" s="5"/>
    </row>
    <row r="14" ht="15.75" customHeight="1">
      <c r="A14" s="8">
        <v>1412.0</v>
      </c>
      <c r="B14" s="8" t="s">
        <v>48</v>
      </c>
      <c r="C14" s="9" t="str">
        <f t="shared" si="1"/>
        <v>TK-13_WATER</v>
      </c>
      <c r="D14" s="22" t="s">
        <v>244</v>
      </c>
      <c r="E14" s="22" t="s">
        <v>50</v>
      </c>
      <c r="F14" s="22" t="s">
        <v>238</v>
      </c>
      <c r="G14" s="11" t="s">
        <v>52</v>
      </c>
      <c r="H14" s="8">
        <v>0.0</v>
      </c>
      <c r="I14" s="12" t="s">
        <v>245</v>
      </c>
      <c r="J14" s="5"/>
      <c r="K14" s="13" t="s">
        <v>244</v>
      </c>
      <c r="L14" s="13" t="s">
        <v>54</v>
      </c>
      <c r="M14" s="5"/>
      <c r="N14" s="5"/>
      <c r="O14" s="12"/>
      <c r="P14" s="12"/>
      <c r="Q14" s="25"/>
      <c r="R14" s="25"/>
      <c r="S14" s="12" t="s">
        <v>246</v>
      </c>
      <c r="T14" s="14">
        <v>0.0</v>
      </c>
      <c r="U14" s="12"/>
      <c r="V14" s="12"/>
      <c r="W14" s="25"/>
      <c r="X14" s="25"/>
      <c r="Y14" s="21"/>
      <c r="Z14" s="21"/>
      <c r="AA14" s="25"/>
      <c r="AB14" s="25"/>
      <c r="AC14" s="21"/>
      <c r="AD14" s="21"/>
      <c r="AE14" s="25"/>
      <c r="AF14" s="25"/>
      <c r="AG14" s="21"/>
      <c r="AH14" s="21"/>
      <c r="AI14" s="26"/>
      <c r="AJ14" s="25"/>
      <c r="AK14" s="21"/>
      <c r="AL14" s="21"/>
      <c r="AM14" s="25"/>
      <c r="AN14" s="25"/>
      <c r="AO14" s="21"/>
      <c r="AP14" s="21"/>
      <c r="AQ14" s="25"/>
      <c r="AR14" s="25"/>
      <c r="AS14" s="21"/>
      <c r="AT14" s="21"/>
      <c r="AU14" s="25"/>
      <c r="AV14" s="25"/>
      <c r="AW14" s="12"/>
      <c r="AX14" s="21"/>
      <c r="AY14" s="16" t="str">
        <f t="shared" si="2"/>
        <v/>
      </c>
      <c r="AZ14" s="25"/>
      <c r="BA14" s="12"/>
      <c r="BB14" s="12"/>
      <c r="BC14" s="16" t="str">
        <f t="shared" si="3"/>
        <v/>
      </c>
      <c r="BD14" s="25"/>
      <c r="BE14" s="5"/>
      <c r="BF14" s="5"/>
      <c r="BG14" s="5"/>
      <c r="BH14" s="5"/>
      <c r="BI14" s="5"/>
      <c r="BJ14" s="5"/>
      <c r="BK14" s="5"/>
      <c r="BL14" s="5"/>
      <c r="BM14" s="21"/>
      <c r="BN14" s="12"/>
      <c r="BO14" s="25"/>
      <c r="BP14" s="25"/>
      <c r="BQ14" s="21"/>
      <c r="BR14" s="21"/>
      <c r="BS14" s="25"/>
      <c r="BT14" s="25"/>
      <c r="BU14" s="21"/>
      <c r="BV14" s="21"/>
      <c r="BW14" s="25"/>
      <c r="BX14" s="25"/>
      <c r="BY14" s="21"/>
      <c r="BZ14" s="21"/>
      <c r="CA14" s="25"/>
      <c r="CB14" s="25"/>
      <c r="CC14" s="12"/>
      <c r="CD14" s="21"/>
      <c r="CE14" s="25"/>
      <c r="CF14" s="25"/>
      <c r="CG14" s="5"/>
      <c r="CH14" s="5"/>
      <c r="CI14" s="5"/>
      <c r="CJ14" s="5"/>
      <c r="CK14" s="21"/>
      <c r="CL14" s="21"/>
      <c r="CM14" s="16" t="str">
        <f t="shared" si="4"/>
        <v/>
      </c>
      <c r="CN14" s="5"/>
      <c r="CO14" s="21"/>
      <c r="CP14" s="21"/>
      <c r="CQ14" s="5"/>
      <c r="CR14" s="5"/>
      <c r="CS14" s="21"/>
      <c r="CT14" s="21"/>
      <c r="CU14" s="9" t="str">
        <f t="shared" si="5"/>
        <v/>
      </c>
      <c r="CV14" s="5"/>
      <c r="CW14" s="5"/>
      <c r="CX14" s="5"/>
      <c r="CY14" s="5"/>
      <c r="CZ14" s="5"/>
      <c r="DA14" s="5"/>
      <c r="DB14" s="5"/>
      <c r="DC14" s="5"/>
      <c r="DD14" s="5"/>
    </row>
    <row r="15" ht="15.75" customHeight="1">
      <c r="A15" s="8">
        <v>1412.0</v>
      </c>
      <c r="B15" s="8" t="s">
        <v>48</v>
      </c>
      <c r="C15" s="9" t="str">
        <f t="shared" si="1"/>
        <v>TK-14_BS VI HSD</v>
      </c>
      <c r="D15" s="22" t="s">
        <v>247</v>
      </c>
      <c r="E15" s="22" t="s">
        <v>50</v>
      </c>
      <c r="F15" s="22" t="s">
        <v>51</v>
      </c>
      <c r="G15" s="11" t="s">
        <v>52</v>
      </c>
      <c r="H15" s="8">
        <v>0.0</v>
      </c>
      <c r="I15" s="12" t="s">
        <v>248</v>
      </c>
      <c r="J15" s="5"/>
      <c r="K15" s="13" t="s">
        <v>247</v>
      </c>
      <c r="L15" s="13" t="s">
        <v>54</v>
      </c>
      <c r="M15" s="5"/>
      <c r="N15" s="5"/>
      <c r="O15" s="12" t="s">
        <v>249</v>
      </c>
      <c r="P15" s="14">
        <v>0.0</v>
      </c>
      <c r="Q15" s="13" t="s">
        <v>247</v>
      </c>
      <c r="R15" s="13" t="s">
        <v>54</v>
      </c>
      <c r="S15" s="12" t="s">
        <v>250</v>
      </c>
      <c r="T15" s="14">
        <v>0.0</v>
      </c>
      <c r="U15" s="12" t="s">
        <v>251</v>
      </c>
      <c r="V15" s="14">
        <v>0.0</v>
      </c>
      <c r="W15" s="13" t="s">
        <v>247</v>
      </c>
      <c r="X15" s="13" t="s">
        <v>54</v>
      </c>
      <c r="Y15" s="27" t="s">
        <v>252</v>
      </c>
      <c r="Z15" s="28">
        <v>0.0</v>
      </c>
      <c r="AA15" s="13" t="s">
        <v>253</v>
      </c>
      <c r="AB15" s="13" t="s">
        <v>60</v>
      </c>
      <c r="AC15" s="27" t="s">
        <v>254</v>
      </c>
      <c r="AD15" s="28">
        <v>0.0</v>
      </c>
      <c r="AE15" s="13" t="s">
        <v>253</v>
      </c>
      <c r="AF15" s="13" t="s">
        <v>60</v>
      </c>
      <c r="AG15" s="27" t="s">
        <v>255</v>
      </c>
      <c r="AH15" s="28">
        <v>0.0</v>
      </c>
      <c r="AI15" s="15" t="s">
        <v>253</v>
      </c>
      <c r="AJ15" s="13" t="s">
        <v>60</v>
      </c>
      <c r="AK15" s="27" t="s">
        <v>256</v>
      </c>
      <c r="AL15" s="28">
        <v>0.0</v>
      </c>
      <c r="AM15" s="13" t="s">
        <v>257</v>
      </c>
      <c r="AN15" s="13" t="s">
        <v>65</v>
      </c>
      <c r="AO15" s="27" t="s">
        <v>258</v>
      </c>
      <c r="AP15" s="28">
        <v>0.0</v>
      </c>
      <c r="AQ15" s="13" t="s">
        <v>257</v>
      </c>
      <c r="AR15" s="13" t="s">
        <v>65</v>
      </c>
      <c r="AS15" s="27" t="s">
        <v>259</v>
      </c>
      <c r="AT15" s="14">
        <v>0.0</v>
      </c>
      <c r="AU15" s="13" t="s">
        <v>257</v>
      </c>
      <c r="AV15" s="13" t="s">
        <v>65</v>
      </c>
      <c r="AW15" s="12" t="s">
        <v>260</v>
      </c>
      <c r="AX15" s="14">
        <v>0.0</v>
      </c>
      <c r="AY15" s="16" t="str">
        <f t="shared" si="2"/>
        <v>ROSOV-19</v>
      </c>
      <c r="AZ15" s="13" t="s">
        <v>69</v>
      </c>
      <c r="BA15" s="12" t="s">
        <v>261</v>
      </c>
      <c r="BB15" s="14">
        <v>0.0</v>
      </c>
      <c r="BC15" s="16" t="str">
        <f t="shared" si="3"/>
        <v>ROSOV-19</v>
      </c>
      <c r="BD15" s="13" t="s">
        <v>71</v>
      </c>
      <c r="BE15" s="5"/>
      <c r="BF15" s="5"/>
      <c r="BG15" s="5"/>
      <c r="BH15" s="5"/>
      <c r="BI15" s="5"/>
      <c r="BJ15" s="5"/>
      <c r="BK15" s="5"/>
      <c r="BL15" s="5"/>
      <c r="BM15" s="18" t="s">
        <v>262</v>
      </c>
      <c r="BN15" s="14">
        <v>0.0</v>
      </c>
      <c r="BO15" s="13" t="s">
        <v>263</v>
      </c>
      <c r="BP15" s="13" t="s">
        <v>74</v>
      </c>
      <c r="BQ15" s="18" t="s">
        <v>264</v>
      </c>
      <c r="BR15" s="19">
        <v>0.0</v>
      </c>
      <c r="BS15" s="13" t="s">
        <v>263</v>
      </c>
      <c r="BT15" s="13" t="s">
        <v>76</v>
      </c>
      <c r="BU15" s="18" t="s">
        <v>265</v>
      </c>
      <c r="BV15" s="19">
        <v>0.0</v>
      </c>
      <c r="BW15" s="13" t="s">
        <v>266</v>
      </c>
      <c r="BX15" s="13" t="s">
        <v>79</v>
      </c>
      <c r="BY15" s="18" t="s">
        <v>267</v>
      </c>
      <c r="BZ15" s="19">
        <v>0.0</v>
      </c>
      <c r="CA15" s="13" t="s">
        <v>266</v>
      </c>
      <c r="CB15" s="13" t="s">
        <v>81</v>
      </c>
      <c r="CC15" s="12" t="s">
        <v>268</v>
      </c>
      <c r="CD15" s="19">
        <v>0.0</v>
      </c>
      <c r="CE15" s="13" t="s">
        <v>269</v>
      </c>
      <c r="CF15" s="13" t="s">
        <v>84</v>
      </c>
      <c r="CG15" s="5"/>
      <c r="CH15" s="5"/>
      <c r="CI15" s="5"/>
      <c r="CJ15" s="5"/>
      <c r="CK15" s="18" t="s">
        <v>270</v>
      </c>
      <c r="CL15" s="19">
        <v>0.0</v>
      </c>
      <c r="CM15" s="16" t="str">
        <f t="shared" si="4"/>
        <v>MOV-20</v>
      </c>
      <c r="CN15" s="23" t="s">
        <v>86</v>
      </c>
      <c r="CO15" s="18" t="s">
        <v>271</v>
      </c>
      <c r="CP15" s="19">
        <v>0.0</v>
      </c>
      <c r="CQ15" s="5" t="str">
        <f t="shared" ref="CQ15:CQ21" si="6">MID(CO15,5,6)</f>
        <v>MOV-31</v>
      </c>
      <c r="CR15" s="23" t="s">
        <v>272</v>
      </c>
      <c r="CS15" s="18" t="s">
        <v>273</v>
      </c>
      <c r="CT15" s="19">
        <v>0.0</v>
      </c>
      <c r="CU15" s="9" t="str">
        <f t="shared" si="5"/>
        <v>MOV-21</v>
      </c>
      <c r="CV15" s="23" t="s">
        <v>88</v>
      </c>
      <c r="CW15" s="5"/>
      <c r="CX15" s="5"/>
      <c r="CY15" s="5"/>
      <c r="CZ15" s="5"/>
      <c r="DA15" s="5"/>
      <c r="DB15" s="5"/>
      <c r="DC15" s="5"/>
      <c r="DD15" s="5"/>
    </row>
    <row r="16" ht="15.75" customHeight="1">
      <c r="A16" s="8">
        <v>1412.0</v>
      </c>
      <c r="B16" s="8" t="s">
        <v>48</v>
      </c>
      <c r="C16" s="9" t="str">
        <f t="shared" si="1"/>
        <v>TK-15_BS VI MS</v>
      </c>
      <c r="D16" s="22" t="s">
        <v>274</v>
      </c>
      <c r="E16" s="22" t="s">
        <v>50</v>
      </c>
      <c r="F16" s="22" t="s">
        <v>227</v>
      </c>
      <c r="G16" s="11" t="s">
        <v>52</v>
      </c>
      <c r="H16" s="8">
        <v>0.0</v>
      </c>
      <c r="I16" s="12" t="s">
        <v>275</v>
      </c>
      <c r="J16" s="5"/>
      <c r="K16" s="13" t="s">
        <v>274</v>
      </c>
      <c r="L16" s="13" t="s">
        <v>54</v>
      </c>
      <c r="M16" s="5"/>
      <c r="N16" s="5"/>
      <c r="O16" s="12" t="s">
        <v>276</v>
      </c>
      <c r="P16" s="14">
        <v>0.0</v>
      </c>
      <c r="Q16" s="13" t="s">
        <v>274</v>
      </c>
      <c r="R16" s="13" t="s">
        <v>54</v>
      </c>
      <c r="S16" s="12" t="s">
        <v>277</v>
      </c>
      <c r="T16" s="14">
        <v>0.0</v>
      </c>
      <c r="U16" s="12" t="s">
        <v>278</v>
      </c>
      <c r="V16" s="14">
        <v>0.0</v>
      </c>
      <c r="W16" s="13" t="s">
        <v>274</v>
      </c>
      <c r="X16" s="13" t="s">
        <v>54</v>
      </c>
      <c r="Y16" s="27" t="s">
        <v>279</v>
      </c>
      <c r="Z16" s="28">
        <v>0.0</v>
      </c>
      <c r="AA16" s="13" t="s">
        <v>280</v>
      </c>
      <c r="AB16" s="13" t="s">
        <v>60</v>
      </c>
      <c r="AC16" s="27" t="s">
        <v>281</v>
      </c>
      <c r="AD16" s="28">
        <v>0.0</v>
      </c>
      <c r="AE16" s="13" t="s">
        <v>280</v>
      </c>
      <c r="AF16" s="13" t="s">
        <v>60</v>
      </c>
      <c r="AG16" s="27" t="s">
        <v>282</v>
      </c>
      <c r="AH16" s="28">
        <v>0.0</v>
      </c>
      <c r="AI16" s="15" t="s">
        <v>280</v>
      </c>
      <c r="AJ16" s="13" t="s">
        <v>60</v>
      </c>
      <c r="AK16" s="27" t="s">
        <v>283</v>
      </c>
      <c r="AL16" s="28">
        <v>0.0</v>
      </c>
      <c r="AM16" s="13" t="s">
        <v>284</v>
      </c>
      <c r="AN16" s="13" t="s">
        <v>65</v>
      </c>
      <c r="AO16" s="27" t="s">
        <v>285</v>
      </c>
      <c r="AP16" s="28">
        <v>0.0</v>
      </c>
      <c r="AQ16" s="13" t="s">
        <v>284</v>
      </c>
      <c r="AR16" s="13" t="s">
        <v>65</v>
      </c>
      <c r="AS16" s="27" t="s">
        <v>286</v>
      </c>
      <c r="AT16" s="14">
        <v>0.0</v>
      </c>
      <c r="AU16" s="13" t="s">
        <v>284</v>
      </c>
      <c r="AV16" s="13" t="s">
        <v>65</v>
      </c>
      <c r="AW16" s="12" t="s">
        <v>287</v>
      </c>
      <c r="AX16" s="14">
        <v>0.0</v>
      </c>
      <c r="AY16" s="16" t="str">
        <f t="shared" si="2"/>
        <v>ROSOV-22</v>
      </c>
      <c r="AZ16" s="13" t="s">
        <v>69</v>
      </c>
      <c r="BA16" s="12" t="s">
        <v>288</v>
      </c>
      <c r="BB16" s="14">
        <v>0.0</v>
      </c>
      <c r="BC16" s="16" t="str">
        <f t="shared" si="3"/>
        <v>ROSOV-22</v>
      </c>
      <c r="BD16" s="13" t="s">
        <v>71</v>
      </c>
      <c r="BE16" s="5"/>
      <c r="BF16" s="5"/>
      <c r="BG16" s="5"/>
      <c r="BH16" s="5"/>
      <c r="BI16" s="5"/>
      <c r="BJ16" s="5"/>
      <c r="BK16" s="5"/>
      <c r="BL16" s="5"/>
      <c r="BM16" s="18" t="s">
        <v>289</v>
      </c>
      <c r="BN16" s="14">
        <v>0.0</v>
      </c>
      <c r="BO16" s="13" t="s">
        <v>290</v>
      </c>
      <c r="BP16" s="13" t="s">
        <v>74</v>
      </c>
      <c r="BQ16" s="18" t="s">
        <v>291</v>
      </c>
      <c r="BR16" s="19">
        <v>0.0</v>
      </c>
      <c r="BS16" s="13" t="s">
        <v>290</v>
      </c>
      <c r="BT16" s="13" t="s">
        <v>76</v>
      </c>
      <c r="BU16" s="18" t="s">
        <v>292</v>
      </c>
      <c r="BV16" s="19">
        <v>0.0</v>
      </c>
      <c r="BW16" s="13" t="s">
        <v>293</v>
      </c>
      <c r="BX16" s="13" t="s">
        <v>79</v>
      </c>
      <c r="BY16" s="18" t="s">
        <v>294</v>
      </c>
      <c r="BZ16" s="19">
        <v>0.0</v>
      </c>
      <c r="CA16" s="13" t="s">
        <v>293</v>
      </c>
      <c r="CB16" s="13" t="s">
        <v>81</v>
      </c>
      <c r="CC16" s="12" t="s">
        <v>295</v>
      </c>
      <c r="CD16" s="19">
        <v>0.0</v>
      </c>
      <c r="CE16" s="13" t="s">
        <v>296</v>
      </c>
      <c r="CF16" s="13" t="s">
        <v>84</v>
      </c>
      <c r="CG16" s="5"/>
      <c r="CH16" s="5"/>
      <c r="CI16" s="5"/>
      <c r="CJ16" s="5"/>
      <c r="CK16" s="18" t="s">
        <v>297</v>
      </c>
      <c r="CL16" s="19">
        <v>0.0</v>
      </c>
      <c r="CM16" s="16" t="str">
        <f t="shared" si="4"/>
        <v>MOV-23</v>
      </c>
      <c r="CN16" s="23" t="s">
        <v>86</v>
      </c>
      <c r="CO16" s="18" t="s">
        <v>298</v>
      </c>
      <c r="CP16" s="19">
        <v>0.0</v>
      </c>
      <c r="CQ16" s="5" t="str">
        <f t="shared" si="6"/>
        <v>MOV-32</v>
      </c>
      <c r="CR16" s="23" t="s">
        <v>272</v>
      </c>
      <c r="CS16" s="18" t="s">
        <v>299</v>
      </c>
      <c r="CT16" s="19">
        <v>0.0</v>
      </c>
      <c r="CU16" s="9" t="str">
        <f t="shared" si="5"/>
        <v>MOV-24</v>
      </c>
      <c r="CV16" s="23" t="s">
        <v>88</v>
      </c>
      <c r="CW16" s="5"/>
      <c r="CX16" s="5"/>
      <c r="CY16" s="5"/>
      <c r="CZ16" s="5"/>
      <c r="DA16" s="5"/>
      <c r="DB16" s="5"/>
      <c r="DC16" s="5"/>
      <c r="DD16" s="5"/>
    </row>
    <row r="17" ht="15.75" customHeight="1">
      <c r="A17" s="8">
        <v>1412.0</v>
      </c>
      <c r="B17" s="8" t="s">
        <v>48</v>
      </c>
      <c r="C17" s="9" t="str">
        <f t="shared" si="1"/>
        <v>TK-21_HHSD</v>
      </c>
      <c r="D17" s="22" t="s">
        <v>300</v>
      </c>
      <c r="E17" s="22" t="s">
        <v>50</v>
      </c>
      <c r="F17" s="22" t="s">
        <v>301</v>
      </c>
      <c r="G17" s="11" t="s">
        <v>52</v>
      </c>
      <c r="H17" s="8">
        <v>0.0</v>
      </c>
      <c r="I17" s="12" t="s">
        <v>302</v>
      </c>
      <c r="J17" s="5"/>
      <c r="K17" s="13" t="s">
        <v>300</v>
      </c>
      <c r="L17" s="13" t="s">
        <v>54</v>
      </c>
      <c r="M17" s="5"/>
      <c r="N17" s="5"/>
      <c r="O17" s="12"/>
      <c r="P17" s="12"/>
      <c r="Q17" s="25"/>
      <c r="R17" s="25"/>
      <c r="S17" s="12" t="s">
        <v>303</v>
      </c>
      <c r="T17" s="14">
        <v>0.0</v>
      </c>
      <c r="U17" s="12"/>
      <c r="V17" s="12"/>
      <c r="W17" s="25"/>
      <c r="X17" s="25"/>
      <c r="Y17" s="29"/>
      <c r="Z17" s="29"/>
      <c r="AA17" s="25"/>
      <c r="AB17" s="25"/>
      <c r="AC17" s="29"/>
      <c r="AD17" s="29"/>
      <c r="AE17" s="25"/>
      <c r="AF17" s="25"/>
      <c r="AG17" s="29"/>
      <c r="AH17" s="29"/>
      <c r="AI17" s="26"/>
      <c r="AJ17" s="25"/>
      <c r="AK17" s="29"/>
      <c r="AL17" s="29"/>
      <c r="AM17" s="25"/>
      <c r="AN17" s="25"/>
      <c r="AO17" s="29"/>
      <c r="AP17" s="29"/>
      <c r="AQ17" s="25"/>
      <c r="AR17" s="25"/>
      <c r="AS17" s="29"/>
      <c r="AT17" s="21"/>
      <c r="AU17" s="25"/>
      <c r="AV17" s="25"/>
      <c r="AW17" s="12"/>
      <c r="AX17" s="21"/>
      <c r="AY17" s="16" t="str">
        <f t="shared" si="2"/>
        <v/>
      </c>
      <c r="AZ17" s="25"/>
      <c r="BA17" s="12"/>
      <c r="BB17" s="12"/>
      <c r="BC17" s="16" t="str">
        <f t="shared" si="3"/>
        <v/>
      </c>
      <c r="BD17" s="25"/>
      <c r="BE17" s="5"/>
      <c r="BF17" s="5"/>
      <c r="BG17" s="5"/>
      <c r="BH17" s="5"/>
      <c r="BI17" s="5"/>
      <c r="BJ17" s="5"/>
      <c r="BK17" s="5"/>
      <c r="BL17" s="5"/>
      <c r="BM17" s="21"/>
      <c r="BN17" s="12"/>
      <c r="BO17" s="25"/>
      <c r="BP17" s="25"/>
      <c r="BQ17" s="21"/>
      <c r="BR17" s="21"/>
      <c r="BS17" s="25"/>
      <c r="BT17" s="25"/>
      <c r="BU17" s="21"/>
      <c r="BV17" s="21"/>
      <c r="BW17" s="25"/>
      <c r="BX17" s="25"/>
      <c r="BY17" s="21"/>
      <c r="BZ17" s="21"/>
      <c r="CA17" s="25"/>
      <c r="CB17" s="25"/>
      <c r="CC17" s="12"/>
      <c r="CD17" s="21"/>
      <c r="CE17" s="25"/>
      <c r="CF17" s="25"/>
      <c r="CG17" s="5"/>
      <c r="CH17" s="5"/>
      <c r="CI17" s="5"/>
      <c r="CJ17" s="5"/>
      <c r="CK17" s="21"/>
      <c r="CL17" s="21"/>
      <c r="CM17" s="16" t="str">
        <f t="shared" si="4"/>
        <v/>
      </c>
      <c r="CN17" s="5"/>
      <c r="CO17" s="21"/>
      <c r="CP17" s="21"/>
      <c r="CQ17" s="5" t="str">
        <f t="shared" si="6"/>
        <v/>
      </c>
      <c r="CR17" s="5"/>
      <c r="CS17" s="21"/>
      <c r="CT17" s="21"/>
      <c r="CU17" s="9" t="str">
        <f t="shared" si="5"/>
        <v/>
      </c>
      <c r="CV17" s="5"/>
      <c r="CW17" s="5"/>
      <c r="CX17" s="5"/>
      <c r="CY17" s="5"/>
      <c r="CZ17" s="5"/>
      <c r="DA17" s="5"/>
      <c r="DB17" s="5"/>
      <c r="DC17" s="5"/>
      <c r="DD17" s="5"/>
    </row>
    <row r="18" ht="15.75" customHeight="1">
      <c r="A18" s="8">
        <v>1412.0</v>
      </c>
      <c r="B18" s="8" t="s">
        <v>48</v>
      </c>
      <c r="C18" s="9" t="str">
        <f t="shared" si="1"/>
        <v>TK-22_HHSD</v>
      </c>
      <c r="D18" s="22" t="s">
        <v>304</v>
      </c>
      <c r="E18" s="22" t="s">
        <v>50</v>
      </c>
      <c r="F18" s="22" t="s">
        <v>301</v>
      </c>
      <c r="G18" s="11" t="s">
        <v>52</v>
      </c>
      <c r="H18" s="8">
        <v>0.0</v>
      </c>
      <c r="I18" s="12" t="s">
        <v>305</v>
      </c>
      <c r="J18" s="5"/>
      <c r="K18" s="13" t="s">
        <v>304</v>
      </c>
      <c r="L18" s="13" t="s">
        <v>54</v>
      </c>
      <c r="M18" s="5"/>
      <c r="N18" s="5"/>
      <c r="O18" s="12"/>
      <c r="P18" s="12"/>
      <c r="Q18" s="25"/>
      <c r="R18" s="25"/>
      <c r="S18" s="12" t="s">
        <v>306</v>
      </c>
      <c r="T18" s="14">
        <v>0.0</v>
      </c>
      <c r="U18" s="12"/>
      <c r="V18" s="12"/>
      <c r="W18" s="25"/>
      <c r="X18" s="25"/>
      <c r="Y18" s="29"/>
      <c r="Z18" s="29"/>
      <c r="AA18" s="25"/>
      <c r="AB18" s="25"/>
      <c r="AC18" s="29"/>
      <c r="AD18" s="29"/>
      <c r="AE18" s="25"/>
      <c r="AF18" s="25"/>
      <c r="AG18" s="29"/>
      <c r="AH18" s="29"/>
      <c r="AI18" s="26"/>
      <c r="AJ18" s="25"/>
      <c r="AK18" s="29"/>
      <c r="AL18" s="29"/>
      <c r="AM18" s="25"/>
      <c r="AN18" s="25"/>
      <c r="AO18" s="29"/>
      <c r="AP18" s="29"/>
      <c r="AQ18" s="25"/>
      <c r="AR18" s="25"/>
      <c r="AS18" s="29"/>
      <c r="AT18" s="21"/>
      <c r="AU18" s="25"/>
      <c r="AV18" s="25"/>
      <c r="AW18" s="12"/>
      <c r="AX18" s="21"/>
      <c r="AY18" s="16" t="str">
        <f t="shared" si="2"/>
        <v/>
      </c>
      <c r="AZ18" s="25"/>
      <c r="BA18" s="12"/>
      <c r="BB18" s="12"/>
      <c r="BC18" s="16" t="str">
        <f t="shared" si="3"/>
        <v/>
      </c>
      <c r="BD18" s="25"/>
      <c r="BE18" s="5"/>
      <c r="BF18" s="5"/>
      <c r="BG18" s="5"/>
      <c r="BH18" s="5"/>
      <c r="BI18" s="5"/>
      <c r="BJ18" s="5"/>
      <c r="BK18" s="5"/>
      <c r="BL18" s="5"/>
      <c r="BM18" s="21"/>
      <c r="BN18" s="12"/>
      <c r="BO18" s="25"/>
      <c r="BP18" s="25"/>
      <c r="BQ18" s="21"/>
      <c r="BR18" s="21"/>
      <c r="BS18" s="25"/>
      <c r="BT18" s="25"/>
      <c r="BU18" s="21"/>
      <c r="BV18" s="21"/>
      <c r="BW18" s="25"/>
      <c r="BX18" s="25"/>
      <c r="BY18" s="21"/>
      <c r="BZ18" s="21"/>
      <c r="CA18" s="25"/>
      <c r="CB18" s="25"/>
      <c r="CC18" s="12"/>
      <c r="CD18" s="21"/>
      <c r="CE18" s="25"/>
      <c r="CF18" s="25"/>
      <c r="CG18" s="5"/>
      <c r="CH18" s="5"/>
      <c r="CI18" s="5"/>
      <c r="CJ18" s="5"/>
      <c r="CK18" s="21"/>
      <c r="CL18" s="21"/>
      <c r="CM18" s="16" t="str">
        <f t="shared" si="4"/>
        <v/>
      </c>
      <c r="CN18" s="5"/>
      <c r="CO18" s="21"/>
      <c r="CP18" s="21"/>
      <c r="CQ18" s="5" t="str">
        <f t="shared" si="6"/>
        <v/>
      </c>
      <c r="CR18" s="5"/>
      <c r="CS18" s="21"/>
      <c r="CT18" s="21"/>
      <c r="CU18" s="9" t="str">
        <f t="shared" si="5"/>
        <v/>
      </c>
      <c r="CV18" s="5"/>
      <c r="CW18" s="5"/>
      <c r="CX18" s="5"/>
      <c r="CY18" s="5"/>
      <c r="CZ18" s="5"/>
      <c r="DA18" s="5"/>
      <c r="DB18" s="5"/>
      <c r="DC18" s="5"/>
      <c r="DD18" s="5"/>
    </row>
    <row r="19" ht="15.75" customHeight="1">
      <c r="A19" s="8">
        <v>1412.0</v>
      </c>
      <c r="B19" s="8" t="s">
        <v>48</v>
      </c>
      <c r="C19" s="9" t="str">
        <f t="shared" si="1"/>
        <v>TK-23_FO</v>
      </c>
      <c r="D19" s="22" t="s">
        <v>307</v>
      </c>
      <c r="E19" s="22" t="s">
        <v>50</v>
      </c>
      <c r="F19" s="22" t="s">
        <v>308</v>
      </c>
      <c r="G19" s="11" t="s">
        <v>52</v>
      </c>
      <c r="H19" s="8">
        <v>0.0</v>
      </c>
      <c r="I19" s="12" t="s">
        <v>309</v>
      </c>
      <c r="J19" s="5"/>
      <c r="K19" s="13" t="s">
        <v>307</v>
      </c>
      <c r="L19" s="13" t="s">
        <v>54</v>
      </c>
      <c r="M19" s="5"/>
      <c r="N19" s="5"/>
      <c r="O19" s="12"/>
      <c r="P19" s="12"/>
      <c r="Q19" s="25"/>
      <c r="R19" s="25"/>
      <c r="S19" s="12" t="s">
        <v>310</v>
      </c>
      <c r="T19" s="14">
        <v>0.0</v>
      </c>
      <c r="U19" s="12"/>
      <c r="V19" s="12"/>
      <c r="W19" s="25"/>
      <c r="X19" s="25"/>
      <c r="Y19" s="29"/>
      <c r="Z19" s="29"/>
      <c r="AA19" s="25"/>
      <c r="AB19" s="25"/>
      <c r="AC19" s="29"/>
      <c r="AD19" s="29"/>
      <c r="AE19" s="25"/>
      <c r="AF19" s="25"/>
      <c r="AG19" s="29"/>
      <c r="AH19" s="29"/>
      <c r="AI19" s="26"/>
      <c r="AJ19" s="25"/>
      <c r="AK19" s="29"/>
      <c r="AL19" s="29"/>
      <c r="AM19" s="25"/>
      <c r="AN19" s="25"/>
      <c r="AO19" s="29"/>
      <c r="AP19" s="29"/>
      <c r="AQ19" s="25"/>
      <c r="AR19" s="25"/>
      <c r="AS19" s="29"/>
      <c r="AT19" s="21"/>
      <c r="AU19" s="25"/>
      <c r="AV19" s="25"/>
      <c r="AW19" s="12"/>
      <c r="AX19" s="21"/>
      <c r="AY19" s="16" t="str">
        <f t="shared" si="2"/>
        <v/>
      </c>
      <c r="AZ19" s="25"/>
      <c r="BA19" s="12"/>
      <c r="BB19" s="12"/>
      <c r="BC19" s="16" t="str">
        <f t="shared" si="3"/>
        <v/>
      </c>
      <c r="BD19" s="25"/>
      <c r="BE19" s="5"/>
      <c r="BF19" s="5"/>
      <c r="BG19" s="5"/>
      <c r="BH19" s="5"/>
      <c r="BI19" s="5"/>
      <c r="BJ19" s="5"/>
      <c r="BK19" s="5"/>
      <c r="BL19" s="5"/>
      <c r="BM19" s="21"/>
      <c r="BN19" s="12"/>
      <c r="BO19" s="25"/>
      <c r="BP19" s="25"/>
      <c r="BQ19" s="21"/>
      <c r="BR19" s="21"/>
      <c r="BS19" s="25"/>
      <c r="BT19" s="25"/>
      <c r="BU19" s="21"/>
      <c r="BV19" s="21"/>
      <c r="BW19" s="25"/>
      <c r="BX19" s="25"/>
      <c r="BY19" s="21"/>
      <c r="BZ19" s="21"/>
      <c r="CA19" s="25"/>
      <c r="CB19" s="25"/>
      <c r="CC19" s="12"/>
      <c r="CD19" s="21"/>
      <c r="CE19" s="25"/>
      <c r="CF19" s="25"/>
      <c r="CG19" s="5"/>
      <c r="CH19" s="5"/>
      <c r="CI19" s="5"/>
      <c r="CJ19" s="5"/>
      <c r="CK19" s="21"/>
      <c r="CL19" s="21"/>
      <c r="CM19" s="16" t="str">
        <f t="shared" si="4"/>
        <v/>
      </c>
      <c r="CN19" s="5"/>
      <c r="CO19" s="21"/>
      <c r="CP19" s="21"/>
      <c r="CQ19" s="5" t="str">
        <f t="shared" si="6"/>
        <v/>
      </c>
      <c r="CR19" s="5"/>
      <c r="CS19" s="21"/>
      <c r="CT19" s="21"/>
      <c r="CU19" s="9" t="str">
        <f t="shared" si="5"/>
        <v/>
      </c>
      <c r="CV19" s="5"/>
      <c r="CW19" s="5"/>
      <c r="CX19" s="5"/>
      <c r="CY19" s="5"/>
      <c r="CZ19" s="5"/>
      <c r="DA19" s="5"/>
      <c r="DB19" s="5"/>
      <c r="DC19" s="5"/>
      <c r="DD19" s="5"/>
    </row>
    <row r="20" ht="15.75" customHeight="1">
      <c r="A20" s="8">
        <v>1412.0</v>
      </c>
      <c r="B20" s="8" t="s">
        <v>48</v>
      </c>
      <c r="C20" s="9" t="str">
        <f t="shared" si="1"/>
        <v>TK-24_BS VI MS</v>
      </c>
      <c r="D20" s="22" t="s">
        <v>311</v>
      </c>
      <c r="E20" s="22" t="s">
        <v>50</v>
      </c>
      <c r="F20" s="22" t="s">
        <v>227</v>
      </c>
      <c r="G20" s="11" t="s">
        <v>52</v>
      </c>
      <c r="H20" s="8">
        <v>0.0</v>
      </c>
      <c r="I20" s="12" t="s">
        <v>312</v>
      </c>
      <c r="J20" s="5"/>
      <c r="K20" s="13" t="s">
        <v>311</v>
      </c>
      <c r="L20" s="13" t="s">
        <v>54</v>
      </c>
      <c r="M20" s="5"/>
      <c r="N20" s="5"/>
      <c r="O20" s="12" t="s">
        <v>313</v>
      </c>
      <c r="P20" s="14">
        <v>0.0</v>
      </c>
      <c r="Q20" s="13" t="s">
        <v>311</v>
      </c>
      <c r="R20" s="13" t="s">
        <v>54</v>
      </c>
      <c r="S20" s="12" t="s">
        <v>314</v>
      </c>
      <c r="T20" s="14">
        <v>0.0</v>
      </c>
      <c r="U20" s="12" t="s">
        <v>315</v>
      </c>
      <c r="V20" s="14">
        <v>0.0</v>
      </c>
      <c r="W20" s="13" t="s">
        <v>311</v>
      </c>
      <c r="X20" s="13" t="s">
        <v>54</v>
      </c>
      <c r="Y20" s="27" t="s">
        <v>316</v>
      </c>
      <c r="Z20" s="28">
        <v>0.0</v>
      </c>
      <c r="AA20" s="13" t="s">
        <v>317</v>
      </c>
      <c r="AB20" s="13" t="s">
        <v>60</v>
      </c>
      <c r="AC20" s="27" t="s">
        <v>318</v>
      </c>
      <c r="AD20" s="28">
        <v>0.0</v>
      </c>
      <c r="AE20" s="13" t="s">
        <v>317</v>
      </c>
      <c r="AF20" s="13" t="s">
        <v>60</v>
      </c>
      <c r="AG20" s="27" t="s">
        <v>319</v>
      </c>
      <c r="AH20" s="28">
        <v>0.0</v>
      </c>
      <c r="AI20" s="15" t="s">
        <v>317</v>
      </c>
      <c r="AJ20" s="13" t="s">
        <v>60</v>
      </c>
      <c r="AK20" s="27" t="s">
        <v>320</v>
      </c>
      <c r="AL20" s="28">
        <v>0.0</v>
      </c>
      <c r="AM20" s="13" t="s">
        <v>321</v>
      </c>
      <c r="AN20" s="13" t="s">
        <v>65</v>
      </c>
      <c r="AO20" s="27" t="s">
        <v>322</v>
      </c>
      <c r="AP20" s="28">
        <v>0.0</v>
      </c>
      <c r="AQ20" s="13" t="s">
        <v>321</v>
      </c>
      <c r="AR20" s="13" t="s">
        <v>65</v>
      </c>
      <c r="AS20" s="27" t="s">
        <v>323</v>
      </c>
      <c r="AT20" s="14">
        <v>0.0</v>
      </c>
      <c r="AU20" s="13" t="s">
        <v>321</v>
      </c>
      <c r="AV20" s="13" t="s">
        <v>65</v>
      </c>
      <c r="AW20" s="12" t="s">
        <v>324</v>
      </c>
      <c r="AX20" s="14">
        <v>0.0</v>
      </c>
      <c r="AY20" s="16" t="str">
        <f t="shared" si="2"/>
        <v>ROSOV-25</v>
      </c>
      <c r="AZ20" s="13" t="s">
        <v>69</v>
      </c>
      <c r="BA20" s="12" t="s">
        <v>325</v>
      </c>
      <c r="BB20" s="14">
        <v>0.0</v>
      </c>
      <c r="BC20" s="16" t="str">
        <f t="shared" si="3"/>
        <v>ROSOV-25</v>
      </c>
      <c r="BD20" s="13" t="s">
        <v>71</v>
      </c>
      <c r="BE20" s="5"/>
      <c r="BF20" s="5"/>
      <c r="BG20" s="5"/>
      <c r="BH20" s="5"/>
      <c r="BI20" s="5"/>
      <c r="BJ20" s="5"/>
      <c r="BK20" s="5"/>
      <c r="BL20" s="5"/>
      <c r="BM20" s="18" t="s">
        <v>326</v>
      </c>
      <c r="BN20" s="14">
        <v>0.0</v>
      </c>
      <c r="BO20" s="13" t="s">
        <v>327</v>
      </c>
      <c r="BP20" s="13" t="s">
        <v>74</v>
      </c>
      <c r="BQ20" s="18" t="s">
        <v>328</v>
      </c>
      <c r="BR20" s="19">
        <v>0.0</v>
      </c>
      <c r="BS20" s="13" t="s">
        <v>327</v>
      </c>
      <c r="BT20" s="13" t="s">
        <v>76</v>
      </c>
      <c r="BU20" s="18" t="s">
        <v>329</v>
      </c>
      <c r="BV20" s="19">
        <v>0.0</v>
      </c>
      <c r="BW20" s="13" t="s">
        <v>330</v>
      </c>
      <c r="BX20" s="13" t="s">
        <v>79</v>
      </c>
      <c r="BY20" s="18" t="s">
        <v>331</v>
      </c>
      <c r="BZ20" s="19">
        <v>0.0</v>
      </c>
      <c r="CA20" s="13" t="s">
        <v>330</v>
      </c>
      <c r="CB20" s="13" t="s">
        <v>81</v>
      </c>
      <c r="CC20" s="12" t="s">
        <v>332</v>
      </c>
      <c r="CD20" s="19">
        <v>0.0</v>
      </c>
      <c r="CE20" s="13" t="s">
        <v>333</v>
      </c>
      <c r="CF20" s="13" t="s">
        <v>84</v>
      </c>
      <c r="CG20" s="5"/>
      <c r="CH20" s="5"/>
      <c r="CI20" s="5"/>
      <c r="CJ20" s="5"/>
      <c r="CK20" s="18" t="s">
        <v>334</v>
      </c>
      <c r="CL20" s="19">
        <v>0.0</v>
      </c>
      <c r="CM20" s="16" t="str">
        <f t="shared" si="4"/>
        <v>MOV-26</v>
      </c>
      <c r="CN20" s="23" t="s">
        <v>86</v>
      </c>
      <c r="CO20" s="18" t="s">
        <v>335</v>
      </c>
      <c r="CP20" s="19">
        <v>0.0</v>
      </c>
      <c r="CQ20" s="5" t="str">
        <f t="shared" si="6"/>
        <v>MOV-33</v>
      </c>
      <c r="CR20" s="23" t="s">
        <v>336</v>
      </c>
      <c r="CS20" s="18" t="s">
        <v>337</v>
      </c>
      <c r="CT20" s="19">
        <v>0.0</v>
      </c>
      <c r="CU20" s="9" t="str">
        <f t="shared" si="5"/>
        <v>MOV-27</v>
      </c>
      <c r="CV20" s="23" t="s">
        <v>88</v>
      </c>
      <c r="CW20" s="5"/>
      <c r="CX20" s="5"/>
      <c r="CY20" s="5"/>
      <c r="CZ20" s="5"/>
      <c r="DA20" s="5"/>
      <c r="DB20" s="5"/>
      <c r="DC20" s="5"/>
      <c r="DD20" s="5"/>
    </row>
    <row r="21" ht="15.75" customHeight="1">
      <c r="A21" s="8">
        <v>1412.0</v>
      </c>
      <c r="B21" s="8" t="s">
        <v>48</v>
      </c>
      <c r="C21" s="9" t="str">
        <f t="shared" si="1"/>
        <v>TK-25_BS VI MS</v>
      </c>
      <c r="D21" s="22" t="s">
        <v>338</v>
      </c>
      <c r="E21" s="22" t="s">
        <v>50</v>
      </c>
      <c r="F21" s="22" t="s">
        <v>227</v>
      </c>
      <c r="G21" s="11" t="s">
        <v>52</v>
      </c>
      <c r="H21" s="8">
        <v>0.0</v>
      </c>
      <c r="I21" s="12" t="s">
        <v>339</v>
      </c>
      <c r="J21" s="5"/>
      <c r="K21" s="13" t="s">
        <v>338</v>
      </c>
      <c r="L21" s="13" t="s">
        <v>54</v>
      </c>
      <c r="M21" s="5"/>
      <c r="N21" s="5"/>
      <c r="O21" s="12" t="s">
        <v>340</v>
      </c>
      <c r="P21" s="14">
        <v>0.0</v>
      </c>
      <c r="Q21" s="13" t="s">
        <v>338</v>
      </c>
      <c r="R21" s="13" t="s">
        <v>54</v>
      </c>
      <c r="S21" s="12" t="s">
        <v>341</v>
      </c>
      <c r="T21" s="14">
        <v>0.0</v>
      </c>
      <c r="U21" s="12" t="s">
        <v>342</v>
      </c>
      <c r="V21" s="14">
        <v>0.0</v>
      </c>
      <c r="W21" s="13" t="s">
        <v>338</v>
      </c>
      <c r="X21" s="13" t="s">
        <v>54</v>
      </c>
      <c r="Y21" s="27" t="s">
        <v>343</v>
      </c>
      <c r="Z21" s="28">
        <v>0.0</v>
      </c>
      <c r="AA21" s="13" t="s">
        <v>344</v>
      </c>
      <c r="AB21" s="13" t="s">
        <v>60</v>
      </c>
      <c r="AC21" s="27" t="s">
        <v>345</v>
      </c>
      <c r="AD21" s="28">
        <v>0.0</v>
      </c>
      <c r="AE21" s="13" t="s">
        <v>344</v>
      </c>
      <c r="AF21" s="13" t="s">
        <v>60</v>
      </c>
      <c r="AG21" s="27" t="s">
        <v>346</v>
      </c>
      <c r="AH21" s="28">
        <v>0.0</v>
      </c>
      <c r="AI21" s="15" t="s">
        <v>344</v>
      </c>
      <c r="AJ21" s="13" t="s">
        <v>60</v>
      </c>
      <c r="AK21" s="27" t="s">
        <v>347</v>
      </c>
      <c r="AL21" s="28">
        <v>0.0</v>
      </c>
      <c r="AM21" s="13" t="s">
        <v>348</v>
      </c>
      <c r="AN21" s="13" t="s">
        <v>65</v>
      </c>
      <c r="AO21" s="27" t="s">
        <v>349</v>
      </c>
      <c r="AP21" s="28">
        <v>0.0</v>
      </c>
      <c r="AQ21" s="13" t="s">
        <v>348</v>
      </c>
      <c r="AR21" s="13" t="s">
        <v>65</v>
      </c>
      <c r="AS21" s="27" t="s">
        <v>350</v>
      </c>
      <c r="AT21" s="14">
        <v>0.0</v>
      </c>
      <c r="AU21" s="13" t="s">
        <v>348</v>
      </c>
      <c r="AV21" s="13" t="s">
        <v>65</v>
      </c>
      <c r="AW21" s="12" t="s">
        <v>351</v>
      </c>
      <c r="AX21" s="14">
        <v>0.0</v>
      </c>
      <c r="AY21" s="16" t="str">
        <f t="shared" si="2"/>
        <v>ROSOV-28</v>
      </c>
      <c r="AZ21" s="13" t="s">
        <v>69</v>
      </c>
      <c r="BA21" s="12" t="s">
        <v>352</v>
      </c>
      <c r="BB21" s="14">
        <v>0.0</v>
      </c>
      <c r="BC21" s="16" t="str">
        <f t="shared" si="3"/>
        <v>ROSOV-28</v>
      </c>
      <c r="BD21" s="13" t="s">
        <v>71</v>
      </c>
      <c r="BE21" s="5"/>
      <c r="BF21" s="5"/>
      <c r="BG21" s="5"/>
      <c r="BH21" s="5"/>
      <c r="BI21" s="5"/>
      <c r="BJ21" s="5"/>
      <c r="BK21" s="5"/>
      <c r="BL21" s="5"/>
      <c r="BM21" s="18" t="s">
        <v>353</v>
      </c>
      <c r="BN21" s="14">
        <v>0.0</v>
      </c>
      <c r="BO21" s="13" t="s">
        <v>354</v>
      </c>
      <c r="BP21" s="13" t="s">
        <v>74</v>
      </c>
      <c r="BQ21" s="18" t="s">
        <v>355</v>
      </c>
      <c r="BR21" s="19">
        <v>0.0</v>
      </c>
      <c r="BS21" s="13" t="s">
        <v>354</v>
      </c>
      <c r="BT21" s="13" t="s">
        <v>76</v>
      </c>
      <c r="BU21" s="18" t="s">
        <v>356</v>
      </c>
      <c r="BV21" s="19">
        <v>0.0</v>
      </c>
      <c r="BW21" s="13" t="s">
        <v>357</v>
      </c>
      <c r="BX21" s="13" t="s">
        <v>79</v>
      </c>
      <c r="BY21" s="18" t="s">
        <v>358</v>
      </c>
      <c r="BZ21" s="19">
        <v>0.0</v>
      </c>
      <c r="CA21" s="13" t="s">
        <v>357</v>
      </c>
      <c r="CB21" s="13" t="s">
        <v>81</v>
      </c>
      <c r="CC21" s="12" t="s">
        <v>359</v>
      </c>
      <c r="CD21" s="19">
        <v>0.0</v>
      </c>
      <c r="CE21" s="13" t="s">
        <v>360</v>
      </c>
      <c r="CF21" s="13" t="s">
        <v>84</v>
      </c>
      <c r="CG21" s="5"/>
      <c r="CH21" s="5"/>
      <c r="CI21" s="5"/>
      <c r="CJ21" s="5"/>
      <c r="CK21" s="18" t="s">
        <v>361</v>
      </c>
      <c r="CL21" s="19">
        <v>0.0</v>
      </c>
      <c r="CM21" s="16" t="str">
        <f t="shared" si="4"/>
        <v>MOV-29</v>
      </c>
      <c r="CN21" s="23" t="s">
        <v>86</v>
      </c>
      <c r="CO21" s="18" t="s">
        <v>362</v>
      </c>
      <c r="CP21" s="19">
        <v>0.0</v>
      </c>
      <c r="CQ21" s="5" t="str">
        <f t="shared" si="6"/>
        <v>MOV-34</v>
      </c>
      <c r="CR21" s="23" t="s">
        <v>363</v>
      </c>
      <c r="CS21" s="18" t="s">
        <v>364</v>
      </c>
      <c r="CT21" s="19">
        <v>0.0</v>
      </c>
      <c r="CU21" s="9" t="str">
        <f t="shared" si="5"/>
        <v>MOV-30</v>
      </c>
      <c r="CV21" s="23" t="s">
        <v>88</v>
      </c>
      <c r="CW21" s="5"/>
      <c r="CX21" s="5"/>
      <c r="CY21" s="5"/>
      <c r="CZ21" s="5"/>
      <c r="DA21" s="5"/>
      <c r="DB21" s="5"/>
      <c r="DC21" s="5"/>
      <c r="DD21" s="5"/>
    </row>
    <row r="22" ht="15.75" customHeight="1"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1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2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</row>
    <row r="23" ht="15.75" customHeight="1"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3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2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</row>
    <row r="24" ht="15.75" customHeight="1"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3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2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</row>
    <row r="25" ht="15.75" customHeight="1"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3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2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</row>
    <row r="26" ht="15.75" customHeight="1"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3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2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</row>
    <row r="27" ht="15.75" customHeight="1"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3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2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</row>
    <row r="28" ht="15.75" customHeight="1"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3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2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</row>
    <row r="29" ht="15.75" customHeight="1"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3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2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</row>
    <row r="30" ht="15.75" customHeight="1"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3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2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</row>
    <row r="31" ht="15.75" customHeight="1"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3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2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</row>
    <row r="32" ht="15.75" customHeight="1"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3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2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</row>
    <row r="33" ht="15.75" customHeight="1"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3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2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</row>
    <row r="34" ht="15.75" customHeight="1"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3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2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</row>
    <row r="35" ht="15.75" customHeight="1"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3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2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</row>
    <row r="36" ht="15.75" customHeight="1"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3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2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</row>
    <row r="37" ht="15.75" customHeight="1"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3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2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</row>
    <row r="38" ht="15.75" customHeight="1"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3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2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</row>
    <row r="39" ht="15.75" customHeight="1"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3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2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</row>
    <row r="40" ht="15.75" customHeight="1"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3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2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</row>
    <row r="41" ht="15.75" customHeight="1"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3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2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</row>
    <row r="42" ht="15.75" customHeight="1"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3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2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</row>
    <row r="43" ht="15.75" customHeight="1"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3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2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</row>
    <row r="44" ht="15.75" customHeight="1"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3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2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</row>
    <row r="45" ht="15.75" customHeight="1"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3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2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</row>
    <row r="46" ht="15.75" customHeight="1"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3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2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</row>
    <row r="47" ht="15.75" customHeight="1"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3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2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</row>
    <row r="48" ht="15.75" customHeight="1"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3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2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</row>
    <row r="49" ht="15.75" customHeight="1"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3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2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</row>
    <row r="50" ht="15.75" customHeight="1"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3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2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</row>
    <row r="51" ht="15.75" customHeight="1"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3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2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</row>
    <row r="52" ht="15.75" customHeight="1"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3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2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</row>
    <row r="53" ht="15.75" customHeight="1"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3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2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</row>
    <row r="54" ht="15.75" customHeight="1"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3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2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</row>
    <row r="55" ht="15.75" customHeight="1"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3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2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</row>
    <row r="56" ht="15.75" customHeight="1"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3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2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</row>
    <row r="57" ht="15.75" customHeight="1"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3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2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</row>
    <row r="58" ht="15.75" customHeight="1"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3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2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</row>
    <row r="59" ht="15.75" customHeight="1"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3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2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</row>
    <row r="60" ht="15.75" customHeight="1"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3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2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</row>
    <row r="61" ht="15.75" customHeight="1"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3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2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</row>
    <row r="62" ht="15.75" customHeight="1"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3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2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</row>
    <row r="63" ht="15.75" customHeight="1"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3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2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</row>
    <row r="64" ht="15.75" customHeight="1"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3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2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</row>
    <row r="65" ht="15.75" customHeight="1"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3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2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</row>
    <row r="66" ht="15.75" customHeight="1"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3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2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</row>
    <row r="67" ht="15.75" customHeight="1"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3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2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</row>
    <row r="68" ht="15.75" customHeight="1"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3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2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</row>
    <row r="69" ht="15.75" customHeight="1"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3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2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</row>
    <row r="70" ht="15.75" customHeight="1"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3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2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</row>
    <row r="71" ht="15.75" customHeight="1"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3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2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</row>
    <row r="72" ht="15.75" customHeight="1"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3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2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</row>
    <row r="73" ht="15.75" customHeight="1"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3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2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</row>
    <row r="74" ht="15.75" customHeight="1"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3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2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</row>
    <row r="75" ht="15.75" customHeight="1"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3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2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</row>
    <row r="76" ht="15.75" customHeight="1"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3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2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</row>
    <row r="77" ht="15.75" customHeight="1"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3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2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</row>
    <row r="78" ht="15.75" customHeight="1"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3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2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</row>
    <row r="79" ht="15.75" customHeight="1"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3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2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</row>
    <row r="80" ht="15.75" customHeight="1"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3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2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</row>
    <row r="81" ht="15.75" customHeight="1"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3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2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</row>
    <row r="82" ht="15.75" customHeight="1"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3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2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</row>
    <row r="83" ht="15.75" customHeight="1"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3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2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</row>
    <row r="84" ht="15.75" customHeight="1"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3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2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</row>
    <row r="85" ht="15.75" customHeight="1"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3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2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</row>
    <row r="86" ht="15.75" customHeight="1"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3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2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</row>
    <row r="87" ht="15.75" customHeight="1"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3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2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</row>
    <row r="88" ht="15.75" customHeight="1"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3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2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</row>
    <row r="89" ht="15.75" customHeight="1"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3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2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</row>
    <row r="90" ht="15.75" customHeight="1"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3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2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</row>
    <row r="91" ht="15.75" customHeight="1"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3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2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</row>
    <row r="92" ht="15.75" customHeight="1"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3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2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</row>
    <row r="93" ht="15.75" customHeight="1"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3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2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</row>
    <row r="94" ht="15.75" customHeight="1"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3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2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</row>
    <row r="95" ht="15.75" customHeight="1"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2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</row>
    <row r="96" ht="15.75" customHeight="1"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3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2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</row>
    <row r="97" ht="15.75" customHeight="1"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3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2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</row>
    <row r="98" ht="15.75" customHeight="1"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3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2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</row>
    <row r="99" ht="15.75" customHeight="1"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3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2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</row>
    <row r="100" ht="15.75" customHeight="1"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3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2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</row>
    <row r="101" ht="15.75" customHeight="1"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3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2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</row>
    <row r="102" ht="15.75" customHeight="1"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3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2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</row>
    <row r="103" ht="15.75" customHeight="1"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3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2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</row>
    <row r="104" ht="15.75" customHeight="1"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3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2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</row>
    <row r="105" ht="15.75" customHeight="1"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3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2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</row>
    <row r="106" ht="15.75" customHeight="1"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3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2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</row>
    <row r="107" ht="15.75" customHeight="1"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3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2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</row>
    <row r="108" ht="15.75" customHeight="1"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3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2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</row>
    <row r="109" ht="15.75" customHeight="1"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3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2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</row>
    <row r="110" ht="15.75" customHeight="1"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3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2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</row>
    <row r="111" ht="15.75" customHeight="1"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3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2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</row>
    <row r="112" ht="15.75" customHeight="1"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3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2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</row>
    <row r="113" ht="15.75" customHeight="1"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3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2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</row>
    <row r="114" ht="15.75" customHeight="1"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3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2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</row>
    <row r="115" ht="15.75" customHeight="1"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3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2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</row>
    <row r="116" ht="15.75" customHeight="1"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3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2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</row>
    <row r="117" ht="15.75" customHeight="1"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3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2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</row>
    <row r="118" ht="15.75" customHeight="1"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3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2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</row>
    <row r="119" ht="15.75" customHeight="1"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3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2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</row>
    <row r="120" ht="15.75" customHeight="1"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3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2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</row>
    <row r="121" ht="15.75" customHeight="1"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3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2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</row>
    <row r="122" ht="15.75" customHeight="1"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3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2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</row>
    <row r="123" ht="15.75" customHeight="1"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3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2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</row>
    <row r="124" ht="15.75" customHeight="1"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3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2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</row>
    <row r="125" ht="15.75" customHeight="1"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3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2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</row>
    <row r="126" ht="15.75" customHeight="1"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3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2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</row>
    <row r="127" ht="15.75" customHeight="1"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3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2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</row>
    <row r="128" ht="15.75" customHeight="1"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3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2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</row>
    <row r="129" ht="15.75" customHeight="1"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3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2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</row>
    <row r="130" ht="15.75" customHeight="1"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3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2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</row>
    <row r="131" ht="15.75" customHeight="1"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3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2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</row>
    <row r="132" ht="15.75" customHeight="1"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3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2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</row>
    <row r="133" ht="15.75" customHeight="1"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3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2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</row>
    <row r="134" ht="15.75" customHeight="1"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3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2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</row>
    <row r="135" ht="15.75" customHeight="1"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3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2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</row>
    <row r="136" ht="15.75" customHeight="1"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3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2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</row>
    <row r="137" ht="15.75" customHeight="1"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3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2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</row>
    <row r="138" ht="15.75" customHeight="1"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3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2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</row>
    <row r="139" ht="15.75" customHeight="1"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3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2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</row>
    <row r="140" ht="15.75" customHeight="1"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3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2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</row>
    <row r="141" ht="15.75" customHeight="1"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3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2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</row>
    <row r="142" ht="15.75" customHeight="1"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3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2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</row>
    <row r="143" ht="15.75" customHeight="1"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3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2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</row>
    <row r="144" ht="15.75" customHeight="1"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3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2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</row>
    <row r="145" ht="15.75" customHeight="1"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3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2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</row>
    <row r="146" ht="15.75" customHeight="1"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3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2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</row>
    <row r="147" ht="15.75" customHeight="1"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3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2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</row>
    <row r="148" ht="15.75" customHeight="1"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3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2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</row>
    <row r="149" ht="15.75" customHeight="1"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3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2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</row>
    <row r="150" ht="15.75" customHeight="1"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3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2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</row>
    <row r="151" ht="15.75" customHeight="1"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3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2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</row>
    <row r="152" ht="15.75" customHeight="1"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3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2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</row>
    <row r="153" ht="15.75" customHeight="1"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3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2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</row>
    <row r="154" ht="15.75" customHeight="1"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3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2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</row>
    <row r="155" ht="15.75" customHeight="1"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3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2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</row>
    <row r="156" ht="15.75" customHeight="1"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3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2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</row>
    <row r="157" ht="15.75" customHeight="1"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3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2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</row>
    <row r="158" ht="15.75" customHeight="1"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3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2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</row>
    <row r="159" ht="15.75" customHeight="1"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3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2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</row>
    <row r="160" ht="15.75" customHeight="1"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3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2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</row>
    <row r="161" ht="15.75" customHeight="1"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3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2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</row>
    <row r="162" ht="15.75" customHeight="1"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3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2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</row>
    <row r="163" ht="15.75" customHeight="1"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3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2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</row>
    <row r="164" ht="15.75" customHeight="1"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3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2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</row>
    <row r="165" ht="15.75" customHeight="1"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3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2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</row>
    <row r="166" ht="15.75" customHeight="1"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3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2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</row>
    <row r="167" ht="15.75" customHeight="1"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3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2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</row>
    <row r="168" ht="15.75" customHeight="1"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3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2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</row>
    <row r="169" ht="15.75" customHeight="1"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3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2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</row>
    <row r="170" ht="15.75" customHeight="1"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3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2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</row>
    <row r="171" ht="15.75" customHeight="1"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3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2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</row>
    <row r="172" ht="15.75" customHeight="1"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3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2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</row>
    <row r="173" ht="15.75" customHeight="1"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3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2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</row>
    <row r="174" ht="15.75" customHeight="1"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3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2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</row>
    <row r="175" ht="15.75" customHeight="1"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3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2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</row>
    <row r="176" ht="15.75" customHeight="1"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3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2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</row>
    <row r="177" ht="15.75" customHeight="1"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3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2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</row>
    <row r="178" ht="15.75" customHeight="1"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3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2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</row>
    <row r="179" ht="15.75" customHeight="1"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3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2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</row>
    <row r="180" ht="15.75" customHeight="1"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3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2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</row>
    <row r="181" ht="15.75" customHeight="1"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3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2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</row>
    <row r="182" ht="15.75" customHeight="1"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3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2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</row>
    <row r="183" ht="15.75" customHeight="1"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3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2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</row>
    <row r="184" ht="15.75" customHeight="1"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3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2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</row>
    <row r="185" ht="15.75" customHeight="1"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3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2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</row>
    <row r="186" ht="15.75" customHeight="1"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3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2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</row>
    <row r="187" ht="15.75" customHeight="1"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3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2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</row>
    <row r="188" ht="15.75" customHeight="1"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3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2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</row>
    <row r="189" ht="15.75" customHeight="1">
      <c r="S189" s="33"/>
      <c r="AI189" s="34"/>
    </row>
    <row r="190" ht="15.75" customHeight="1">
      <c r="S190" s="33"/>
      <c r="AI190" s="34"/>
    </row>
    <row r="191" ht="15.75" customHeight="1">
      <c r="S191" s="33"/>
      <c r="AI191" s="34"/>
    </row>
    <row r="192" ht="15.75" customHeight="1">
      <c r="S192" s="33"/>
      <c r="AI192" s="34"/>
    </row>
    <row r="193" ht="15.75" customHeight="1">
      <c r="S193" s="33"/>
      <c r="AI193" s="34"/>
    </row>
    <row r="194" ht="15.75" customHeight="1">
      <c r="S194" s="33"/>
      <c r="AI194" s="34"/>
    </row>
    <row r="195" ht="15.75" customHeight="1">
      <c r="S195" s="33"/>
      <c r="AI195" s="34"/>
    </row>
    <row r="196" ht="15.75" customHeight="1">
      <c r="S196" s="33"/>
      <c r="AI196" s="34"/>
    </row>
    <row r="197" ht="15.75" customHeight="1">
      <c r="S197" s="33"/>
      <c r="AI197" s="34"/>
    </row>
    <row r="198" ht="15.75" customHeight="1">
      <c r="S198" s="33"/>
      <c r="AI198" s="34"/>
    </row>
    <row r="199" ht="15.75" customHeight="1">
      <c r="S199" s="33"/>
      <c r="AI199" s="34"/>
    </row>
    <row r="200" ht="15.75" customHeight="1">
      <c r="S200" s="33"/>
      <c r="AI200" s="34"/>
    </row>
    <row r="201" ht="15.75" customHeight="1">
      <c r="S201" s="33"/>
      <c r="AI201" s="34"/>
    </row>
    <row r="202" ht="15.75" customHeight="1">
      <c r="S202" s="33"/>
      <c r="AI202" s="34"/>
    </row>
    <row r="203" ht="15.75" customHeight="1">
      <c r="S203" s="33"/>
      <c r="AI203" s="34"/>
    </row>
    <row r="204" ht="15.75" customHeight="1">
      <c r="S204" s="33"/>
      <c r="AI204" s="34"/>
    </row>
    <row r="205" ht="15.75" customHeight="1">
      <c r="S205" s="33"/>
      <c r="AI205" s="34"/>
    </row>
    <row r="206" ht="15.75" customHeight="1">
      <c r="S206" s="33"/>
      <c r="AI206" s="34"/>
    </row>
    <row r="207" ht="15.75" customHeight="1">
      <c r="S207" s="33"/>
      <c r="AI207" s="34"/>
    </row>
    <row r="208" ht="15.75" customHeight="1">
      <c r="S208" s="33"/>
      <c r="AI208" s="34"/>
    </row>
    <row r="209" ht="15.75" customHeight="1">
      <c r="S209" s="33"/>
      <c r="AI209" s="34"/>
    </row>
    <row r="210" ht="15.75" customHeight="1">
      <c r="S210" s="33"/>
      <c r="AI210" s="34"/>
    </row>
    <row r="211" ht="15.75" customHeight="1">
      <c r="S211" s="33"/>
      <c r="AI211" s="34"/>
    </row>
    <row r="212" ht="15.75" customHeight="1">
      <c r="S212" s="33"/>
      <c r="AI212" s="34"/>
    </row>
    <row r="213" ht="15.75" customHeight="1">
      <c r="S213" s="33"/>
      <c r="AI213" s="34"/>
    </row>
    <row r="214" ht="15.75" customHeight="1">
      <c r="S214" s="33"/>
      <c r="AI214" s="34"/>
    </row>
    <row r="215" ht="15.75" customHeight="1">
      <c r="S215" s="33"/>
      <c r="AI215" s="34"/>
    </row>
    <row r="216" ht="15.75" customHeight="1">
      <c r="S216" s="33"/>
      <c r="AI216" s="34"/>
    </row>
    <row r="217" ht="15.75" customHeight="1">
      <c r="S217" s="33"/>
      <c r="AI217" s="34"/>
    </row>
    <row r="218" ht="15.75" customHeight="1">
      <c r="S218" s="33"/>
      <c r="AI218" s="34"/>
    </row>
    <row r="219" ht="15.75" customHeight="1">
      <c r="S219" s="33"/>
      <c r="AI219" s="34"/>
    </row>
    <row r="220" ht="15.75" customHeight="1">
      <c r="S220" s="33"/>
      <c r="AI220" s="34"/>
    </row>
    <row r="221" ht="15.75" customHeight="1">
      <c r="S221" s="33"/>
      <c r="AI221" s="34"/>
    </row>
    <row r="222" ht="15.75" customHeight="1">
      <c r="S222" s="33"/>
      <c r="AI222" s="34"/>
    </row>
    <row r="223" ht="15.75" customHeight="1">
      <c r="S223" s="33"/>
      <c r="AI223" s="34"/>
    </row>
    <row r="224" ht="15.75" customHeight="1">
      <c r="S224" s="33"/>
      <c r="AI224" s="34"/>
    </row>
    <row r="225" ht="15.75" customHeight="1">
      <c r="S225" s="33"/>
      <c r="AI225" s="34"/>
    </row>
    <row r="226" ht="15.75" customHeight="1">
      <c r="S226" s="33"/>
      <c r="AI226" s="34"/>
    </row>
    <row r="227" ht="15.75" customHeight="1">
      <c r="S227" s="33"/>
      <c r="AI227" s="34"/>
    </row>
    <row r="228" ht="15.75" customHeight="1">
      <c r="S228" s="33"/>
      <c r="AI228" s="34"/>
    </row>
    <row r="229" ht="15.75" customHeight="1">
      <c r="S229" s="33"/>
      <c r="AI229" s="34"/>
    </row>
    <row r="230" ht="15.75" customHeight="1">
      <c r="S230" s="33"/>
      <c r="AI230" s="34"/>
    </row>
    <row r="231" ht="15.75" customHeight="1">
      <c r="S231" s="33"/>
      <c r="AI231" s="34"/>
    </row>
    <row r="232" ht="15.75" customHeight="1">
      <c r="S232" s="33"/>
      <c r="AI232" s="34"/>
    </row>
    <row r="233" ht="15.75" customHeight="1">
      <c r="S233" s="33"/>
      <c r="AI233" s="34"/>
    </row>
    <row r="234" ht="15.75" customHeight="1">
      <c r="S234" s="33"/>
      <c r="AI234" s="34"/>
    </row>
    <row r="235" ht="15.75" customHeight="1">
      <c r="S235" s="33"/>
      <c r="AI235" s="34"/>
    </row>
    <row r="236" ht="15.75" customHeight="1">
      <c r="S236" s="33"/>
      <c r="AI236" s="34"/>
    </row>
    <row r="237" ht="15.75" customHeight="1">
      <c r="S237" s="33"/>
      <c r="AI237" s="34"/>
    </row>
    <row r="238" ht="15.75" customHeight="1">
      <c r="S238" s="33"/>
      <c r="AI238" s="34"/>
    </row>
    <row r="239" ht="15.75" customHeight="1">
      <c r="S239" s="33"/>
      <c r="AI239" s="34"/>
    </row>
    <row r="240" ht="15.75" customHeight="1">
      <c r="S240" s="33"/>
      <c r="AI240" s="34"/>
    </row>
    <row r="241" ht="15.75" customHeight="1">
      <c r="S241" s="33"/>
      <c r="AI241" s="34"/>
    </row>
    <row r="242" ht="15.75" customHeight="1">
      <c r="S242" s="33"/>
      <c r="AI242" s="34"/>
    </row>
    <row r="243" ht="15.75" customHeight="1">
      <c r="S243" s="33"/>
      <c r="AI243" s="34"/>
    </row>
    <row r="244" ht="15.75" customHeight="1">
      <c r="S244" s="33"/>
      <c r="AI244" s="34"/>
    </row>
    <row r="245" ht="15.75" customHeight="1">
      <c r="S245" s="33"/>
      <c r="AI245" s="34"/>
    </row>
    <row r="246" ht="15.75" customHeight="1">
      <c r="S246" s="33"/>
      <c r="AI246" s="34"/>
    </row>
    <row r="247" ht="15.75" customHeight="1">
      <c r="S247" s="33"/>
      <c r="AI247" s="34"/>
    </row>
    <row r="248" ht="15.75" customHeight="1">
      <c r="S248" s="33"/>
      <c r="AI248" s="34"/>
    </row>
    <row r="249" ht="15.75" customHeight="1">
      <c r="S249" s="33"/>
      <c r="AI249" s="34"/>
    </row>
    <row r="250" ht="15.75" customHeight="1">
      <c r="S250" s="33"/>
      <c r="AI250" s="34"/>
    </row>
    <row r="251" ht="15.75" customHeight="1">
      <c r="S251" s="33"/>
      <c r="AI251" s="34"/>
    </row>
    <row r="252" ht="15.75" customHeight="1">
      <c r="S252" s="33"/>
      <c r="AI252" s="34"/>
    </row>
    <row r="253" ht="15.75" customHeight="1">
      <c r="S253" s="33"/>
      <c r="AI253" s="34"/>
    </row>
    <row r="254" ht="15.75" customHeight="1">
      <c r="S254" s="33"/>
      <c r="AI254" s="34"/>
    </row>
    <row r="255" ht="15.75" customHeight="1">
      <c r="S255" s="33"/>
      <c r="AI255" s="34"/>
    </row>
    <row r="256" ht="15.75" customHeight="1">
      <c r="S256" s="33"/>
      <c r="AI256" s="34"/>
    </row>
    <row r="257" ht="15.75" customHeight="1">
      <c r="S257" s="33"/>
      <c r="AI257" s="34"/>
    </row>
    <row r="258" ht="15.75" customHeight="1">
      <c r="S258" s="33"/>
      <c r="AI258" s="34"/>
    </row>
    <row r="259" ht="15.75" customHeight="1">
      <c r="S259" s="33"/>
      <c r="AI259" s="34"/>
    </row>
    <row r="260" ht="15.75" customHeight="1">
      <c r="S260" s="33"/>
      <c r="AI260" s="34"/>
    </row>
    <row r="261" ht="15.75" customHeight="1">
      <c r="S261" s="33"/>
      <c r="AI261" s="34"/>
    </row>
    <row r="262" ht="15.75" customHeight="1">
      <c r="S262" s="33"/>
      <c r="AI262" s="34"/>
    </row>
    <row r="263" ht="15.75" customHeight="1">
      <c r="S263" s="33"/>
      <c r="AI263" s="34"/>
    </row>
    <row r="264" ht="15.75" customHeight="1">
      <c r="S264" s="33"/>
      <c r="AI264" s="34"/>
    </row>
    <row r="265" ht="15.75" customHeight="1">
      <c r="S265" s="33"/>
      <c r="AI265" s="34"/>
    </row>
    <row r="266" ht="15.75" customHeight="1">
      <c r="S266" s="33"/>
      <c r="AI266" s="34"/>
    </row>
    <row r="267" ht="15.75" customHeight="1">
      <c r="S267" s="33"/>
      <c r="AI267" s="34"/>
    </row>
    <row r="268" ht="15.75" customHeight="1">
      <c r="S268" s="33"/>
      <c r="AI268" s="34"/>
    </row>
    <row r="269" ht="15.75" customHeight="1">
      <c r="S269" s="33"/>
      <c r="AI269" s="34"/>
    </row>
    <row r="270" ht="15.75" customHeight="1">
      <c r="S270" s="33"/>
      <c r="AI270" s="34"/>
    </row>
    <row r="271" ht="15.75" customHeight="1">
      <c r="S271" s="33"/>
      <c r="AI271" s="34"/>
    </row>
    <row r="272" ht="15.75" customHeight="1">
      <c r="S272" s="33"/>
      <c r="AI272" s="34"/>
    </row>
    <row r="273" ht="15.75" customHeight="1">
      <c r="S273" s="33"/>
      <c r="AI273" s="34"/>
    </row>
    <row r="274" ht="15.75" customHeight="1">
      <c r="S274" s="33"/>
      <c r="AI274" s="34"/>
    </row>
    <row r="275" ht="15.75" customHeight="1">
      <c r="S275" s="33"/>
      <c r="AI275" s="34"/>
    </row>
    <row r="276" ht="15.75" customHeight="1">
      <c r="S276" s="33"/>
      <c r="AI276" s="34"/>
    </row>
    <row r="277" ht="15.75" customHeight="1">
      <c r="S277" s="33"/>
      <c r="AI277" s="34"/>
    </row>
    <row r="278" ht="15.75" customHeight="1">
      <c r="S278" s="33"/>
      <c r="AI278" s="34"/>
    </row>
    <row r="279" ht="15.75" customHeight="1">
      <c r="S279" s="33"/>
      <c r="AI279" s="34"/>
    </row>
    <row r="280" ht="15.75" customHeight="1">
      <c r="S280" s="33"/>
      <c r="AI280" s="34"/>
    </row>
    <row r="281" ht="15.75" customHeight="1">
      <c r="S281" s="33"/>
      <c r="AI281" s="34"/>
    </row>
    <row r="282" ht="15.75" customHeight="1">
      <c r="S282" s="33"/>
      <c r="AI282" s="34"/>
    </row>
    <row r="283" ht="15.75" customHeight="1">
      <c r="S283" s="33"/>
      <c r="AI283" s="34"/>
    </row>
    <row r="284" ht="15.75" customHeight="1">
      <c r="S284" s="33"/>
      <c r="AI284" s="34"/>
    </row>
    <row r="285" ht="15.75" customHeight="1">
      <c r="S285" s="33"/>
      <c r="AI285" s="34"/>
    </row>
    <row r="286" ht="15.75" customHeight="1">
      <c r="S286" s="33"/>
      <c r="AI286" s="34"/>
    </row>
    <row r="287" ht="15.75" customHeight="1">
      <c r="S287" s="33"/>
      <c r="AI287" s="34"/>
    </row>
    <row r="288" ht="15.75" customHeight="1">
      <c r="S288" s="33"/>
      <c r="AI288" s="34"/>
    </row>
    <row r="289" ht="15.75" customHeight="1">
      <c r="S289" s="33"/>
      <c r="AI289" s="34"/>
    </row>
    <row r="290" ht="15.75" customHeight="1">
      <c r="S290" s="33"/>
      <c r="AI290" s="34"/>
    </row>
    <row r="291" ht="15.75" customHeight="1">
      <c r="S291" s="33"/>
      <c r="AI291" s="34"/>
    </row>
    <row r="292" ht="15.75" customHeight="1">
      <c r="S292" s="33"/>
      <c r="AI292" s="34"/>
    </row>
    <row r="293" ht="15.75" customHeight="1">
      <c r="S293" s="33"/>
      <c r="AI293" s="34"/>
    </row>
    <row r="294" ht="15.75" customHeight="1">
      <c r="S294" s="33"/>
      <c r="AI294" s="34"/>
    </row>
    <row r="295" ht="15.75" customHeight="1">
      <c r="S295" s="33"/>
      <c r="AI295" s="34"/>
    </row>
    <row r="296" ht="15.75" customHeight="1">
      <c r="S296" s="33"/>
      <c r="AI296" s="34"/>
    </row>
    <row r="297" ht="15.75" customHeight="1">
      <c r="S297" s="33"/>
      <c r="AI297" s="34"/>
    </row>
    <row r="298" ht="15.75" customHeight="1">
      <c r="S298" s="33"/>
      <c r="AI298" s="34"/>
    </row>
    <row r="299" ht="15.75" customHeight="1">
      <c r="S299" s="33"/>
      <c r="AI299" s="34"/>
    </row>
    <row r="300" ht="15.75" customHeight="1">
      <c r="S300" s="33"/>
      <c r="AI300" s="34"/>
    </row>
    <row r="301" ht="15.75" customHeight="1">
      <c r="S301" s="33"/>
      <c r="AI301" s="34"/>
    </row>
    <row r="302" ht="15.75" customHeight="1">
      <c r="S302" s="33"/>
      <c r="AI302" s="34"/>
    </row>
    <row r="303" ht="15.75" customHeight="1">
      <c r="S303" s="33"/>
      <c r="AI303" s="34"/>
    </row>
    <row r="304" ht="15.75" customHeight="1">
      <c r="S304" s="33"/>
      <c r="AI304" s="34"/>
    </row>
    <row r="305" ht="15.75" customHeight="1">
      <c r="S305" s="33"/>
      <c r="AI305" s="34"/>
    </row>
    <row r="306" ht="15.75" customHeight="1">
      <c r="S306" s="33"/>
      <c r="AI306" s="34"/>
    </row>
    <row r="307" ht="15.75" customHeight="1">
      <c r="S307" s="33"/>
      <c r="AI307" s="34"/>
    </row>
    <row r="308" ht="15.75" customHeight="1">
      <c r="S308" s="33"/>
      <c r="AI308" s="34"/>
    </row>
    <row r="309" ht="15.75" customHeight="1">
      <c r="S309" s="33"/>
      <c r="AI309" s="34"/>
    </row>
    <row r="310" ht="15.75" customHeight="1">
      <c r="S310" s="33"/>
      <c r="AI310" s="34"/>
    </row>
    <row r="311" ht="15.75" customHeight="1">
      <c r="S311" s="33"/>
      <c r="AI311" s="34"/>
    </row>
    <row r="312" ht="15.75" customHeight="1">
      <c r="S312" s="33"/>
      <c r="AI312" s="34"/>
    </row>
    <row r="313" ht="15.75" customHeight="1">
      <c r="S313" s="33"/>
      <c r="AI313" s="34"/>
    </row>
    <row r="314" ht="15.75" customHeight="1">
      <c r="S314" s="33"/>
      <c r="AI314" s="34"/>
    </row>
    <row r="315" ht="15.75" customHeight="1">
      <c r="S315" s="33"/>
      <c r="AI315" s="34"/>
    </row>
    <row r="316" ht="15.75" customHeight="1">
      <c r="S316" s="33"/>
      <c r="AI316" s="34"/>
    </row>
    <row r="317" ht="15.75" customHeight="1">
      <c r="S317" s="33"/>
      <c r="AI317" s="34"/>
    </row>
    <row r="318" ht="15.75" customHeight="1">
      <c r="S318" s="33"/>
      <c r="AI318" s="34"/>
    </row>
    <row r="319" ht="15.75" customHeight="1">
      <c r="S319" s="33"/>
      <c r="AI319" s="34"/>
    </row>
    <row r="320" ht="15.75" customHeight="1">
      <c r="S320" s="33"/>
      <c r="AI320" s="34"/>
    </row>
    <row r="321" ht="15.75" customHeight="1">
      <c r="S321" s="33"/>
      <c r="AI321" s="34"/>
    </row>
    <row r="322" ht="15.75" customHeight="1">
      <c r="S322" s="33"/>
      <c r="AI322" s="34"/>
    </row>
    <row r="323" ht="15.75" customHeight="1">
      <c r="S323" s="33"/>
      <c r="AI323" s="34"/>
    </row>
    <row r="324" ht="15.75" customHeight="1">
      <c r="S324" s="33"/>
      <c r="AI324" s="34"/>
    </row>
    <row r="325" ht="15.75" customHeight="1">
      <c r="S325" s="33"/>
      <c r="AI325" s="34"/>
    </row>
    <row r="326" ht="15.75" customHeight="1">
      <c r="S326" s="33"/>
      <c r="AI326" s="34"/>
    </row>
    <row r="327" ht="15.75" customHeight="1">
      <c r="S327" s="33"/>
      <c r="AI327" s="34"/>
    </row>
    <row r="328" ht="15.75" customHeight="1">
      <c r="S328" s="33"/>
      <c r="AI328" s="34"/>
    </row>
    <row r="329" ht="15.75" customHeight="1">
      <c r="S329" s="33"/>
      <c r="AI329" s="34"/>
    </row>
    <row r="330" ht="15.75" customHeight="1">
      <c r="S330" s="33"/>
      <c r="AI330" s="34"/>
    </row>
    <row r="331" ht="15.75" customHeight="1">
      <c r="S331" s="33"/>
      <c r="AI331" s="34"/>
    </row>
    <row r="332" ht="15.75" customHeight="1">
      <c r="S332" s="33"/>
      <c r="AI332" s="34"/>
    </row>
    <row r="333" ht="15.75" customHeight="1">
      <c r="S333" s="33"/>
      <c r="AI333" s="34"/>
    </row>
    <row r="334" ht="15.75" customHeight="1">
      <c r="S334" s="33"/>
      <c r="AI334" s="34"/>
    </row>
    <row r="335" ht="15.75" customHeight="1">
      <c r="S335" s="33"/>
      <c r="AI335" s="34"/>
    </row>
    <row r="336" ht="15.75" customHeight="1">
      <c r="S336" s="33"/>
      <c r="AI336" s="34"/>
    </row>
    <row r="337" ht="15.75" customHeight="1">
      <c r="S337" s="33"/>
      <c r="AI337" s="34"/>
    </row>
    <row r="338" ht="15.75" customHeight="1">
      <c r="S338" s="33"/>
      <c r="AI338" s="34"/>
    </row>
    <row r="339" ht="15.75" customHeight="1">
      <c r="S339" s="33"/>
      <c r="AI339" s="34"/>
    </row>
    <row r="340" ht="15.75" customHeight="1">
      <c r="S340" s="33"/>
      <c r="AI340" s="34"/>
    </row>
    <row r="341" ht="15.75" customHeight="1">
      <c r="S341" s="33"/>
      <c r="AI341" s="34"/>
    </row>
    <row r="342" ht="15.75" customHeight="1">
      <c r="S342" s="33"/>
      <c r="AI342" s="34"/>
    </row>
    <row r="343" ht="15.75" customHeight="1">
      <c r="S343" s="33"/>
      <c r="AI343" s="34"/>
    </row>
    <row r="344" ht="15.75" customHeight="1">
      <c r="S344" s="33"/>
      <c r="AI344" s="34"/>
    </row>
    <row r="345" ht="15.75" customHeight="1">
      <c r="S345" s="33"/>
      <c r="AI345" s="34"/>
    </row>
    <row r="346" ht="15.75" customHeight="1">
      <c r="S346" s="33"/>
      <c r="AI346" s="34"/>
    </row>
    <row r="347" ht="15.75" customHeight="1">
      <c r="S347" s="33"/>
      <c r="AI347" s="34"/>
    </row>
    <row r="348" ht="15.75" customHeight="1">
      <c r="S348" s="33"/>
      <c r="AI348" s="34"/>
    </row>
    <row r="349" ht="15.75" customHeight="1">
      <c r="S349" s="33"/>
      <c r="AI349" s="34"/>
    </row>
    <row r="350" ht="15.75" customHeight="1">
      <c r="S350" s="33"/>
      <c r="AI350" s="34"/>
    </row>
    <row r="351" ht="15.75" customHeight="1">
      <c r="S351" s="33"/>
      <c r="AI351" s="34"/>
    </row>
    <row r="352" ht="15.75" customHeight="1">
      <c r="S352" s="33"/>
      <c r="AI352" s="34"/>
    </row>
    <row r="353" ht="15.75" customHeight="1">
      <c r="S353" s="33"/>
      <c r="AI353" s="34"/>
    </row>
    <row r="354" ht="15.75" customHeight="1">
      <c r="S354" s="33"/>
      <c r="AI354" s="34"/>
    </row>
    <row r="355" ht="15.75" customHeight="1">
      <c r="S355" s="33"/>
      <c r="AI355" s="34"/>
    </row>
    <row r="356" ht="15.75" customHeight="1">
      <c r="S356" s="33"/>
      <c r="AI356" s="34"/>
    </row>
    <row r="357" ht="15.75" customHeight="1">
      <c r="S357" s="33"/>
      <c r="AI357" s="34"/>
    </row>
    <row r="358" ht="15.75" customHeight="1">
      <c r="S358" s="33"/>
      <c r="AI358" s="34"/>
    </row>
    <row r="359" ht="15.75" customHeight="1">
      <c r="S359" s="33"/>
      <c r="AI359" s="34"/>
    </row>
    <row r="360" ht="15.75" customHeight="1">
      <c r="S360" s="33"/>
      <c r="AI360" s="34"/>
    </row>
    <row r="361" ht="15.75" customHeight="1">
      <c r="S361" s="33"/>
      <c r="AI361" s="34"/>
    </row>
    <row r="362" ht="15.75" customHeight="1">
      <c r="S362" s="33"/>
      <c r="AI362" s="34"/>
    </row>
    <row r="363" ht="15.75" customHeight="1">
      <c r="S363" s="33"/>
      <c r="AI363" s="34"/>
    </row>
    <row r="364" ht="15.75" customHeight="1">
      <c r="S364" s="33"/>
      <c r="AI364" s="34"/>
    </row>
    <row r="365" ht="15.75" customHeight="1">
      <c r="S365" s="33"/>
      <c r="AI365" s="34"/>
    </row>
    <row r="366" ht="15.75" customHeight="1">
      <c r="S366" s="33"/>
      <c r="AI366" s="34"/>
    </row>
    <row r="367" ht="15.75" customHeight="1">
      <c r="S367" s="33"/>
      <c r="AI367" s="34"/>
    </row>
    <row r="368" ht="15.75" customHeight="1">
      <c r="S368" s="33"/>
      <c r="AI368" s="34"/>
    </row>
    <row r="369" ht="15.75" customHeight="1">
      <c r="S369" s="33"/>
      <c r="AI369" s="34"/>
    </row>
    <row r="370" ht="15.75" customHeight="1">
      <c r="S370" s="33"/>
      <c r="AI370" s="34"/>
    </row>
    <row r="371" ht="15.75" customHeight="1">
      <c r="S371" s="33"/>
      <c r="AI371" s="34"/>
    </row>
    <row r="372" ht="15.75" customHeight="1">
      <c r="S372" s="33"/>
      <c r="AI372" s="34"/>
    </row>
    <row r="373" ht="15.75" customHeight="1">
      <c r="S373" s="33"/>
      <c r="AI373" s="34"/>
    </row>
    <row r="374" ht="15.75" customHeight="1">
      <c r="S374" s="33"/>
      <c r="AI374" s="34"/>
    </row>
    <row r="375" ht="15.75" customHeight="1">
      <c r="S375" s="33"/>
      <c r="AI375" s="34"/>
    </row>
    <row r="376" ht="15.75" customHeight="1">
      <c r="S376" s="33"/>
      <c r="AI376" s="34"/>
    </row>
    <row r="377" ht="15.75" customHeight="1">
      <c r="S377" s="33"/>
      <c r="AI377" s="34"/>
    </row>
    <row r="378" ht="15.75" customHeight="1">
      <c r="S378" s="33"/>
      <c r="AI378" s="34"/>
    </row>
    <row r="379" ht="15.75" customHeight="1">
      <c r="S379" s="33"/>
      <c r="AI379" s="34"/>
    </row>
    <row r="380" ht="15.75" customHeight="1">
      <c r="S380" s="33"/>
      <c r="AI380" s="34"/>
    </row>
    <row r="381" ht="15.75" customHeight="1">
      <c r="S381" s="33"/>
      <c r="AI381" s="34"/>
    </row>
    <row r="382" ht="15.75" customHeight="1">
      <c r="S382" s="33"/>
      <c r="AI382" s="34"/>
    </row>
    <row r="383" ht="15.75" customHeight="1">
      <c r="S383" s="33"/>
      <c r="AI383" s="34"/>
    </row>
    <row r="384" ht="15.75" customHeight="1">
      <c r="S384" s="33"/>
      <c r="AI384" s="34"/>
    </row>
    <row r="385" ht="15.75" customHeight="1">
      <c r="S385" s="33"/>
      <c r="AI385" s="34"/>
    </row>
    <row r="386" ht="15.75" customHeight="1">
      <c r="S386" s="33"/>
      <c r="AI386" s="34"/>
    </row>
    <row r="387" ht="15.75" customHeight="1">
      <c r="S387" s="33"/>
      <c r="AI387" s="34"/>
    </row>
    <row r="388" ht="15.75" customHeight="1">
      <c r="S388" s="33"/>
      <c r="AI388" s="34"/>
    </row>
    <row r="389" ht="15.75" customHeight="1">
      <c r="S389" s="33"/>
      <c r="AI389" s="34"/>
    </row>
    <row r="390" ht="15.75" customHeight="1">
      <c r="S390" s="33"/>
      <c r="AI390" s="34"/>
    </row>
    <row r="391" ht="15.75" customHeight="1">
      <c r="S391" s="33"/>
      <c r="AI391" s="34"/>
    </row>
    <row r="392" ht="15.75" customHeight="1">
      <c r="S392" s="33"/>
      <c r="AI392" s="34"/>
    </row>
    <row r="393" ht="15.75" customHeight="1">
      <c r="S393" s="33"/>
      <c r="AI393" s="34"/>
    </row>
    <row r="394" ht="15.75" customHeight="1">
      <c r="S394" s="33"/>
      <c r="AI394" s="34"/>
    </row>
    <row r="395" ht="15.75" customHeight="1">
      <c r="S395" s="33"/>
      <c r="AI395" s="34"/>
    </row>
    <row r="396" ht="15.75" customHeight="1">
      <c r="S396" s="33"/>
      <c r="AI396" s="34"/>
    </row>
    <row r="397" ht="15.75" customHeight="1">
      <c r="S397" s="33"/>
      <c r="AI397" s="34"/>
    </row>
    <row r="398" ht="15.75" customHeight="1">
      <c r="S398" s="33"/>
      <c r="AI398" s="34"/>
    </row>
    <row r="399" ht="15.75" customHeight="1">
      <c r="S399" s="33"/>
      <c r="AI399" s="34"/>
    </row>
    <row r="400" ht="15.75" customHeight="1">
      <c r="S400" s="33"/>
      <c r="AI400" s="34"/>
    </row>
    <row r="401" ht="15.75" customHeight="1">
      <c r="S401" s="33"/>
      <c r="AI401" s="34"/>
    </row>
    <row r="402" ht="15.75" customHeight="1">
      <c r="S402" s="33"/>
      <c r="AI402" s="34"/>
    </row>
    <row r="403" ht="15.75" customHeight="1">
      <c r="S403" s="33"/>
      <c r="AI403" s="34"/>
    </row>
    <row r="404" ht="15.75" customHeight="1">
      <c r="S404" s="33"/>
      <c r="AI404" s="34"/>
    </row>
    <row r="405" ht="15.75" customHeight="1">
      <c r="S405" s="33"/>
      <c r="AI405" s="34"/>
    </row>
    <row r="406" ht="15.75" customHeight="1">
      <c r="S406" s="33"/>
      <c r="AI406" s="34"/>
    </row>
    <row r="407" ht="15.75" customHeight="1">
      <c r="S407" s="33"/>
      <c r="AI407" s="34"/>
    </row>
    <row r="408" ht="15.75" customHeight="1">
      <c r="S408" s="33"/>
      <c r="AI408" s="34"/>
    </row>
    <row r="409" ht="15.75" customHeight="1">
      <c r="S409" s="33"/>
      <c r="AI409" s="34"/>
    </row>
    <row r="410" ht="15.75" customHeight="1">
      <c r="S410" s="33"/>
      <c r="AI410" s="34"/>
    </row>
    <row r="411" ht="15.75" customHeight="1">
      <c r="S411" s="33"/>
      <c r="AI411" s="34"/>
    </row>
    <row r="412" ht="15.75" customHeight="1">
      <c r="S412" s="33"/>
      <c r="AI412" s="34"/>
    </row>
    <row r="413" ht="15.75" customHeight="1">
      <c r="S413" s="33"/>
      <c r="AI413" s="34"/>
    </row>
    <row r="414" ht="15.75" customHeight="1">
      <c r="S414" s="33"/>
      <c r="AI414" s="34"/>
    </row>
    <row r="415" ht="15.75" customHeight="1">
      <c r="S415" s="33"/>
      <c r="AI415" s="34"/>
    </row>
    <row r="416" ht="15.75" customHeight="1">
      <c r="S416" s="33"/>
      <c r="AI416" s="34"/>
    </row>
    <row r="417" ht="15.75" customHeight="1">
      <c r="S417" s="33"/>
      <c r="AI417" s="34"/>
    </row>
    <row r="418" ht="15.75" customHeight="1">
      <c r="S418" s="33"/>
      <c r="AI418" s="34"/>
    </row>
    <row r="419" ht="15.75" customHeight="1">
      <c r="S419" s="33"/>
      <c r="AI419" s="34"/>
    </row>
    <row r="420" ht="15.75" customHeight="1">
      <c r="S420" s="33"/>
      <c r="AI420" s="34"/>
    </row>
    <row r="421" ht="15.75" customHeight="1">
      <c r="S421" s="33"/>
      <c r="AI421" s="34"/>
    </row>
    <row r="422" ht="15.75" customHeight="1">
      <c r="S422" s="33"/>
      <c r="AI422" s="34"/>
    </row>
    <row r="423" ht="15.75" customHeight="1">
      <c r="S423" s="33"/>
      <c r="AI423" s="34"/>
    </row>
    <row r="424" ht="15.75" customHeight="1">
      <c r="S424" s="33"/>
      <c r="AI424" s="34"/>
    </row>
    <row r="425" ht="15.75" customHeight="1">
      <c r="S425" s="33"/>
      <c r="AI425" s="34"/>
    </row>
    <row r="426" ht="15.75" customHeight="1">
      <c r="S426" s="33"/>
      <c r="AI426" s="34"/>
    </row>
    <row r="427" ht="15.75" customHeight="1">
      <c r="S427" s="33"/>
      <c r="AI427" s="34"/>
    </row>
    <row r="428" ht="15.75" customHeight="1">
      <c r="S428" s="33"/>
      <c r="AI428" s="34"/>
    </row>
    <row r="429" ht="15.75" customHeight="1">
      <c r="S429" s="33"/>
      <c r="AI429" s="34"/>
    </row>
    <row r="430" ht="15.75" customHeight="1">
      <c r="S430" s="33"/>
      <c r="AI430" s="34"/>
    </row>
    <row r="431" ht="15.75" customHeight="1">
      <c r="S431" s="33"/>
      <c r="AI431" s="34"/>
    </row>
    <row r="432" ht="15.75" customHeight="1">
      <c r="S432" s="33"/>
      <c r="AI432" s="34"/>
    </row>
    <row r="433" ht="15.75" customHeight="1">
      <c r="S433" s="33"/>
      <c r="AI433" s="34"/>
    </row>
    <row r="434" ht="15.75" customHeight="1">
      <c r="S434" s="33"/>
      <c r="AI434" s="34"/>
    </row>
    <row r="435" ht="15.75" customHeight="1">
      <c r="S435" s="33"/>
      <c r="AI435" s="34"/>
    </row>
    <row r="436" ht="15.75" customHeight="1">
      <c r="S436" s="33"/>
      <c r="AI436" s="34"/>
    </row>
    <row r="437" ht="15.75" customHeight="1">
      <c r="S437" s="33"/>
      <c r="AI437" s="34"/>
    </row>
    <row r="438" ht="15.75" customHeight="1">
      <c r="S438" s="33"/>
      <c r="AI438" s="34"/>
    </row>
    <row r="439" ht="15.75" customHeight="1">
      <c r="S439" s="33"/>
      <c r="AI439" s="34"/>
    </row>
    <row r="440" ht="15.75" customHeight="1">
      <c r="S440" s="33"/>
      <c r="AI440" s="34"/>
    </row>
    <row r="441" ht="15.75" customHeight="1">
      <c r="S441" s="33"/>
      <c r="AI441" s="34"/>
    </row>
    <row r="442" ht="15.75" customHeight="1">
      <c r="S442" s="33"/>
      <c r="AI442" s="34"/>
    </row>
    <row r="443" ht="15.75" customHeight="1">
      <c r="S443" s="33"/>
      <c r="AI443" s="34"/>
    </row>
    <row r="444" ht="15.75" customHeight="1">
      <c r="S444" s="33"/>
      <c r="AI444" s="34"/>
    </row>
    <row r="445" ht="15.75" customHeight="1">
      <c r="S445" s="33"/>
      <c r="AI445" s="34"/>
    </row>
    <row r="446" ht="15.75" customHeight="1">
      <c r="S446" s="33"/>
      <c r="AI446" s="34"/>
    </row>
    <row r="447" ht="15.75" customHeight="1">
      <c r="S447" s="33"/>
      <c r="AI447" s="34"/>
    </row>
    <row r="448" ht="15.75" customHeight="1">
      <c r="S448" s="33"/>
      <c r="AI448" s="34"/>
    </row>
    <row r="449" ht="15.75" customHeight="1">
      <c r="S449" s="33"/>
      <c r="AI449" s="34"/>
    </row>
    <row r="450" ht="15.75" customHeight="1">
      <c r="S450" s="33"/>
      <c r="AI450" s="34"/>
    </row>
    <row r="451" ht="15.75" customHeight="1">
      <c r="S451" s="33"/>
      <c r="AI451" s="34"/>
    </row>
    <row r="452" ht="15.75" customHeight="1">
      <c r="S452" s="33"/>
      <c r="AI452" s="34"/>
    </row>
    <row r="453" ht="15.75" customHeight="1">
      <c r="S453" s="33"/>
      <c r="AI453" s="34"/>
    </row>
    <row r="454" ht="15.75" customHeight="1">
      <c r="S454" s="33"/>
      <c r="AI454" s="34"/>
    </row>
    <row r="455" ht="15.75" customHeight="1">
      <c r="S455" s="33"/>
      <c r="AI455" s="34"/>
    </row>
    <row r="456" ht="15.75" customHeight="1">
      <c r="S456" s="33"/>
      <c r="AI456" s="34"/>
    </row>
    <row r="457" ht="15.75" customHeight="1">
      <c r="S457" s="33"/>
      <c r="AI457" s="34"/>
    </row>
    <row r="458" ht="15.75" customHeight="1">
      <c r="S458" s="33"/>
      <c r="AI458" s="34"/>
    </row>
    <row r="459" ht="15.75" customHeight="1">
      <c r="S459" s="33"/>
      <c r="AI459" s="34"/>
    </row>
    <row r="460" ht="15.75" customHeight="1">
      <c r="S460" s="33"/>
      <c r="AI460" s="34"/>
    </row>
    <row r="461" ht="15.75" customHeight="1">
      <c r="S461" s="33"/>
      <c r="AI461" s="34"/>
    </row>
    <row r="462" ht="15.75" customHeight="1">
      <c r="S462" s="33"/>
      <c r="AI462" s="34"/>
    </row>
    <row r="463" ht="15.75" customHeight="1">
      <c r="S463" s="33"/>
      <c r="AI463" s="34"/>
    </row>
    <row r="464" ht="15.75" customHeight="1">
      <c r="S464" s="33"/>
      <c r="AI464" s="34"/>
    </row>
    <row r="465" ht="15.75" customHeight="1">
      <c r="S465" s="33"/>
      <c r="AI465" s="34"/>
    </row>
    <row r="466" ht="15.75" customHeight="1">
      <c r="S466" s="33"/>
      <c r="AI466" s="34"/>
    </row>
    <row r="467" ht="15.75" customHeight="1">
      <c r="S467" s="33"/>
      <c r="AI467" s="34"/>
    </row>
    <row r="468" ht="15.75" customHeight="1">
      <c r="S468" s="33"/>
      <c r="AI468" s="34"/>
    </row>
    <row r="469" ht="15.75" customHeight="1">
      <c r="S469" s="33"/>
      <c r="AI469" s="34"/>
    </row>
    <row r="470" ht="15.75" customHeight="1">
      <c r="S470" s="33"/>
      <c r="AI470" s="34"/>
    </row>
    <row r="471" ht="15.75" customHeight="1">
      <c r="S471" s="33"/>
      <c r="AI471" s="34"/>
    </row>
    <row r="472" ht="15.75" customHeight="1">
      <c r="S472" s="33"/>
      <c r="AI472" s="34"/>
    </row>
    <row r="473" ht="15.75" customHeight="1">
      <c r="S473" s="33"/>
      <c r="AI473" s="34"/>
    </row>
    <row r="474" ht="15.75" customHeight="1">
      <c r="S474" s="33"/>
      <c r="AI474" s="34"/>
    </row>
    <row r="475" ht="15.75" customHeight="1">
      <c r="S475" s="33"/>
      <c r="AI475" s="34"/>
    </row>
    <row r="476" ht="15.75" customHeight="1">
      <c r="S476" s="33"/>
      <c r="AI476" s="34"/>
    </row>
    <row r="477" ht="15.75" customHeight="1">
      <c r="S477" s="33"/>
      <c r="AI477" s="34"/>
    </row>
    <row r="478" ht="15.75" customHeight="1">
      <c r="S478" s="33"/>
      <c r="AI478" s="34"/>
    </row>
    <row r="479" ht="15.75" customHeight="1">
      <c r="S479" s="33"/>
      <c r="AI479" s="34"/>
    </row>
    <row r="480" ht="15.75" customHeight="1">
      <c r="S480" s="33"/>
      <c r="AI480" s="34"/>
    </row>
    <row r="481" ht="15.75" customHeight="1">
      <c r="S481" s="33"/>
      <c r="AI481" s="34"/>
    </row>
    <row r="482" ht="15.75" customHeight="1">
      <c r="S482" s="33"/>
      <c r="AI482" s="34"/>
    </row>
    <row r="483" ht="15.75" customHeight="1">
      <c r="S483" s="33"/>
      <c r="AI483" s="34"/>
    </row>
    <row r="484" ht="15.75" customHeight="1">
      <c r="S484" s="33"/>
      <c r="AI484" s="34"/>
    </row>
    <row r="485" ht="15.75" customHeight="1">
      <c r="S485" s="33"/>
      <c r="AI485" s="34"/>
    </row>
    <row r="486" ht="15.75" customHeight="1">
      <c r="S486" s="33"/>
      <c r="AI486" s="34"/>
    </row>
    <row r="487" ht="15.75" customHeight="1">
      <c r="S487" s="33"/>
      <c r="AI487" s="34"/>
    </row>
    <row r="488" ht="15.75" customHeight="1">
      <c r="S488" s="33"/>
      <c r="AI488" s="34"/>
    </row>
    <row r="489" ht="15.75" customHeight="1">
      <c r="S489" s="33"/>
      <c r="AI489" s="34"/>
    </row>
    <row r="490" ht="15.75" customHeight="1">
      <c r="S490" s="33"/>
      <c r="AI490" s="34"/>
    </row>
    <row r="491" ht="15.75" customHeight="1">
      <c r="S491" s="33"/>
      <c r="AI491" s="34"/>
    </row>
    <row r="492" ht="15.75" customHeight="1">
      <c r="S492" s="33"/>
      <c r="AI492" s="34"/>
    </row>
    <row r="493" ht="15.75" customHeight="1">
      <c r="S493" s="33"/>
      <c r="AI493" s="34"/>
    </row>
    <row r="494" ht="15.75" customHeight="1">
      <c r="S494" s="33"/>
      <c r="AI494" s="34"/>
    </row>
    <row r="495" ht="15.75" customHeight="1">
      <c r="S495" s="33"/>
      <c r="AI495" s="34"/>
    </row>
    <row r="496" ht="15.75" customHeight="1">
      <c r="S496" s="33"/>
      <c r="AI496" s="34"/>
    </row>
    <row r="497" ht="15.75" customHeight="1">
      <c r="S497" s="33"/>
      <c r="AI497" s="34"/>
    </row>
    <row r="498" ht="15.75" customHeight="1">
      <c r="S498" s="33"/>
      <c r="AI498" s="34"/>
    </row>
    <row r="499" ht="15.75" customHeight="1">
      <c r="S499" s="33"/>
      <c r="AI499" s="34"/>
    </row>
    <row r="500" ht="15.75" customHeight="1">
      <c r="S500" s="33"/>
      <c r="AI500" s="34"/>
    </row>
    <row r="501" ht="15.75" customHeight="1">
      <c r="S501" s="33"/>
      <c r="AI501" s="34"/>
    </row>
    <row r="502" ht="15.75" customHeight="1">
      <c r="S502" s="33"/>
      <c r="AI502" s="34"/>
    </row>
    <row r="503" ht="15.75" customHeight="1">
      <c r="S503" s="33"/>
      <c r="AI503" s="34"/>
    </row>
    <row r="504" ht="15.75" customHeight="1">
      <c r="S504" s="33"/>
      <c r="AI504" s="34"/>
    </row>
    <row r="505" ht="15.75" customHeight="1">
      <c r="S505" s="33"/>
      <c r="AI505" s="34"/>
    </row>
    <row r="506" ht="15.75" customHeight="1">
      <c r="S506" s="33"/>
      <c r="AI506" s="34"/>
    </row>
    <row r="507" ht="15.75" customHeight="1">
      <c r="S507" s="33"/>
      <c r="AI507" s="34"/>
    </row>
    <row r="508" ht="15.75" customHeight="1">
      <c r="S508" s="33"/>
      <c r="AI508" s="34"/>
    </row>
    <row r="509" ht="15.75" customHeight="1">
      <c r="S509" s="33"/>
      <c r="AI509" s="34"/>
    </row>
    <row r="510" ht="15.75" customHeight="1">
      <c r="S510" s="33"/>
      <c r="AI510" s="34"/>
    </row>
    <row r="511" ht="15.75" customHeight="1">
      <c r="S511" s="33"/>
      <c r="AI511" s="34"/>
    </row>
    <row r="512" ht="15.75" customHeight="1">
      <c r="S512" s="33"/>
      <c r="AI512" s="34"/>
    </row>
    <row r="513" ht="15.75" customHeight="1">
      <c r="S513" s="33"/>
      <c r="AI513" s="34"/>
    </row>
    <row r="514" ht="15.75" customHeight="1">
      <c r="S514" s="33"/>
      <c r="AI514" s="34"/>
    </row>
    <row r="515" ht="15.75" customHeight="1">
      <c r="S515" s="33"/>
      <c r="AI515" s="34"/>
    </row>
    <row r="516" ht="15.75" customHeight="1">
      <c r="S516" s="33"/>
      <c r="AI516" s="34"/>
    </row>
    <row r="517" ht="15.75" customHeight="1">
      <c r="S517" s="33"/>
      <c r="AI517" s="34"/>
    </row>
    <row r="518" ht="15.75" customHeight="1">
      <c r="S518" s="33"/>
      <c r="AI518" s="34"/>
    </row>
    <row r="519" ht="15.75" customHeight="1">
      <c r="S519" s="33"/>
      <c r="AI519" s="34"/>
    </row>
    <row r="520" ht="15.75" customHeight="1">
      <c r="S520" s="33"/>
      <c r="AI520" s="34"/>
    </row>
    <row r="521" ht="15.75" customHeight="1">
      <c r="S521" s="33"/>
      <c r="AI521" s="34"/>
    </row>
    <row r="522" ht="15.75" customHeight="1">
      <c r="S522" s="33"/>
      <c r="AI522" s="34"/>
    </row>
    <row r="523" ht="15.75" customHeight="1">
      <c r="S523" s="33"/>
      <c r="AI523" s="34"/>
    </row>
    <row r="524" ht="15.75" customHeight="1">
      <c r="S524" s="33"/>
      <c r="AI524" s="34"/>
    </row>
    <row r="525" ht="15.75" customHeight="1">
      <c r="S525" s="33"/>
      <c r="AI525" s="34"/>
    </row>
    <row r="526" ht="15.75" customHeight="1">
      <c r="S526" s="33"/>
      <c r="AI526" s="34"/>
    </row>
    <row r="527" ht="15.75" customHeight="1">
      <c r="S527" s="33"/>
      <c r="AI527" s="34"/>
    </row>
    <row r="528" ht="15.75" customHeight="1">
      <c r="S528" s="33"/>
      <c r="AI528" s="34"/>
    </row>
    <row r="529" ht="15.75" customHeight="1">
      <c r="S529" s="33"/>
      <c r="AI529" s="34"/>
    </row>
    <row r="530" ht="15.75" customHeight="1">
      <c r="S530" s="33"/>
      <c r="AI530" s="34"/>
    </row>
    <row r="531" ht="15.75" customHeight="1">
      <c r="S531" s="33"/>
      <c r="AI531" s="34"/>
    </row>
    <row r="532" ht="15.75" customHeight="1">
      <c r="S532" s="33"/>
      <c r="AI532" s="34"/>
    </row>
    <row r="533" ht="15.75" customHeight="1">
      <c r="S533" s="33"/>
      <c r="AI533" s="34"/>
    </row>
    <row r="534" ht="15.75" customHeight="1">
      <c r="S534" s="33"/>
      <c r="AI534" s="34"/>
    </row>
    <row r="535" ht="15.75" customHeight="1">
      <c r="S535" s="33"/>
      <c r="AI535" s="34"/>
    </row>
    <row r="536" ht="15.75" customHeight="1">
      <c r="S536" s="33"/>
      <c r="AI536" s="34"/>
    </row>
    <row r="537" ht="15.75" customHeight="1">
      <c r="S537" s="33"/>
      <c r="AI537" s="34"/>
    </row>
    <row r="538" ht="15.75" customHeight="1">
      <c r="S538" s="33"/>
      <c r="AI538" s="34"/>
    </row>
    <row r="539" ht="15.75" customHeight="1">
      <c r="S539" s="33"/>
      <c r="AI539" s="34"/>
    </row>
    <row r="540" ht="15.75" customHeight="1">
      <c r="S540" s="33"/>
      <c r="AI540" s="34"/>
    </row>
    <row r="541" ht="15.75" customHeight="1">
      <c r="S541" s="33"/>
      <c r="AI541" s="34"/>
    </row>
    <row r="542" ht="15.75" customHeight="1">
      <c r="S542" s="33"/>
      <c r="AI542" s="34"/>
    </row>
    <row r="543" ht="15.75" customHeight="1">
      <c r="S543" s="33"/>
      <c r="AI543" s="34"/>
    </row>
    <row r="544" ht="15.75" customHeight="1">
      <c r="S544" s="33"/>
      <c r="AI544" s="34"/>
    </row>
    <row r="545" ht="15.75" customHeight="1">
      <c r="S545" s="33"/>
      <c r="AI545" s="34"/>
    </row>
    <row r="546" ht="15.75" customHeight="1">
      <c r="S546" s="33"/>
      <c r="AI546" s="34"/>
    </row>
    <row r="547" ht="15.75" customHeight="1">
      <c r="S547" s="33"/>
      <c r="AI547" s="34"/>
    </row>
    <row r="548" ht="15.75" customHeight="1">
      <c r="S548" s="33"/>
      <c r="AI548" s="34"/>
    </row>
    <row r="549" ht="15.75" customHeight="1">
      <c r="S549" s="33"/>
      <c r="AI549" s="34"/>
    </row>
    <row r="550" ht="15.75" customHeight="1">
      <c r="S550" s="33"/>
      <c r="AI550" s="34"/>
    </row>
    <row r="551" ht="15.75" customHeight="1">
      <c r="S551" s="33"/>
      <c r="AI551" s="34"/>
    </row>
    <row r="552" ht="15.75" customHeight="1">
      <c r="S552" s="33"/>
      <c r="AI552" s="34"/>
    </row>
    <row r="553" ht="15.75" customHeight="1">
      <c r="S553" s="33"/>
      <c r="AI553" s="34"/>
    </row>
    <row r="554" ht="15.75" customHeight="1">
      <c r="S554" s="33"/>
      <c r="AI554" s="34"/>
    </row>
    <row r="555" ht="15.75" customHeight="1">
      <c r="S555" s="33"/>
      <c r="AI555" s="34"/>
    </row>
    <row r="556" ht="15.75" customHeight="1">
      <c r="S556" s="33"/>
      <c r="AI556" s="34"/>
    </row>
    <row r="557" ht="15.75" customHeight="1">
      <c r="S557" s="33"/>
      <c r="AI557" s="34"/>
    </row>
    <row r="558" ht="15.75" customHeight="1">
      <c r="S558" s="33"/>
      <c r="AI558" s="34"/>
    </row>
    <row r="559" ht="15.75" customHeight="1">
      <c r="S559" s="33"/>
      <c r="AI559" s="34"/>
    </row>
    <row r="560" ht="15.75" customHeight="1">
      <c r="S560" s="33"/>
      <c r="AI560" s="34"/>
    </row>
    <row r="561" ht="15.75" customHeight="1">
      <c r="S561" s="33"/>
      <c r="AI561" s="34"/>
    </row>
    <row r="562" ht="15.75" customHeight="1">
      <c r="S562" s="33"/>
      <c r="AI562" s="34"/>
    </row>
    <row r="563" ht="15.75" customHeight="1">
      <c r="S563" s="33"/>
      <c r="AI563" s="34"/>
    </row>
    <row r="564" ht="15.75" customHeight="1">
      <c r="S564" s="33"/>
      <c r="AI564" s="34"/>
    </row>
    <row r="565" ht="15.75" customHeight="1">
      <c r="S565" s="33"/>
      <c r="AI565" s="34"/>
    </row>
    <row r="566" ht="15.75" customHeight="1">
      <c r="S566" s="33"/>
      <c r="AI566" s="34"/>
    </row>
    <row r="567" ht="15.75" customHeight="1">
      <c r="S567" s="33"/>
      <c r="AI567" s="34"/>
    </row>
    <row r="568" ht="15.75" customHeight="1">
      <c r="S568" s="33"/>
      <c r="AI568" s="34"/>
    </row>
    <row r="569" ht="15.75" customHeight="1">
      <c r="S569" s="33"/>
      <c r="AI569" s="34"/>
    </row>
    <row r="570" ht="15.75" customHeight="1">
      <c r="S570" s="33"/>
      <c r="AI570" s="34"/>
    </row>
    <row r="571" ht="15.75" customHeight="1">
      <c r="S571" s="33"/>
      <c r="AI571" s="34"/>
    </row>
    <row r="572" ht="15.75" customHeight="1">
      <c r="S572" s="33"/>
      <c r="AI572" s="34"/>
    </row>
    <row r="573" ht="15.75" customHeight="1">
      <c r="S573" s="33"/>
      <c r="AI573" s="34"/>
    </row>
    <row r="574" ht="15.75" customHeight="1">
      <c r="S574" s="33"/>
      <c r="AI574" s="34"/>
    </row>
    <row r="575" ht="15.75" customHeight="1">
      <c r="S575" s="33"/>
      <c r="AI575" s="34"/>
    </row>
    <row r="576" ht="15.75" customHeight="1">
      <c r="S576" s="33"/>
      <c r="AI576" s="34"/>
    </row>
    <row r="577" ht="15.75" customHeight="1">
      <c r="S577" s="33"/>
      <c r="AI577" s="34"/>
    </row>
    <row r="578" ht="15.75" customHeight="1">
      <c r="S578" s="33"/>
      <c r="AI578" s="34"/>
    </row>
    <row r="579" ht="15.75" customHeight="1">
      <c r="S579" s="33"/>
      <c r="AI579" s="34"/>
    </row>
    <row r="580" ht="15.75" customHeight="1">
      <c r="S580" s="33"/>
      <c r="AI580" s="34"/>
    </row>
    <row r="581" ht="15.75" customHeight="1">
      <c r="S581" s="33"/>
      <c r="AI581" s="34"/>
    </row>
    <row r="582" ht="15.75" customHeight="1">
      <c r="S582" s="33"/>
      <c r="AI582" s="34"/>
    </row>
    <row r="583" ht="15.75" customHeight="1">
      <c r="S583" s="33"/>
      <c r="AI583" s="34"/>
    </row>
    <row r="584" ht="15.75" customHeight="1">
      <c r="S584" s="33"/>
      <c r="AI584" s="34"/>
    </row>
    <row r="585" ht="15.75" customHeight="1">
      <c r="S585" s="33"/>
      <c r="AI585" s="34"/>
    </row>
    <row r="586" ht="15.75" customHeight="1">
      <c r="S586" s="33"/>
      <c r="AI586" s="34"/>
    </row>
    <row r="587" ht="15.75" customHeight="1">
      <c r="S587" s="33"/>
      <c r="AI587" s="34"/>
    </row>
    <row r="588" ht="15.75" customHeight="1">
      <c r="S588" s="33"/>
      <c r="AI588" s="34"/>
    </row>
    <row r="589" ht="15.75" customHeight="1">
      <c r="S589" s="33"/>
      <c r="AI589" s="34"/>
    </row>
    <row r="590" ht="15.75" customHeight="1">
      <c r="S590" s="33"/>
      <c r="AI590" s="34"/>
    </row>
    <row r="591" ht="15.75" customHeight="1">
      <c r="S591" s="33"/>
      <c r="AI591" s="34"/>
    </row>
    <row r="592" ht="15.75" customHeight="1">
      <c r="S592" s="33"/>
      <c r="AI592" s="34"/>
    </row>
    <row r="593" ht="15.75" customHeight="1">
      <c r="S593" s="33"/>
      <c r="AI593" s="34"/>
    </row>
    <row r="594" ht="15.75" customHeight="1">
      <c r="S594" s="33"/>
      <c r="AI594" s="34"/>
    </row>
    <row r="595" ht="15.75" customHeight="1">
      <c r="S595" s="33"/>
      <c r="AI595" s="34"/>
    </row>
    <row r="596" ht="15.75" customHeight="1">
      <c r="S596" s="33"/>
      <c r="AI596" s="34"/>
    </row>
    <row r="597" ht="15.75" customHeight="1">
      <c r="S597" s="33"/>
      <c r="AI597" s="34"/>
    </row>
    <row r="598" ht="15.75" customHeight="1">
      <c r="S598" s="33"/>
      <c r="AI598" s="34"/>
    </row>
    <row r="599" ht="15.75" customHeight="1">
      <c r="S599" s="33"/>
      <c r="AI599" s="34"/>
    </row>
    <row r="600" ht="15.75" customHeight="1">
      <c r="S600" s="33"/>
      <c r="AI600" s="34"/>
    </row>
    <row r="601" ht="15.75" customHeight="1">
      <c r="S601" s="33"/>
      <c r="AI601" s="34"/>
    </row>
    <row r="602" ht="15.75" customHeight="1">
      <c r="S602" s="33"/>
      <c r="AI602" s="34"/>
    </row>
    <row r="603" ht="15.75" customHeight="1">
      <c r="S603" s="33"/>
      <c r="AI603" s="34"/>
    </row>
    <row r="604" ht="15.75" customHeight="1">
      <c r="S604" s="33"/>
      <c r="AI604" s="34"/>
    </row>
    <row r="605" ht="15.75" customHeight="1">
      <c r="S605" s="33"/>
      <c r="AI605" s="34"/>
    </row>
    <row r="606" ht="15.75" customHeight="1">
      <c r="S606" s="33"/>
      <c r="AI606" s="34"/>
    </row>
    <row r="607" ht="15.75" customHeight="1">
      <c r="S607" s="33"/>
      <c r="AI607" s="34"/>
    </row>
    <row r="608" ht="15.75" customHeight="1">
      <c r="S608" s="33"/>
      <c r="AI608" s="34"/>
    </row>
    <row r="609" ht="15.75" customHeight="1">
      <c r="S609" s="33"/>
      <c r="AI609" s="34"/>
    </row>
    <row r="610" ht="15.75" customHeight="1">
      <c r="S610" s="33"/>
      <c r="AI610" s="34"/>
    </row>
    <row r="611" ht="15.75" customHeight="1">
      <c r="S611" s="33"/>
      <c r="AI611" s="34"/>
    </row>
    <row r="612" ht="15.75" customHeight="1">
      <c r="S612" s="33"/>
      <c r="AI612" s="34"/>
    </row>
    <row r="613" ht="15.75" customHeight="1">
      <c r="S613" s="33"/>
      <c r="AI613" s="34"/>
    </row>
    <row r="614" ht="15.75" customHeight="1">
      <c r="S614" s="33"/>
      <c r="AI614" s="34"/>
    </row>
    <row r="615" ht="15.75" customHeight="1">
      <c r="S615" s="33"/>
      <c r="AI615" s="34"/>
    </row>
    <row r="616" ht="15.75" customHeight="1">
      <c r="S616" s="33"/>
      <c r="AI616" s="34"/>
    </row>
    <row r="617" ht="15.75" customHeight="1">
      <c r="S617" s="33"/>
      <c r="AI617" s="34"/>
    </row>
    <row r="618" ht="15.75" customHeight="1">
      <c r="S618" s="33"/>
      <c r="AI618" s="34"/>
    </row>
    <row r="619" ht="15.75" customHeight="1">
      <c r="S619" s="33"/>
      <c r="AI619" s="34"/>
    </row>
    <row r="620" ht="15.75" customHeight="1">
      <c r="S620" s="33"/>
      <c r="AI620" s="34"/>
    </row>
    <row r="621" ht="15.75" customHeight="1">
      <c r="S621" s="33"/>
      <c r="AI621" s="34"/>
    </row>
    <row r="622" ht="15.75" customHeight="1">
      <c r="S622" s="33"/>
      <c r="AI622" s="34"/>
    </row>
    <row r="623" ht="15.75" customHeight="1">
      <c r="S623" s="33"/>
      <c r="AI623" s="34"/>
    </row>
    <row r="624" ht="15.75" customHeight="1">
      <c r="S624" s="33"/>
      <c r="AI624" s="34"/>
    </row>
    <row r="625" ht="15.75" customHeight="1">
      <c r="S625" s="33"/>
      <c r="AI625" s="34"/>
    </row>
    <row r="626" ht="15.75" customHeight="1">
      <c r="S626" s="33"/>
      <c r="AI626" s="34"/>
    </row>
    <row r="627" ht="15.75" customHeight="1">
      <c r="S627" s="33"/>
      <c r="AI627" s="34"/>
    </row>
    <row r="628" ht="15.75" customHeight="1">
      <c r="S628" s="33"/>
      <c r="AI628" s="34"/>
    </row>
    <row r="629" ht="15.75" customHeight="1">
      <c r="S629" s="33"/>
      <c r="AI629" s="34"/>
    </row>
    <row r="630" ht="15.75" customHeight="1">
      <c r="S630" s="33"/>
      <c r="AI630" s="34"/>
    </row>
    <row r="631" ht="15.75" customHeight="1">
      <c r="S631" s="33"/>
      <c r="AI631" s="34"/>
    </row>
    <row r="632" ht="15.75" customHeight="1">
      <c r="S632" s="33"/>
      <c r="AI632" s="34"/>
    </row>
    <row r="633" ht="15.75" customHeight="1">
      <c r="S633" s="33"/>
      <c r="AI633" s="34"/>
    </row>
    <row r="634" ht="15.75" customHeight="1">
      <c r="S634" s="33"/>
      <c r="AI634" s="34"/>
    </row>
    <row r="635" ht="15.75" customHeight="1">
      <c r="S635" s="33"/>
      <c r="AI635" s="34"/>
    </row>
    <row r="636" ht="15.75" customHeight="1">
      <c r="S636" s="33"/>
      <c r="AI636" s="34"/>
    </row>
    <row r="637" ht="15.75" customHeight="1">
      <c r="S637" s="33"/>
      <c r="AI637" s="34"/>
    </row>
    <row r="638" ht="15.75" customHeight="1">
      <c r="S638" s="33"/>
      <c r="AI638" s="34"/>
    </row>
    <row r="639" ht="15.75" customHeight="1">
      <c r="S639" s="33"/>
      <c r="AI639" s="34"/>
    </row>
    <row r="640" ht="15.75" customHeight="1">
      <c r="S640" s="33"/>
      <c r="AI640" s="34"/>
    </row>
    <row r="641" ht="15.75" customHeight="1">
      <c r="S641" s="33"/>
      <c r="AI641" s="34"/>
    </row>
    <row r="642" ht="15.75" customHeight="1">
      <c r="S642" s="33"/>
      <c r="AI642" s="34"/>
    </row>
    <row r="643" ht="15.75" customHeight="1">
      <c r="S643" s="33"/>
      <c r="AI643" s="34"/>
    </row>
    <row r="644" ht="15.75" customHeight="1">
      <c r="S644" s="33"/>
      <c r="AI644" s="34"/>
    </row>
    <row r="645" ht="15.75" customHeight="1">
      <c r="S645" s="33"/>
      <c r="AI645" s="34"/>
    </row>
    <row r="646" ht="15.75" customHeight="1">
      <c r="S646" s="33"/>
      <c r="AI646" s="34"/>
    </row>
    <row r="647" ht="15.75" customHeight="1">
      <c r="S647" s="33"/>
      <c r="AI647" s="34"/>
    </row>
    <row r="648" ht="15.75" customHeight="1">
      <c r="S648" s="33"/>
      <c r="AI648" s="34"/>
    </row>
    <row r="649" ht="15.75" customHeight="1">
      <c r="S649" s="33"/>
      <c r="AI649" s="34"/>
    </row>
    <row r="650" ht="15.75" customHeight="1">
      <c r="S650" s="33"/>
      <c r="AI650" s="34"/>
    </row>
    <row r="651" ht="15.75" customHeight="1">
      <c r="S651" s="33"/>
      <c r="AI651" s="34"/>
    </row>
    <row r="652" ht="15.75" customHeight="1">
      <c r="S652" s="33"/>
      <c r="AI652" s="34"/>
    </row>
    <row r="653" ht="15.75" customHeight="1">
      <c r="S653" s="33"/>
      <c r="AI653" s="34"/>
    </row>
    <row r="654" ht="15.75" customHeight="1">
      <c r="S654" s="33"/>
      <c r="AI654" s="34"/>
    </row>
    <row r="655" ht="15.75" customHeight="1">
      <c r="S655" s="33"/>
      <c r="AI655" s="34"/>
    </row>
    <row r="656" ht="15.75" customHeight="1">
      <c r="S656" s="33"/>
      <c r="AI656" s="34"/>
    </row>
    <row r="657" ht="15.75" customHeight="1">
      <c r="S657" s="33"/>
      <c r="AI657" s="34"/>
    </row>
    <row r="658" ht="15.75" customHeight="1">
      <c r="S658" s="33"/>
      <c r="AI658" s="34"/>
    </row>
    <row r="659" ht="15.75" customHeight="1">
      <c r="S659" s="33"/>
      <c r="AI659" s="34"/>
    </row>
    <row r="660" ht="15.75" customHeight="1">
      <c r="S660" s="33"/>
      <c r="AI660" s="34"/>
    </row>
    <row r="661" ht="15.75" customHeight="1">
      <c r="S661" s="33"/>
      <c r="AI661" s="34"/>
    </row>
    <row r="662" ht="15.75" customHeight="1">
      <c r="S662" s="33"/>
      <c r="AI662" s="34"/>
    </row>
    <row r="663" ht="15.75" customHeight="1">
      <c r="S663" s="33"/>
      <c r="AI663" s="34"/>
    </row>
    <row r="664" ht="15.75" customHeight="1">
      <c r="S664" s="33"/>
      <c r="AI664" s="34"/>
    </row>
    <row r="665" ht="15.75" customHeight="1">
      <c r="S665" s="33"/>
      <c r="AI665" s="34"/>
    </row>
    <row r="666" ht="15.75" customHeight="1">
      <c r="S666" s="33"/>
      <c r="AI666" s="34"/>
    </row>
    <row r="667" ht="15.75" customHeight="1">
      <c r="S667" s="33"/>
      <c r="AI667" s="34"/>
    </row>
    <row r="668" ht="15.75" customHeight="1">
      <c r="S668" s="33"/>
      <c r="AI668" s="34"/>
    </row>
    <row r="669" ht="15.75" customHeight="1">
      <c r="S669" s="33"/>
      <c r="AI669" s="34"/>
    </row>
    <row r="670" ht="15.75" customHeight="1">
      <c r="S670" s="33"/>
      <c r="AI670" s="34"/>
    </row>
    <row r="671" ht="15.75" customHeight="1">
      <c r="S671" s="33"/>
      <c r="AI671" s="34"/>
    </row>
    <row r="672" ht="15.75" customHeight="1">
      <c r="S672" s="33"/>
      <c r="AI672" s="34"/>
    </row>
    <row r="673" ht="15.75" customHeight="1">
      <c r="S673" s="33"/>
      <c r="AI673" s="34"/>
    </row>
    <row r="674" ht="15.75" customHeight="1">
      <c r="S674" s="33"/>
      <c r="AI674" s="34"/>
    </row>
    <row r="675" ht="15.75" customHeight="1">
      <c r="S675" s="33"/>
      <c r="AI675" s="34"/>
    </row>
    <row r="676" ht="15.75" customHeight="1">
      <c r="S676" s="33"/>
      <c r="AI676" s="34"/>
    </row>
    <row r="677" ht="15.75" customHeight="1">
      <c r="S677" s="33"/>
      <c r="AI677" s="34"/>
    </row>
    <row r="678" ht="15.75" customHeight="1">
      <c r="S678" s="33"/>
      <c r="AI678" s="34"/>
    </row>
    <row r="679" ht="15.75" customHeight="1">
      <c r="S679" s="33"/>
      <c r="AI679" s="34"/>
    </row>
    <row r="680" ht="15.75" customHeight="1">
      <c r="S680" s="33"/>
      <c r="AI680" s="34"/>
    </row>
    <row r="681" ht="15.75" customHeight="1">
      <c r="S681" s="33"/>
      <c r="AI681" s="34"/>
    </row>
    <row r="682" ht="15.75" customHeight="1">
      <c r="S682" s="33"/>
      <c r="AI682" s="34"/>
    </row>
    <row r="683" ht="15.75" customHeight="1">
      <c r="S683" s="33"/>
      <c r="AI683" s="34"/>
    </row>
    <row r="684" ht="15.75" customHeight="1">
      <c r="S684" s="33"/>
      <c r="AI684" s="34"/>
    </row>
    <row r="685" ht="15.75" customHeight="1">
      <c r="S685" s="33"/>
      <c r="AI685" s="34"/>
    </row>
    <row r="686" ht="15.75" customHeight="1">
      <c r="S686" s="33"/>
      <c r="AI686" s="34"/>
    </row>
    <row r="687" ht="15.75" customHeight="1">
      <c r="S687" s="33"/>
      <c r="AI687" s="34"/>
    </row>
    <row r="688" ht="15.75" customHeight="1">
      <c r="S688" s="33"/>
      <c r="AI688" s="34"/>
    </row>
    <row r="689" ht="15.75" customHeight="1">
      <c r="S689" s="33"/>
      <c r="AI689" s="34"/>
    </row>
    <row r="690" ht="15.75" customHeight="1">
      <c r="S690" s="33"/>
      <c r="AI690" s="34"/>
    </row>
    <row r="691" ht="15.75" customHeight="1">
      <c r="S691" s="33"/>
      <c r="AI691" s="34"/>
    </row>
    <row r="692" ht="15.75" customHeight="1">
      <c r="S692" s="33"/>
      <c r="AI692" s="34"/>
    </row>
    <row r="693" ht="15.75" customHeight="1">
      <c r="S693" s="33"/>
      <c r="AI693" s="34"/>
    </row>
    <row r="694" ht="15.75" customHeight="1">
      <c r="S694" s="33"/>
      <c r="AI694" s="34"/>
    </row>
    <row r="695" ht="15.75" customHeight="1">
      <c r="S695" s="33"/>
      <c r="AI695" s="34"/>
    </row>
    <row r="696" ht="15.75" customHeight="1">
      <c r="S696" s="33"/>
      <c r="AI696" s="34"/>
    </row>
    <row r="697" ht="15.75" customHeight="1">
      <c r="S697" s="33"/>
      <c r="AI697" s="34"/>
    </row>
    <row r="698" ht="15.75" customHeight="1">
      <c r="S698" s="33"/>
      <c r="AI698" s="34"/>
    </row>
    <row r="699" ht="15.75" customHeight="1">
      <c r="S699" s="33"/>
      <c r="AI699" s="34"/>
    </row>
    <row r="700" ht="15.75" customHeight="1">
      <c r="S700" s="33"/>
      <c r="AI700" s="34"/>
    </row>
    <row r="701" ht="15.75" customHeight="1">
      <c r="S701" s="33"/>
      <c r="AI701" s="34"/>
    </row>
    <row r="702" ht="15.75" customHeight="1">
      <c r="S702" s="33"/>
      <c r="AI702" s="34"/>
    </row>
    <row r="703" ht="15.75" customHeight="1">
      <c r="S703" s="33"/>
      <c r="AI703" s="34"/>
    </row>
    <row r="704" ht="15.75" customHeight="1">
      <c r="S704" s="33"/>
      <c r="AI704" s="34"/>
    </row>
    <row r="705" ht="15.75" customHeight="1">
      <c r="S705" s="33"/>
      <c r="AI705" s="34"/>
    </row>
    <row r="706" ht="15.75" customHeight="1">
      <c r="S706" s="33"/>
      <c r="AI706" s="34"/>
    </row>
    <row r="707" ht="15.75" customHeight="1">
      <c r="S707" s="33"/>
      <c r="AI707" s="34"/>
    </row>
    <row r="708" ht="15.75" customHeight="1">
      <c r="S708" s="33"/>
      <c r="AI708" s="34"/>
    </row>
    <row r="709" ht="15.75" customHeight="1">
      <c r="S709" s="33"/>
      <c r="AI709" s="34"/>
    </row>
    <row r="710" ht="15.75" customHeight="1">
      <c r="S710" s="33"/>
      <c r="AI710" s="34"/>
    </row>
    <row r="711" ht="15.75" customHeight="1">
      <c r="S711" s="33"/>
      <c r="AI711" s="34"/>
    </row>
    <row r="712" ht="15.75" customHeight="1">
      <c r="S712" s="33"/>
      <c r="AI712" s="34"/>
    </row>
    <row r="713" ht="15.75" customHeight="1">
      <c r="S713" s="33"/>
      <c r="AI713" s="34"/>
    </row>
    <row r="714" ht="15.75" customHeight="1">
      <c r="S714" s="33"/>
      <c r="AI714" s="34"/>
    </row>
    <row r="715" ht="15.75" customHeight="1">
      <c r="S715" s="33"/>
      <c r="AI715" s="34"/>
    </row>
    <row r="716" ht="15.75" customHeight="1">
      <c r="S716" s="33"/>
      <c r="AI716" s="34"/>
    </row>
    <row r="717" ht="15.75" customHeight="1">
      <c r="S717" s="33"/>
      <c r="AI717" s="34"/>
    </row>
    <row r="718" ht="15.75" customHeight="1">
      <c r="S718" s="33"/>
      <c r="AI718" s="34"/>
    </row>
    <row r="719" ht="15.75" customHeight="1">
      <c r="S719" s="33"/>
      <c r="AI719" s="34"/>
    </row>
    <row r="720" ht="15.75" customHeight="1">
      <c r="S720" s="33"/>
      <c r="AI720" s="34"/>
    </row>
    <row r="721" ht="15.75" customHeight="1">
      <c r="S721" s="33"/>
      <c r="AI721" s="34"/>
    </row>
    <row r="722" ht="15.75" customHeight="1">
      <c r="S722" s="33"/>
      <c r="AI722" s="34"/>
    </row>
    <row r="723" ht="15.75" customHeight="1">
      <c r="S723" s="33"/>
      <c r="AI723" s="34"/>
    </row>
    <row r="724" ht="15.75" customHeight="1">
      <c r="S724" s="33"/>
      <c r="AI724" s="34"/>
    </row>
    <row r="725" ht="15.75" customHeight="1">
      <c r="S725" s="33"/>
      <c r="AI725" s="34"/>
    </row>
    <row r="726" ht="15.75" customHeight="1">
      <c r="S726" s="33"/>
      <c r="AI726" s="34"/>
    </row>
    <row r="727" ht="15.75" customHeight="1">
      <c r="S727" s="33"/>
      <c r="AI727" s="34"/>
    </row>
    <row r="728" ht="15.75" customHeight="1">
      <c r="S728" s="33"/>
      <c r="AI728" s="34"/>
    </row>
    <row r="729" ht="15.75" customHeight="1">
      <c r="S729" s="33"/>
      <c r="AI729" s="34"/>
    </row>
    <row r="730" ht="15.75" customHeight="1">
      <c r="S730" s="33"/>
      <c r="AI730" s="34"/>
    </row>
    <row r="731" ht="15.75" customHeight="1">
      <c r="S731" s="33"/>
      <c r="AI731" s="34"/>
    </row>
    <row r="732" ht="15.75" customHeight="1">
      <c r="S732" s="33"/>
      <c r="AI732" s="34"/>
    </row>
    <row r="733" ht="15.75" customHeight="1">
      <c r="S733" s="33"/>
      <c r="AI733" s="34"/>
    </row>
    <row r="734" ht="15.75" customHeight="1">
      <c r="S734" s="33"/>
      <c r="AI734" s="34"/>
    </row>
    <row r="735" ht="15.75" customHeight="1">
      <c r="S735" s="33"/>
      <c r="AI735" s="34"/>
    </row>
    <row r="736" ht="15.75" customHeight="1">
      <c r="S736" s="33"/>
      <c r="AI736" s="34"/>
    </row>
    <row r="737" ht="15.75" customHeight="1">
      <c r="S737" s="33"/>
      <c r="AI737" s="34"/>
    </row>
    <row r="738" ht="15.75" customHeight="1">
      <c r="S738" s="33"/>
      <c r="AI738" s="34"/>
    </row>
    <row r="739" ht="15.75" customHeight="1">
      <c r="S739" s="33"/>
      <c r="AI739" s="34"/>
    </row>
    <row r="740" ht="15.75" customHeight="1">
      <c r="S740" s="33"/>
      <c r="AI740" s="34"/>
    </row>
    <row r="741" ht="15.75" customHeight="1">
      <c r="S741" s="33"/>
      <c r="AI741" s="34"/>
    </row>
    <row r="742" ht="15.75" customHeight="1">
      <c r="S742" s="33"/>
      <c r="AI742" s="34"/>
    </row>
    <row r="743" ht="15.75" customHeight="1">
      <c r="S743" s="33"/>
      <c r="AI743" s="34"/>
    </row>
    <row r="744" ht="15.75" customHeight="1">
      <c r="S744" s="33"/>
      <c r="AI744" s="34"/>
    </row>
    <row r="745" ht="15.75" customHeight="1">
      <c r="S745" s="33"/>
      <c r="AI745" s="34"/>
    </row>
    <row r="746" ht="15.75" customHeight="1">
      <c r="S746" s="33"/>
      <c r="AI746" s="34"/>
    </row>
    <row r="747" ht="15.75" customHeight="1">
      <c r="S747" s="33"/>
      <c r="AI747" s="34"/>
    </row>
    <row r="748" ht="15.75" customHeight="1">
      <c r="S748" s="33"/>
      <c r="AI748" s="34"/>
    </row>
    <row r="749" ht="15.75" customHeight="1">
      <c r="S749" s="33"/>
      <c r="AI749" s="34"/>
    </row>
    <row r="750" ht="15.75" customHeight="1">
      <c r="S750" s="33"/>
      <c r="AI750" s="34"/>
    </row>
    <row r="751" ht="15.75" customHeight="1">
      <c r="S751" s="33"/>
      <c r="AI751" s="34"/>
    </row>
    <row r="752" ht="15.75" customHeight="1">
      <c r="S752" s="33"/>
      <c r="AI752" s="34"/>
    </row>
    <row r="753" ht="15.75" customHeight="1">
      <c r="S753" s="33"/>
      <c r="AI753" s="34"/>
    </row>
    <row r="754" ht="15.75" customHeight="1">
      <c r="S754" s="33"/>
      <c r="AI754" s="34"/>
    </row>
    <row r="755" ht="15.75" customHeight="1">
      <c r="S755" s="33"/>
      <c r="AI755" s="34"/>
    </row>
    <row r="756" ht="15.75" customHeight="1">
      <c r="S756" s="33"/>
      <c r="AI756" s="34"/>
    </row>
    <row r="757" ht="15.75" customHeight="1">
      <c r="S757" s="33"/>
      <c r="AI757" s="34"/>
    </row>
    <row r="758" ht="15.75" customHeight="1">
      <c r="S758" s="33"/>
      <c r="AI758" s="34"/>
    </row>
    <row r="759" ht="15.75" customHeight="1">
      <c r="S759" s="33"/>
      <c r="AI759" s="34"/>
    </row>
    <row r="760" ht="15.75" customHeight="1">
      <c r="S760" s="33"/>
      <c r="AI760" s="34"/>
    </row>
    <row r="761" ht="15.75" customHeight="1">
      <c r="S761" s="33"/>
      <c r="AI761" s="34"/>
    </row>
    <row r="762" ht="15.75" customHeight="1">
      <c r="S762" s="33"/>
      <c r="AI762" s="34"/>
    </row>
    <row r="763" ht="15.75" customHeight="1">
      <c r="S763" s="33"/>
      <c r="AI763" s="34"/>
    </row>
    <row r="764" ht="15.75" customHeight="1">
      <c r="S764" s="33"/>
      <c r="AI764" s="34"/>
    </row>
    <row r="765" ht="15.75" customHeight="1">
      <c r="S765" s="33"/>
      <c r="AI765" s="34"/>
    </row>
    <row r="766" ht="15.75" customHeight="1">
      <c r="S766" s="33"/>
      <c r="AI766" s="34"/>
    </row>
    <row r="767" ht="15.75" customHeight="1">
      <c r="S767" s="33"/>
      <c r="AI767" s="34"/>
    </row>
    <row r="768" ht="15.75" customHeight="1">
      <c r="S768" s="33"/>
      <c r="AI768" s="34"/>
    </row>
    <row r="769" ht="15.75" customHeight="1">
      <c r="S769" s="33"/>
      <c r="AI769" s="34"/>
    </row>
    <row r="770" ht="15.75" customHeight="1">
      <c r="S770" s="33"/>
      <c r="AI770" s="34"/>
    </row>
    <row r="771" ht="15.75" customHeight="1">
      <c r="S771" s="33"/>
      <c r="AI771" s="34"/>
    </row>
    <row r="772" ht="15.75" customHeight="1">
      <c r="S772" s="33"/>
      <c r="AI772" s="34"/>
    </row>
    <row r="773" ht="15.75" customHeight="1">
      <c r="S773" s="33"/>
      <c r="AI773" s="34"/>
    </row>
    <row r="774" ht="15.75" customHeight="1">
      <c r="S774" s="33"/>
      <c r="AI774" s="34"/>
    </row>
    <row r="775" ht="15.75" customHeight="1">
      <c r="S775" s="33"/>
      <c r="AI775" s="34"/>
    </row>
    <row r="776" ht="15.75" customHeight="1">
      <c r="S776" s="33"/>
      <c r="AI776" s="34"/>
    </row>
    <row r="777" ht="15.75" customHeight="1">
      <c r="S777" s="33"/>
      <c r="AI777" s="34"/>
    </row>
    <row r="778" ht="15.75" customHeight="1">
      <c r="S778" s="33"/>
      <c r="AI778" s="34"/>
    </row>
    <row r="779" ht="15.75" customHeight="1">
      <c r="S779" s="33"/>
      <c r="AI779" s="34"/>
    </row>
    <row r="780" ht="15.75" customHeight="1">
      <c r="S780" s="33"/>
      <c r="AI780" s="34"/>
    </row>
    <row r="781" ht="15.75" customHeight="1">
      <c r="S781" s="33"/>
      <c r="AI781" s="34"/>
    </row>
    <row r="782" ht="15.75" customHeight="1">
      <c r="S782" s="33"/>
      <c r="AI782" s="34"/>
    </row>
    <row r="783" ht="15.75" customHeight="1">
      <c r="S783" s="33"/>
      <c r="AI783" s="34"/>
    </row>
    <row r="784" ht="15.75" customHeight="1">
      <c r="S784" s="33"/>
      <c r="AI784" s="34"/>
    </row>
    <row r="785" ht="15.75" customHeight="1">
      <c r="S785" s="33"/>
      <c r="AI785" s="34"/>
    </row>
    <row r="786" ht="15.75" customHeight="1">
      <c r="S786" s="33"/>
      <c r="AI786" s="34"/>
    </row>
    <row r="787" ht="15.75" customHeight="1">
      <c r="S787" s="33"/>
      <c r="AI787" s="34"/>
    </row>
    <row r="788" ht="15.75" customHeight="1">
      <c r="S788" s="33"/>
      <c r="AI788" s="34"/>
    </row>
    <row r="789" ht="15.75" customHeight="1">
      <c r="S789" s="33"/>
      <c r="AI789" s="34"/>
    </row>
    <row r="790" ht="15.75" customHeight="1">
      <c r="S790" s="33"/>
      <c r="AI790" s="34"/>
    </row>
    <row r="791" ht="15.75" customHeight="1">
      <c r="S791" s="33"/>
      <c r="AI791" s="34"/>
    </row>
    <row r="792" ht="15.75" customHeight="1">
      <c r="S792" s="33"/>
      <c r="AI792" s="34"/>
    </row>
    <row r="793" ht="15.75" customHeight="1">
      <c r="S793" s="33"/>
      <c r="AI793" s="34"/>
    </row>
    <row r="794" ht="15.75" customHeight="1">
      <c r="S794" s="33"/>
      <c r="AI794" s="34"/>
    </row>
    <row r="795" ht="15.75" customHeight="1">
      <c r="S795" s="33"/>
      <c r="AI795" s="34"/>
    </row>
    <row r="796" ht="15.75" customHeight="1">
      <c r="S796" s="33"/>
      <c r="AI796" s="34"/>
    </row>
    <row r="797" ht="15.75" customHeight="1">
      <c r="S797" s="33"/>
      <c r="AI797" s="34"/>
    </row>
    <row r="798" ht="15.75" customHeight="1">
      <c r="S798" s="33"/>
      <c r="AI798" s="34"/>
    </row>
    <row r="799" ht="15.75" customHeight="1">
      <c r="S799" s="33"/>
      <c r="AI799" s="34"/>
    </row>
    <row r="800" ht="15.75" customHeight="1">
      <c r="S800" s="33"/>
      <c r="AI800" s="34"/>
    </row>
    <row r="801" ht="15.75" customHeight="1">
      <c r="S801" s="33"/>
      <c r="AI801" s="34"/>
    </row>
    <row r="802" ht="15.75" customHeight="1">
      <c r="S802" s="33"/>
      <c r="AI802" s="34"/>
    </row>
    <row r="803" ht="15.75" customHeight="1">
      <c r="S803" s="33"/>
      <c r="AI803" s="34"/>
    </row>
    <row r="804" ht="15.75" customHeight="1">
      <c r="S804" s="33"/>
      <c r="AI804" s="34"/>
    </row>
    <row r="805" ht="15.75" customHeight="1">
      <c r="S805" s="33"/>
      <c r="AI805" s="34"/>
    </row>
    <row r="806" ht="15.75" customHeight="1">
      <c r="S806" s="33"/>
      <c r="AI806" s="34"/>
    </row>
    <row r="807" ht="15.75" customHeight="1">
      <c r="S807" s="33"/>
      <c r="AI807" s="34"/>
    </row>
    <row r="808" ht="15.75" customHeight="1">
      <c r="S808" s="33"/>
      <c r="AI808" s="34"/>
    </row>
    <row r="809" ht="15.75" customHeight="1">
      <c r="S809" s="33"/>
      <c r="AI809" s="34"/>
    </row>
    <row r="810" ht="15.75" customHeight="1">
      <c r="S810" s="33"/>
      <c r="AI810" s="34"/>
    </row>
    <row r="811" ht="15.75" customHeight="1">
      <c r="S811" s="33"/>
      <c r="AI811" s="34"/>
    </row>
    <row r="812" ht="15.75" customHeight="1">
      <c r="S812" s="33"/>
      <c r="AI812" s="34"/>
    </row>
    <row r="813" ht="15.75" customHeight="1">
      <c r="S813" s="33"/>
      <c r="AI813" s="34"/>
    </row>
    <row r="814" ht="15.75" customHeight="1">
      <c r="S814" s="33"/>
      <c r="AI814" s="34"/>
    </row>
    <row r="815" ht="15.75" customHeight="1">
      <c r="S815" s="33"/>
      <c r="AI815" s="34"/>
    </row>
    <row r="816" ht="15.75" customHeight="1">
      <c r="S816" s="33"/>
      <c r="AI816" s="34"/>
    </row>
    <row r="817" ht="15.75" customHeight="1">
      <c r="S817" s="33"/>
      <c r="AI817" s="34"/>
    </row>
    <row r="818" ht="15.75" customHeight="1">
      <c r="S818" s="33"/>
      <c r="AI818" s="34"/>
    </row>
    <row r="819" ht="15.75" customHeight="1">
      <c r="S819" s="33"/>
      <c r="AI819" s="34"/>
    </row>
    <row r="820" ht="15.75" customHeight="1">
      <c r="S820" s="33"/>
      <c r="AI820" s="34"/>
    </row>
    <row r="821" ht="15.75" customHeight="1">
      <c r="S821" s="33"/>
      <c r="AI821" s="34"/>
    </row>
    <row r="822" ht="15.75" customHeight="1">
      <c r="S822" s="33"/>
      <c r="AI822" s="34"/>
    </row>
    <row r="823" ht="15.75" customHeight="1">
      <c r="S823" s="33"/>
      <c r="AI823" s="34"/>
    </row>
    <row r="824" ht="15.75" customHeight="1">
      <c r="S824" s="33"/>
      <c r="AI824" s="34"/>
    </row>
    <row r="825" ht="15.75" customHeight="1">
      <c r="S825" s="33"/>
      <c r="AI825" s="34"/>
    </row>
    <row r="826" ht="15.75" customHeight="1">
      <c r="S826" s="33"/>
      <c r="AI826" s="34"/>
    </row>
    <row r="827" ht="15.75" customHeight="1">
      <c r="S827" s="33"/>
      <c r="AI827" s="34"/>
    </row>
    <row r="828" ht="15.75" customHeight="1">
      <c r="S828" s="33"/>
      <c r="AI828" s="34"/>
    </row>
    <row r="829" ht="15.75" customHeight="1">
      <c r="S829" s="33"/>
      <c r="AI829" s="34"/>
    </row>
    <row r="830" ht="15.75" customHeight="1">
      <c r="S830" s="33"/>
      <c r="AI830" s="34"/>
    </row>
    <row r="831" ht="15.75" customHeight="1">
      <c r="S831" s="33"/>
      <c r="AI831" s="34"/>
    </row>
    <row r="832" ht="15.75" customHeight="1">
      <c r="S832" s="33"/>
      <c r="AI832" s="34"/>
    </row>
    <row r="833" ht="15.75" customHeight="1">
      <c r="S833" s="33"/>
      <c r="AI833" s="34"/>
    </row>
    <row r="834" ht="15.75" customHeight="1">
      <c r="S834" s="33"/>
      <c r="AI834" s="34"/>
    </row>
    <row r="835" ht="15.75" customHeight="1">
      <c r="S835" s="33"/>
      <c r="AI835" s="34"/>
    </row>
    <row r="836" ht="15.75" customHeight="1">
      <c r="S836" s="33"/>
      <c r="AI836" s="34"/>
    </row>
    <row r="837" ht="15.75" customHeight="1">
      <c r="S837" s="33"/>
      <c r="AI837" s="34"/>
    </row>
    <row r="838" ht="15.75" customHeight="1">
      <c r="S838" s="33"/>
      <c r="AI838" s="34"/>
    </row>
    <row r="839" ht="15.75" customHeight="1">
      <c r="S839" s="33"/>
      <c r="AI839" s="34"/>
    </row>
    <row r="840" ht="15.75" customHeight="1">
      <c r="S840" s="33"/>
      <c r="AI840" s="34"/>
    </row>
    <row r="841" ht="15.75" customHeight="1">
      <c r="S841" s="33"/>
      <c r="AI841" s="34"/>
    </row>
    <row r="842" ht="15.75" customHeight="1">
      <c r="S842" s="33"/>
      <c r="AI842" s="34"/>
    </row>
    <row r="843" ht="15.75" customHeight="1">
      <c r="S843" s="33"/>
      <c r="AI843" s="34"/>
    </row>
    <row r="844" ht="15.75" customHeight="1">
      <c r="S844" s="33"/>
      <c r="AI844" s="34"/>
    </row>
    <row r="845" ht="15.75" customHeight="1">
      <c r="S845" s="33"/>
      <c r="AI845" s="34"/>
    </row>
    <row r="846" ht="15.75" customHeight="1">
      <c r="S846" s="33"/>
      <c r="AI846" s="34"/>
    </row>
    <row r="847" ht="15.75" customHeight="1">
      <c r="S847" s="33"/>
      <c r="AI847" s="34"/>
    </row>
    <row r="848" ht="15.75" customHeight="1">
      <c r="S848" s="33"/>
      <c r="AI848" s="34"/>
    </row>
    <row r="849" ht="15.75" customHeight="1">
      <c r="S849" s="33"/>
      <c r="AI849" s="34"/>
    </row>
    <row r="850" ht="15.75" customHeight="1">
      <c r="S850" s="33"/>
      <c r="AI850" s="34"/>
    </row>
    <row r="851" ht="15.75" customHeight="1">
      <c r="S851" s="33"/>
      <c r="AI851" s="34"/>
    </row>
    <row r="852" ht="15.75" customHeight="1">
      <c r="S852" s="33"/>
      <c r="AI852" s="34"/>
    </row>
    <row r="853" ht="15.75" customHeight="1">
      <c r="S853" s="33"/>
      <c r="AI853" s="34"/>
    </row>
    <row r="854" ht="15.75" customHeight="1">
      <c r="S854" s="33"/>
      <c r="AI854" s="34"/>
    </row>
    <row r="855" ht="15.75" customHeight="1">
      <c r="S855" s="33"/>
      <c r="AI855" s="34"/>
    </row>
    <row r="856" ht="15.75" customHeight="1">
      <c r="S856" s="33"/>
      <c r="AI856" s="34"/>
    </row>
    <row r="857" ht="15.75" customHeight="1">
      <c r="S857" s="33"/>
      <c r="AI857" s="34"/>
    </row>
    <row r="858" ht="15.75" customHeight="1">
      <c r="S858" s="33"/>
      <c r="AI858" s="34"/>
    </row>
    <row r="859" ht="15.75" customHeight="1">
      <c r="S859" s="33"/>
      <c r="AI859" s="34"/>
    </row>
    <row r="860" ht="15.75" customHeight="1">
      <c r="S860" s="33"/>
      <c r="AI860" s="34"/>
    </row>
    <row r="861" ht="15.75" customHeight="1">
      <c r="S861" s="33"/>
      <c r="AI861" s="34"/>
    </row>
    <row r="862" ht="15.75" customHeight="1">
      <c r="S862" s="33"/>
      <c r="AI862" s="34"/>
    </row>
    <row r="863" ht="15.75" customHeight="1">
      <c r="S863" s="33"/>
      <c r="AI863" s="34"/>
    </row>
    <row r="864" ht="15.75" customHeight="1">
      <c r="S864" s="33"/>
      <c r="AI864" s="34"/>
    </row>
    <row r="865" ht="15.75" customHeight="1">
      <c r="S865" s="33"/>
      <c r="AI865" s="34"/>
    </row>
    <row r="866" ht="15.75" customHeight="1">
      <c r="S866" s="33"/>
      <c r="AI866" s="34"/>
    </row>
    <row r="867" ht="15.75" customHeight="1">
      <c r="S867" s="33"/>
      <c r="AI867" s="34"/>
    </row>
    <row r="868" ht="15.75" customHeight="1">
      <c r="S868" s="33"/>
      <c r="AI868" s="34"/>
    </row>
    <row r="869" ht="15.75" customHeight="1">
      <c r="S869" s="33"/>
      <c r="AI869" s="34"/>
    </row>
    <row r="870" ht="15.75" customHeight="1">
      <c r="S870" s="33"/>
      <c r="AI870" s="34"/>
    </row>
    <row r="871" ht="15.75" customHeight="1">
      <c r="S871" s="33"/>
      <c r="AI871" s="34"/>
    </row>
    <row r="872" ht="15.75" customHeight="1">
      <c r="S872" s="33"/>
      <c r="AI872" s="34"/>
    </row>
    <row r="873" ht="15.75" customHeight="1">
      <c r="S873" s="33"/>
      <c r="AI873" s="34"/>
    </row>
    <row r="874" ht="15.75" customHeight="1">
      <c r="S874" s="33"/>
      <c r="AI874" s="34"/>
    </row>
    <row r="875" ht="15.75" customHeight="1">
      <c r="S875" s="33"/>
      <c r="AI875" s="34"/>
    </row>
    <row r="876" ht="15.75" customHeight="1">
      <c r="S876" s="33"/>
      <c r="AI876" s="34"/>
    </row>
    <row r="877" ht="15.75" customHeight="1">
      <c r="S877" s="33"/>
      <c r="AI877" s="34"/>
    </row>
    <row r="878" ht="15.75" customHeight="1">
      <c r="S878" s="33"/>
      <c r="AI878" s="34"/>
    </row>
    <row r="879" ht="15.75" customHeight="1">
      <c r="S879" s="33"/>
      <c r="AI879" s="34"/>
    </row>
    <row r="880" ht="15.75" customHeight="1">
      <c r="S880" s="33"/>
      <c r="AI880" s="34"/>
    </row>
    <row r="881" ht="15.75" customHeight="1">
      <c r="S881" s="33"/>
      <c r="AI881" s="34"/>
    </row>
    <row r="882" ht="15.75" customHeight="1">
      <c r="S882" s="33"/>
      <c r="AI882" s="34"/>
    </row>
    <row r="883" ht="15.75" customHeight="1">
      <c r="S883" s="33"/>
      <c r="AI883" s="34"/>
    </row>
    <row r="884" ht="15.75" customHeight="1">
      <c r="S884" s="33"/>
      <c r="AI884" s="34"/>
    </row>
    <row r="885" ht="15.75" customHeight="1">
      <c r="S885" s="33"/>
      <c r="AI885" s="34"/>
    </row>
    <row r="886" ht="15.75" customHeight="1">
      <c r="S886" s="33"/>
      <c r="AI886" s="34"/>
    </row>
    <row r="887" ht="15.75" customHeight="1">
      <c r="S887" s="33"/>
      <c r="AI887" s="34"/>
    </row>
    <row r="888" ht="15.75" customHeight="1">
      <c r="S888" s="33"/>
      <c r="AI888" s="34"/>
    </row>
    <row r="889" ht="15.75" customHeight="1">
      <c r="S889" s="33"/>
      <c r="AI889" s="34"/>
    </row>
    <row r="890" ht="15.75" customHeight="1">
      <c r="S890" s="33"/>
      <c r="AI890" s="34"/>
    </row>
    <row r="891" ht="15.75" customHeight="1">
      <c r="S891" s="33"/>
      <c r="AI891" s="34"/>
    </row>
    <row r="892" ht="15.75" customHeight="1">
      <c r="S892" s="33"/>
      <c r="AI892" s="34"/>
    </row>
    <row r="893" ht="15.75" customHeight="1">
      <c r="S893" s="33"/>
      <c r="AI893" s="34"/>
    </row>
    <row r="894" ht="15.75" customHeight="1">
      <c r="S894" s="33"/>
      <c r="AI894" s="34"/>
    </row>
    <row r="895" ht="15.75" customHeight="1">
      <c r="S895" s="33"/>
      <c r="AI895" s="34"/>
    </row>
    <row r="896" ht="15.75" customHeight="1">
      <c r="S896" s="33"/>
      <c r="AI896" s="34"/>
    </row>
    <row r="897" ht="15.75" customHeight="1">
      <c r="S897" s="33"/>
      <c r="AI897" s="34"/>
    </row>
    <row r="898" ht="15.75" customHeight="1">
      <c r="S898" s="33"/>
      <c r="AI898" s="34"/>
    </row>
    <row r="899" ht="15.75" customHeight="1">
      <c r="S899" s="33"/>
      <c r="AI899" s="34"/>
    </row>
    <row r="900" ht="15.75" customHeight="1">
      <c r="S900" s="33"/>
      <c r="AI900" s="34"/>
    </row>
    <row r="901" ht="15.75" customHeight="1">
      <c r="S901" s="33"/>
      <c r="AI901" s="34"/>
    </row>
    <row r="902" ht="15.75" customHeight="1">
      <c r="S902" s="33"/>
      <c r="AI902" s="34"/>
    </row>
    <row r="903" ht="15.75" customHeight="1">
      <c r="S903" s="33"/>
      <c r="AI903" s="34"/>
    </row>
    <row r="904" ht="15.75" customHeight="1">
      <c r="S904" s="33"/>
      <c r="AI904" s="34"/>
    </row>
    <row r="905" ht="15.75" customHeight="1">
      <c r="S905" s="33"/>
      <c r="AI905" s="34"/>
    </row>
    <row r="906" ht="15.75" customHeight="1">
      <c r="S906" s="33"/>
      <c r="AI906" s="34"/>
    </row>
    <row r="907" ht="15.75" customHeight="1">
      <c r="S907" s="33"/>
      <c r="AI907" s="34"/>
    </row>
    <row r="908" ht="15.75" customHeight="1">
      <c r="S908" s="33"/>
      <c r="AI908" s="34"/>
    </row>
    <row r="909" ht="15.75" customHeight="1">
      <c r="S909" s="33"/>
      <c r="AI909" s="34"/>
    </row>
    <row r="910" ht="15.75" customHeight="1">
      <c r="S910" s="33"/>
      <c r="AI910" s="34"/>
    </row>
    <row r="911" ht="15.75" customHeight="1">
      <c r="S911" s="33"/>
      <c r="AI911" s="34"/>
    </row>
    <row r="912" ht="15.75" customHeight="1">
      <c r="S912" s="33"/>
      <c r="AI912" s="34"/>
    </row>
    <row r="913" ht="15.75" customHeight="1">
      <c r="S913" s="33"/>
      <c r="AI913" s="34"/>
    </row>
    <row r="914" ht="15.75" customHeight="1">
      <c r="S914" s="33"/>
      <c r="AI914" s="34"/>
    </row>
    <row r="915" ht="15.75" customHeight="1">
      <c r="S915" s="33"/>
      <c r="AI915" s="34"/>
    </row>
    <row r="916" ht="15.75" customHeight="1">
      <c r="S916" s="33"/>
      <c r="AI916" s="34"/>
    </row>
    <row r="917" ht="15.75" customHeight="1">
      <c r="S917" s="33"/>
      <c r="AI917" s="34"/>
    </row>
    <row r="918" ht="15.75" customHeight="1">
      <c r="S918" s="33"/>
      <c r="AI918" s="34"/>
    </row>
    <row r="919" ht="15.75" customHeight="1">
      <c r="S919" s="33"/>
      <c r="AI919" s="34"/>
    </row>
    <row r="920" ht="15.75" customHeight="1">
      <c r="S920" s="33"/>
      <c r="AI920" s="34"/>
    </row>
    <row r="921" ht="15.75" customHeight="1">
      <c r="S921" s="33"/>
      <c r="AI921" s="34"/>
    </row>
    <row r="922" ht="15.75" customHeight="1">
      <c r="S922" s="33"/>
      <c r="AI922" s="34"/>
    </row>
    <row r="923" ht="15.75" customHeight="1">
      <c r="S923" s="33"/>
      <c r="AI923" s="34"/>
    </row>
    <row r="924" ht="15.75" customHeight="1">
      <c r="S924" s="33"/>
      <c r="AI924" s="34"/>
    </row>
    <row r="925" ht="15.75" customHeight="1">
      <c r="S925" s="33"/>
      <c r="AI925" s="34"/>
    </row>
    <row r="926" ht="15.75" customHeight="1">
      <c r="S926" s="33"/>
      <c r="AI926" s="34"/>
    </row>
    <row r="927" ht="15.75" customHeight="1">
      <c r="S927" s="33"/>
      <c r="AI927" s="34"/>
    </row>
    <row r="928" ht="15.75" customHeight="1">
      <c r="S928" s="33"/>
      <c r="AI928" s="34"/>
    </row>
    <row r="929" ht="15.75" customHeight="1">
      <c r="S929" s="33"/>
      <c r="AI929" s="34"/>
    </row>
    <row r="930" ht="15.75" customHeight="1">
      <c r="S930" s="33"/>
      <c r="AI930" s="34"/>
    </row>
    <row r="931" ht="15.75" customHeight="1">
      <c r="S931" s="33"/>
      <c r="AI931" s="34"/>
    </row>
    <row r="932" ht="15.75" customHeight="1">
      <c r="S932" s="33"/>
      <c r="AI932" s="34"/>
    </row>
    <row r="933" ht="15.75" customHeight="1">
      <c r="S933" s="33"/>
      <c r="AI933" s="34"/>
    </row>
    <row r="934" ht="15.75" customHeight="1">
      <c r="S934" s="33"/>
      <c r="AI934" s="34"/>
    </row>
    <row r="935" ht="15.75" customHeight="1">
      <c r="S935" s="33"/>
      <c r="AI935" s="34"/>
    </row>
    <row r="936" ht="15.75" customHeight="1">
      <c r="S936" s="33"/>
      <c r="AI936" s="34"/>
    </row>
    <row r="937" ht="15.75" customHeight="1">
      <c r="S937" s="33"/>
      <c r="AI937" s="34"/>
    </row>
    <row r="938" ht="15.75" customHeight="1">
      <c r="S938" s="33"/>
      <c r="AI938" s="34"/>
    </row>
    <row r="939" ht="15.75" customHeight="1">
      <c r="S939" s="33"/>
      <c r="AI939" s="34"/>
    </row>
    <row r="940" ht="15.75" customHeight="1">
      <c r="S940" s="33"/>
      <c r="AI940" s="34"/>
    </row>
    <row r="941" ht="15.75" customHeight="1">
      <c r="S941" s="33"/>
      <c r="AI941" s="34"/>
    </row>
    <row r="942" ht="15.75" customHeight="1">
      <c r="S942" s="33"/>
      <c r="AI942" s="34"/>
    </row>
    <row r="943" ht="15.75" customHeight="1">
      <c r="S943" s="33"/>
      <c r="AI943" s="34"/>
    </row>
    <row r="944" ht="15.75" customHeight="1">
      <c r="S944" s="33"/>
      <c r="AI944" s="34"/>
    </row>
    <row r="945" ht="15.75" customHeight="1">
      <c r="S945" s="33"/>
      <c r="AI945" s="34"/>
    </row>
    <row r="946" ht="15.75" customHeight="1">
      <c r="S946" s="33"/>
      <c r="AI946" s="34"/>
    </row>
    <row r="947" ht="15.75" customHeight="1">
      <c r="S947" s="33"/>
      <c r="AI947" s="34"/>
    </row>
    <row r="948" ht="15.75" customHeight="1">
      <c r="S948" s="33"/>
      <c r="AI948" s="34"/>
    </row>
    <row r="949" ht="15.75" customHeight="1">
      <c r="S949" s="33"/>
      <c r="AI949" s="34"/>
    </row>
    <row r="950" ht="15.75" customHeight="1">
      <c r="S950" s="33"/>
      <c r="AI950" s="34"/>
    </row>
    <row r="951" ht="15.75" customHeight="1">
      <c r="S951" s="33"/>
      <c r="AI951" s="34"/>
    </row>
    <row r="952" ht="15.75" customHeight="1">
      <c r="S952" s="33"/>
      <c r="AI952" s="34"/>
    </row>
    <row r="953" ht="15.75" customHeight="1">
      <c r="S953" s="33"/>
      <c r="AI953" s="34"/>
    </row>
    <row r="954" ht="15.75" customHeight="1">
      <c r="S954" s="33"/>
      <c r="AI954" s="34"/>
    </row>
    <row r="955" ht="15.75" customHeight="1">
      <c r="S955" s="33"/>
      <c r="AI955" s="34"/>
    </row>
    <row r="956" ht="15.75" customHeight="1">
      <c r="S956" s="33"/>
      <c r="AI956" s="34"/>
    </row>
    <row r="957" ht="15.75" customHeight="1">
      <c r="S957" s="33"/>
      <c r="AI957" s="34"/>
    </row>
    <row r="958" ht="15.75" customHeight="1">
      <c r="S958" s="33"/>
      <c r="AI958" s="34"/>
    </row>
    <row r="959" ht="15.75" customHeight="1">
      <c r="S959" s="33"/>
      <c r="AI959" s="34"/>
    </row>
    <row r="960" ht="15.75" customHeight="1">
      <c r="S960" s="33"/>
      <c r="AI960" s="34"/>
    </row>
    <row r="961" ht="15.75" customHeight="1">
      <c r="S961" s="33"/>
      <c r="AI961" s="34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3.75"/>
    <col customWidth="1" min="50" max="50" width="6.75"/>
    <col customWidth="1" min="51" max="52" width="11.38"/>
    <col customWidth="1" min="53" max="53" width="21.75"/>
    <col customWidth="1" min="54" max="54" width="11.5"/>
    <col customWidth="1" min="55" max="61" width="26.5"/>
  </cols>
  <sheetData>
    <row r="1" ht="24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365</v>
      </c>
      <c r="H1" s="3" t="s">
        <v>7</v>
      </c>
      <c r="I1" s="3" t="s">
        <v>366</v>
      </c>
      <c r="J1" s="3" t="s">
        <v>13</v>
      </c>
      <c r="K1" s="3" t="s">
        <v>9</v>
      </c>
      <c r="L1" s="3" t="s">
        <v>10</v>
      </c>
      <c r="M1" s="3" t="s">
        <v>367</v>
      </c>
      <c r="N1" s="3" t="s">
        <v>7</v>
      </c>
      <c r="O1" s="3" t="s">
        <v>9</v>
      </c>
      <c r="P1" s="3" t="s">
        <v>10</v>
      </c>
      <c r="Q1" s="3" t="s">
        <v>368</v>
      </c>
      <c r="R1" s="3" t="s">
        <v>13</v>
      </c>
      <c r="S1" s="3" t="s">
        <v>9</v>
      </c>
      <c r="T1" s="3" t="s">
        <v>10</v>
      </c>
      <c r="U1" s="3" t="s">
        <v>369</v>
      </c>
      <c r="V1" s="3" t="s">
        <v>13</v>
      </c>
      <c r="W1" s="3" t="s">
        <v>370</v>
      </c>
      <c r="X1" s="3" t="s">
        <v>371</v>
      </c>
      <c r="Y1" s="3" t="s">
        <v>372</v>
      </c>
      <c r="Z1" s="3" t="s">
        <v>13</v>
      </c>
      <c r="AA1" s="3" t="s">
        <v>370</v>
      </c>
      <c r="AB1" s="3" t="s">
        <v>10</v>
      </c>
      <c r="AC1" s="35" t="s">
        <v>373</v>
      </c>
      <c r="AD1" s="36" t="s">
        <v>13</v>
      </c>
      <c r="AE1" s="3" t="s">
        <v>370</v>
      </c>
      <c r="AF1" s="3" t="s">
        <v>10</v>
      </c>
      <c r="AG1" s="3" t="s">
        <v>374</v>
      </c>
      <c r="AH1" s="3" t="s">
        <v>13</v>
      </c>
      <c r="AI1" s="3" t="s">
        <v>9</v>
      </c>
      <c r="AJ1" s="3" t="s">
        <v>10</v>
      </c>
      <c r="AK1" s="3" t="s">
        <v>375</v>
      </c>
      <c r="AL1" s="3" t="s">
        <v>13</v>
      </c>
      <c r="AM1" s="3" t="s">
        <v>9</v>
      </c>
      <c r="AN1" s="3" t="s">
        <v>10</v>
      </c>
      <c r="AO1" s="3" t="s">
        <v>376</v>
      </c>
      <c r="AP1" s="3" t="s">
        <v>13</v>
      </c>
      <c r="AQ1" s="3" t="s">
        <v>9</v>
      </c>
      <c r="AR1" s="3" t="s">
        <v>10</v>
      </c>
      <c r="AS1" s="3" t="s">
        <v>377</v>
      </c>
      <c r="AT1" s="3" t="s">
        <v>13</v>
      </c>
      <c r="AU1" s="3" t="s">
        <v>370</v>
      </c>
      <c r="AV1" s="3" t="s">
        <v>10</v>
      </c>
      <c r="AW1" s="7" t="s">
        <v>378</v>
      </c>
      <c r="AX1" s="3" t="s">
        <v>13</v>
      </c>
      <c r="AY1" s="3" t="s">
        <v>370</v>
      </c>
      <c r="AZ1" s="3" t="s">
        <v>10</v>
      </c>
      <c r="BA1" s="37" t="s">
        <v>379</v>
      </c>
      <c r="BB1" s="37" t="s">
        <v>13</v>
      </c>
      <c r="BC1" s="38"/>
      <c r="BD1" s="38"/>
      <c r="BE1" s="38"/>
      <c r="BF1" s="38"/>
      <c r="BG1" s="38"/>
      <c r="BH1" s="38"/>
      <c r="BI1" s="38"/>
    </row>
    <row r="2" ht="15.75" customHeight="1">
      <c r="A2" s="8">
        <v>1412.0</v>
      </c>
      <c r="B2" s="8" t="s">
        <v>380</v>
      </c>
      <c r="C2" s="9" t="str">
        <f t="shared" ref="C2:C21" si="1">CONCATENATE(D2,"_",F2)</f>
        <v>TK-01_BS VI HSD</v>
      </c>
      <c r="D2" s="10" t="s">
        <v>49</v>
      </c>
      <c r="E2" s="10" t="s">
        <v>50</v>
      </c>
      <c r="F2" s="10" t="s">
        <v>51</v>
      </c>
      <c r="G2" s="12" t="s">
        <v>381</v>
      </c>
      <c r="H2" s="14">
        <v>0.0</v>
      </c>
      <c r="I2" s="12" t="s">
        <v>382</v>
      </c>
      <c r="J2" s="14">
        <v>0.0</v>
      </c>
      <c r="K2" s="16" t="str">
        <f t="shared" ref="K2:K21" si="2">MID(I2,13,6)</f>
        <v>LSW-01</v>
      </c>
      <c r="L2" s="20" t="s">
        <v>60</v>
      </c>
      <c r="M2" s="12" t="s">
        <v>383</v>
      </c>
      <c r="N2" s="14">
        <v>0.0</v>
      </c>
      <c r="O2" s="16" t="str">
        <f t="shared" ref="O2:O21" si="3">MID(M2,13,6)</f>
        <v>RDR-01</v>
      </c>
      <c r="P2" s="20" t="s">
        <v>65</v>
      </c>
      <c r="Q2" s="12" t="s">
        <v>384</v>
      </c>
      <c r="R2" s="14">
        <v>0.0</v>
      </c>
      <c r="S2" s="16" t="str">
        <f t="shared" ref="S2:S21" si="4">MID(Q2,5,8)</f>
        <v>ROSOV-01</v>
      </c>
      <c r="T2" s="20" t="s">
        <v>69</v>
      </c>
      <c r="U2" s="17"/>
      <c r="V2" s="17"/>
      <c r="W2" s="17"/>
      <c r="X2" s="17"/>
      <c r="Y2" s="18" t="s">
        <v>385</v>
      </c>
      <c r="Z2" s="19">
        <v>0.0</v>
      </c>
      <c r="AA2" s="16" t="str">
        <f t="shared" ref="AA2:AA21" si="5">MID(Y2,5,8)</f>
        <v>ROSOV-02</v>
      </c>
      <c r="AB2" s="20" t="s">
        <v>74</v>
      </c>
      <c r="AC2" s="18" t="s">
        <v>386</v>
      </c>
      <c r="AD2" s="19">
        <v>0.0</v>
      </c>
      <c r="AE2" s="4" t="str">
        <f t="shared" ref="AE2:AE21" si="6">MID(AC2,5,8)</f>
        <v>ROSOV-03</v>
      </c>
      <c r="AF2" s="39" t="s">
        <v>79</v>
      </c>
      <c r="AG2" s="12" t="s">
        <v>387</v>
      </c>
      <c r="AH2" s="19">
        <v>0.0</v>
      </c>
      <c r="AI2" s="16" t="str">
        <f t="shared" ref="AI2:AI21" si="7">MID(AG2,5,6)</f>
        <v>MOV-01</v>
      </c>
      <c r="AJ2" s="20" t="s">
        <v>84</v>
      </c>
      <c r="AK2" s="17"/>
      <c r="AL2" s="17"/>
      <c r="AM2" s="17"/>
      <c r="AN2" s="17"/>
      <c r="AO2" s="18" t="s">
        <v>388</v>
      </c>
      <c r="AP2" s="19">
        <v>0.0</v>
      </c>
      <c r="AQ2" s="17" t="str">
        <f t="shared" ref="AQ2:AQ21" si="8">MID(AO2,5,6)</f>
        <v>MOV-03</v>
      </c>
      <c r="AR2" s="40" t="s">
        <v>88</v>
      </c>
      <c r="AS2" s="18" t="s">
        <v>389</v>
      </c>
      <c r="AT2" s="19">
        <v>0.0</v>
      </c>
      <c r="AU2" s="16" t="str">
        <f t="shared" ref="AU2:AU21" si="9">MID(AS2,5,6)</f>
        <v>MOV-02</v>
      </c>
      <c r="AV2" s="20" t="s">
        <v>86</v>
      </c>
      <c r="AW2" s="21"/>
      <c r="AX2" s="21"/>
      <c r="AY2" s="16"/>
      <c r="AZ2" s="16"/>
      <c r="BA2" s="5"/>
      <c r="BB2" s="5"/>
    </row>
    <row r="3" ht="15.75" customHeight="1">
      <c r="A3" s="8">
        <v>1412.0</v>
      </c>
      <c r="B3" s="8" t="s">
        <v>380</v>
      </c>
      <c r="C3" s="9" t="str">
        <f t="shared" si="1"/>
        <v>TK-02_BS VI HSD</v>
      </c>
      <c r="D3" s="22" t="s">
        <v>89</v>
      </c>
      <c r="E3" s="22" t="s">
        <v>50</v>
      </c>
      <c r="F3" s="22" t="s">
        <v>51</v>
      </c>
      <c r="G3" s="12" t="s">
        <v>390</v>
      </c>
      <c r="H3" s="14">
        <v>0.0</v>
      </c>
      <c r="I3" s="12" t="s">
        <v>391</v>
      </c>
      <c r="J3" s="14">
        <v>0.0</v>
      </c>
      <c r="K3" s="16" t="str">
        <f t="shared" si="2"/>
        <v>LSW-02</v>
      </c>
      <c r="L3" s="20" t="s">
        <v>60</v>
      </c>
      <c r="M3" s="12" t="s">
        <v>392</v>
      </c>
      <c r="N3" s="14">
        <v>0.0</v>
      </c>
      <c r="O3" s="16" t="str">
        <f t="shared" si="3"/>
        <v>RDR-02</v>
      </c>
      <c r="P3" s="20" t="s">
        <v>65</v>
      </c>
      <c r="Q3" s="12" t="s">
        <v>393</v>
      </c>
      <c r="R3" s="14">
        <v>0.0</v>
      </c>
      <c r="S3" s="16" t="str">
        <f t="shared" si="4"/>
        <v>ROSOV-04</v>
      </c>
      <c r="T3" s="20" t="s">
        <v>69</v>
      </c>
      <c r="U3" s="4"/>
      <c r="V3" s="4"/>
      <c r="W3" s="4"/>
      <c r="X3" s="4"/>
      <c r="Y3" s="18" t="s">
        <v>394</v>
      </c>
      <c r="Z3" s="19">
        <v>0.0</v>
      </c>
      <c r="AA3" s="16" t="str">
        <f t="shared" si="5"/>
        <v>ROSOV-05</v>
      </c>
      <c r="AB3" s="20" t="s">
        <v>74</v>
      </c>
      <c r="AC3" s="18" t="s">
        <v>395</v>
      </c>
      <c r="AD3" s="19">
        <v>0.0</v>
      </c>
      <c r="AE3" s="4" t="str">
        <f t="shared" si="6"/>
        <v>ROSOV-06</v>
      </c>
      <c r="AF3" s="39" t="s">
        <v>79</v>
      </c>
      <c r="AG3" s="12" t="s">
        <v>396</v>
      </c>
      <c r="AH3" s="19">
        <v>0.0</v>
      </c>
      <c r="AI3" s="16" t="str">
        <f t="shared" si="7"/>
        <v>MOV-04</v>
      </c>
      <c r="AJ3" s="39" t="s">
        <v>84</v>
      </c>
      <c r="AK3" s="4"/>
      <c r="AL3" s="4"/>
      <c r="AM3" s="4"/>
      <c r="AN3" s="4"/>
      <c r="AO3" s="18" t="s">
        <v>397</v>
      </c>
      <c r="AP3" s="19">
        <v>0.0</v>
      </c>
      <c r="AQ3" s="17" t="str">
        <f t="shared" si="8"/>
        <v>MOV-06</v>
      </c>
      <c r="AR3" s="40" t="s">
        <v>88</v>
      </c>
      <c r="AS3" s="18" t="s">
        <v>398</v>
      </c>
      <c r="AT3" s="19">
        <v>0.0</v>
      </c>
      <c r="AU3" s="16" t="str">
        <f t="shared" si="9"/>
        <v>MOV-05</v>
      </c>
      <c r="AV3" s="20" t="s">
        <v>86</v>
      </c>
      <c r="AW3" s="21"/>
      <c r="AX3" s="21"/>
      <c r="AY3" s="4"/>
      <c r="AZ3" s="4"/>
      <c r="BA3" s="41"/>
      <c r="BB3" s="41"/>
    </row>
    <row r="4" ht="15.75" customHeight="1">
      <c r="A4" s="8">
        <v>1412.0</v>
      </c>
      <c r="B4" s="8" t="s">
        <v>380</v>
      </c>
      <c r="C4" s="9" t="str">
        <f t="shared" si="1"/>
        <v>TK-03_BS VI HSD</v>
      </c>
      <c r="D4" s="22" t="s">
        <v>114</v>
      </c>
      <c r="E4" s="22" t="s">
        <v>50</v>
      </c>
      <c r="F4" s="22" t="s">
        <v>51</v>
      </c>
      <c r="G4" s="12" t="s">
        <v>399</v>
      </c>
      <c r="H4" s="14">
        <v>0.0</v>
      </c>
      <c r="I4" s="12" t="s">
        <v>400</v>
      </c>
      <c r="J4" s="14">
        <v>0.0</v>
      </c>
      <c r="K4" s="16" t="str">
        <f t="shared" si="2"/>
        <v>LSW-03</v>
      </c>
      <c r="L4" s="20" t="s">
        <v>60</v>
      </c>
      <c r="M4" s="12" t="s">
        <v>401</v>
      </c>
      <c r="N4" s="14">
        <v>0.0</v>
      </c>
      <c r="O4" s="16" t="str">
        <f t="shared" si="3"/>
        <v>RDR-03</v>
      </c>
      <c r="P4" s="20" t="s">
        <v>65</v>
      </c>
      <c r="Q4" s="12" t="s">
        <v>402</v>
      </c>
      <c r="R4" s="14">
        <v>0.0</v>
      </c>
      <c r="S4" s="16" t="str">
        <f t="shared" si="4"/>
        <v>ROSOV-07</v>
      </c>
      <c r="T4" s="20" t="s">
        <v>69</v>
      </c>
      <c r="U4" s="4"/>
      <c r="V4" s="4"/>
      <c r="W4" s="4"/>
      <c r="X4" s="4"/>
      <c r="Y4" s="18" t="s">
        <v>403</v>
      </c>
      <c r="Z4" s="19">
        <v>0.0</v>
      </c>
      <c r="AA4" s="16" t="str">
        <f t="shared" si="5"/>
        <v>ROSOV-08</v>
      </c>
      <c r="AB4" s="20" t="s">
        <v>74</v>
      </c>
      <c r="AC4" s="18" t="s">
        <v>404</v>
      </c>
      <c r="AD4" s="19">
        <v>0.0</v>
      </c>
      <c r="AE4" s="4" t="str">
        <f t="shared" si="6"/>
        <v>ROSOV-09</v>
      </c>
      <c r="AF4" s="39" t="s">
        <v>79</v>
      </c>
      <c r="AG4" s="12" t="s">
        <v>405</v>
      </c>
      <c r="AH4" s="19">
        <v>0.0</v>
      </c>
      <c r="AI4" s="16" t="str">
        <f t="shared" si="7"/>
        <v>MOV-07</v>
      </c>
      <c r="AJ4" s="39" t="s">
        <v>84</v>
      </c>
      <c r="AK4" s="4"/>
      <c r="AL4" s="4"/>
      <c r="AM4" s="4"/>
      <c r="AN4" s="4"/>
      <c r="AO4" s="18" t="s">
        <v>406</v>
      </c>
      <c r="AP4" s="19">
        <v>0.0</v>
      </c>
      <c r="AQ4" s="17" t="str">
        <f t="shared" si="8"/>
        <v>MOV-09</v>
      </c>
      <c r="AR4" s="40" t="s">
        <v>88</v>
      </c>
      <c r="AS4" s="18" t="s">
        <v>407</v>
      </c>
      <c r="AT4" s="19">
        <v>0.0</v>
      </c>
      <c r="AU4" s="16" t="str">
        <f t="shared" si="9"/>
        <v>MOV-08</v>
      </c>
      <c r="AV4" s="20" t="s">
        <v>86</v>
      </c>
      <c r="AW4" s="21"/>
      <c r="AX4" s="21"/>
      <c r="AY4" s="4"/>
      <c r="AZ4" s="4"/>
      <c r="BA4" s="41"/>
      <c r="BB4" s="41"/>
    </row>
    <row r="5" ht="15.75" customHeight="1">
      <c r="A5" s="8">
        <v>1412.0</v>
      </c>
      <c r="B5" s="8" t="s">
        <v>380</v>
      </c>
      <c r="C5" s="9" t="str">
        <f t="shared" si="1"/>
        <v>TK-04_ETHANOL</v>
      </c>
      <c r="D5" s="22" t="s">
        <v>139</v>
      </c>
      <c r="E5" s="22" t="s">
        <v>50</v>
      </c>
      <c r="F5" s="22" t="s">
        <v>140</v>
      </c>
      <c r="G5" s="12" t="s">
        <v>408</v>
      </c>
      <c r="H5" s="14">
        <v>0.0</v>
      </c>
      <c r="I5" s="12" t="s">
        <v>409</v>
      </c>
      <c r="J5" s="14">
        <v>0.0</v>
      </c>
      <c r="K5" s="16" t="str">
        <f t="shared" si="2"/>
        <v>LSW-04</v>
      </c>
      <c r="L5" s="20" t="s">
        <v>60</v>
      </c>
      <c r="M5" s="12" t="s">
        <v>410</v>
      </c>
      <c r="N5" s="14">
        <v>0.0</v>
      </c>
      <c r="O5" s="16" t="str">
        <f t="shared" si="3"/>
        <v>RDR-04</v>
      </c>
      <c r="P5" s="20" t="s">
        <v>65</v>
      </c>
      <c r="Q5" s="12" t="s">
        <v>411</v>
      </c>
      <c r="R5" s="14">
        <v>0.0</v>
      </c>
      <c r="S5" s="16" t="str">
        <f t="shared" si="4"/>
        <v>ROSOV-10</v>
      </c>
      <c r="T5" s="20" t="s">
        <v>69</v>
      </c>
      <c r="U5" s="4"/>
      <c r="V5" s="4"/>
      <c r="W5" s="4"/>
      <c r="X5" s="4"/>
      <c r="Y5" s="18" t="s">
        <v>412</v>
      </c>
      <c r="Z5" s="19">
        <v>0.0</v>
      </c>
      <c r="AA5" s="16" t="str">
        <f t="shared" si="5"/>
        <v>ROSOV-11</v>
      </c>
      <c r="AB5" s="20" t="s">
        <v>74</v>
      </c>
      <c r="AC5" s="18" t="s">
        <v>413</v>
      </c>
      <c r="AD5" s="19">
        <v>0.0</v>
      </c>
      <c r="AE5" s="4" t="str">
        <f t="shared" si="6"/>
        <v>ROSOV-12</v>
      </c>
      <c r="AF5" s="39" t="s">
        <v>79</v>
      </c>
      <c r="AG5" s="12" t="s">
        <v>414</v>
      </c>
      <c r="AH5" s="19">
        <v>0.0</v>
      </c>
      <c r="AI5" s="16" t="str">
        <f t="shared" si="7"/>
        <v>MOV-10</v>
      </c>
      <c r="AJ5" s="39" t="s">
        <v>84</v>
      </c>
      <c r="AK5" s="4"/>
      <c r="AL5" s="4"/>
      <c r="AM5" s="4"/>
      <c r="AN5" s="4"/>
      <c r="AO5" s="18" t="s">
        <v>415</v>
      </c>
      <c r="AP5" s="19">
        <v>0.0</v>
      </c>
      <c r="AQ5" s="17" t="str">
        <f t="shared" si="8"/>
        <v>MOV-12</v>
      </c>
      <c r="AR5" s="40" t="s">
        <v>88</v>
      </c>
      <c r="AS5" s="18" t="s">
        <v>416</v>
      </c>
      <c r="AT5" s="19">
        <v>0.0</v>
      </c>
      <c r="AU5" s="16" t="str">
        <f t="shared" si="9"/>
        <v>MOV-11</v>
      </c>
      <c r="AV5" s="20" t="s">
        <v>86</v>
      </c>
      <c r="AW5" s="21"/>
      <c r="AX5" s="21"/>
      <c r="AY5" s="4"/>
      <c r="AZ5" s="4"/>
      <c r="BA5" s="41"/>
      <c r="BB5" s="41"/>
    </row>
    <row r="6" ht="15.75" customHeight="1">
      <c r="A6" s="8">
        <v>1412.0</v>
      </c>
      <c r="B6" s="8" t="s">
        <v>380</v>
      </c>
      <c r="C6" s="9" t="str">
        <f t="shared" si="1"/>
        <v>TK-05_ETHANOL</v>
      </c>
      <c r="D6" s="22" t="s">
        <v>165</v>
      </c>
      <c r="E6" s="22" t="s">
        <v>50</v>
      </c>
      <c r="F6" s="22" t="s">
        <v>140</v>
      </c>
      <c r="G6" s="12" t="s">
        <v>417</v>
      </c>
      <c r="H6" s="14">
        <v>0.0</v>
      </c>
      <c r="I6" s="12" t="s">
        <v>418</v>
      </c>
      <c r="J6" s="14">
        <v>0.0</v>
      </c>
      <c r="K6" s="16" t="str">
        <f t="shared" si="2"/>
        <v>LSW-05</v>
      </c>
      <c r="L6" s="20" t="s">
        <v>60</v>
      </c>
      <c r="M6" s="12" t="s">
        <v>419</v>
      </c>
      <c r="N6" s="14">
        <v>0.0</v>
      </c>
      <c r="O6" s="16" t="str">
        <f t="shared" si="3"/>
        <v>RDR-05</v>
      </c>
      <c r="P6" s="20" t="s">
        <v>65</v>
      </c>
      <c r="Q6" s="12" t="s">
        <v>420</v>
      </c>
      <c r="R6" s="14">
        <v>0.0</v>
      </c>
      <c r="S6" s="16" t="str">
        <f t="shared" si="4"/>
        <v>ROSOV-13</v>
      </c>
      <c r="T6" s="20" t="s">
        <v>69</v>
      </c>
      <c r="U6" s="4"/>
      <c r="V6" s="4"/>
      <c r="W6" s="4"/>
      <c r="X6" s="4"/>
      <c r="Y6" s="18" t="s">
        <v>421</v>
      </c>
      <c r="Z6" s="19">
        <v>0.0</v>
      </c>
      <c r="AA6" s="16" t="str">
        <f t="shared" si="5"/>
        <v>ROSOV-14</v>
      </c>
      <c r="AB6" s="20" t="s">
        <v>74</v>
      </c>
      <c r="AC6" s="18" t="s">
        <v>422</v>
      </c>
      <c r="AD6" s="19">
        <v>0.0</v>
      </c>
      <c r="AE6" s="4" t="str">
        <f t="shared" si="6"/>
        <v>ROSOV-15</v>
      </c>
      <c r="AF6" s="39" t="s">
        <v>79</v>
      </c>
      <c r="AG6" s="12" t="s">
        <v>423</v>
      </c>
      <c r="AH6" s="19">
        <v>0.0</v>
      </c>
      <c r="AI6" s="16" t="str">
        <f t="shared" si="7"/>
        <v>MOV-13</v>
      </c>
      <c r="AJ6" s="39" t="s">
        <v>84</v>
      </c>
      <c r="AK6" s="4"/>
      <c r="AL6" s="4"/>
      <c r="AM6" s="4"/>
      <c r="AN6" s="4"/>
      <c r="AO6" s="18" t="s">
        <v>424</v>
      </c>
      <c r="AP6" s="19">
        <v>0.0</v>
      </c>
      <c r="AQ6" s="17" t="str">
        <f t="shared" si="8"/>
        <v>MOV-15</v>
      </c>
      <c r="AR6" s="40" t="s">
        <v>88</v>
      </c>
      <c r="AS6" s="18" t="s">
        <v>425</v>
      </c>
      <c r="AT6" s="19">
        <v>0.0</v>
      </c>
      <c r="AU6" s="16" t="str">
        <f t="shared" si="9"/>
        <v>MOV-14</v>
      </c>
      <c r="AV6" s="20" t="s">
        <v>86</v>
      </c>
      <c r="AW6" s="21"/>
      <c r="AX6" s="21"/>
      <c r="AY6" s="4"/>
      <c r="AZ6" s="4"/>
      <c r="BA6" s="41"/>
      <c r="BB6" s="41"/>
    </row>
    <row r="7" ht="15.75" customHeight="1">
      <c r="A7" s="8">
        <v>1412.0</v>
      </c>
      <c r="B7" s="8" t="s">
        <v>380</v>
      </c>
      <c r="C7" s="9" t="str">
        <f t="shared" si="1"/>
        <v>TK-06_ETHANOL</v>
      </c>
      <c r="D7" s="22" t="s">
        <v>190</v>
      </c>
      <c r="E7" s="22" t="s">
        <v>50</v>
      </c>
      <c r="F7" s="22" t="s">
        <v>140</v>
      </c>
      <c r="G7" s="12" t="s">
        <v>426</v>
      </c>
      <c r="H7" s="14">
        <v>0.0</v>
      </c>
      <c r="I7" s="12" t="s">
        <v>427</v>
      </c>
      <c r="J7" s="14">
        <v>0.0</v>
      </c>
      <c r="K7" s="16" t="str">
        <f t="shared" si="2"/>
        <v>LSW-06</v>
      </c>
      <c r="L7" s="20" t="s">
        <v>60</v>
      </c>
      <c r="M7" s="12" t="s">
        <v>428</v>
      </c>
      <c r="N7" s="14">
        <v>0.0</v>
      </c>
      <c r="O7" s="16" t="str">
        <f t="shared" si="3"/>
        <v>RDR-06</v>
      </c>
      <c r="P7" s="20" t="s">
        <v>65</v>
      </c>
      <c r="Q7" s="12" t="s">
        <v>429</v>
      </c>
      <c r="R7" s="14">
        <v>0.0</v>
      </c>
      <c r="S7" s="16" t="str">
        <f t="shared" si="4"/>
        <v>ROSOV-16</v>
      </c>
      <c r="T7" s="20" t="s">
        <v>69</v>
      </c>
      <c r="U7" s="4"/>
      <c r="V7" s="4"/>
      <c r="W7" s="4"/>
      <c r="X7" s="4"/>
      <c r="Y7" s="18" t="s">
        <v>430</v>
      </c>
      <c r="Z7" s="19">
        <v>0.0</v>
      </c>
      <c r="AA7" s="16" t="str">
        <f t="shared" si="5"/>
        <v>ROSOV-17</v>
      </c>
      <c r="AB7" s="20" t="s">
        <v>74</v>
      </c>
      <c r="AC7" s="18" t="s">
        <v>431</v>
      </c>
      <c r="AD7" s="19">
        <v>0.0</v>
      </c>
      <c r="AE7" s="4" t="str">
        <f t="shared" si="6"/>
        <v>ROSOV-18</v>
      </c>
      <c r="AF7" s="39" t="s">
        <v>79</v>
      </c>
      <c r="AG7" s="12" t="s">
        <v>432</v>
      </c>
      <c r="AH7" s="19">
        <v>0.0</v>
      </c>
      <c r="AI7" s="16" t="str">
        <f t="shared" si="7"/>
        <v>MOV-16</v>
      </c>
      <c r="AJ7" s="39" t="s">
        <v>84</v>
      </c>
      <c r="AK7" s="4"/>
      <c r="AL7" s="4"/>
      <c r="AM7" s="4"/>
      <c r="AN7" s="4"/>
      <c r="AO7" s="18" t="s">
        <v>433</v>
      </c>
      <c r="AP7" s="19">
        <v>0.0</v>
      </c>
      <c r="AQ7" s="17" t="str">
        <f t="shared" si="8"/>
        <v>MOV-18</v>
      </c>
      <c r="AR7" s="40" t="s">
        <v>88</v>
      </c>
      <c r="AS7" s="18" t="s">
        <v>434</v>
      </c>
      <c r="AT7" s="19">
        <v>0.0</v>
      </c>
      <c r="AU7" s="16" t="str">
        <f t="shared" si="9"/>
        <v>MOV-17</v>
      </c>
      <c r="AV7" s="20" t="s">
        <v>86</v>
      </c>
      <c r="AW7" s="21"/>
      <c r="AX7" s="21"/>
      <c r="AY7" s="4"/>
      <c r="AZ7" s="4"/>
      <c r="BA7" s="41"/>
      <c r="BB7" s="41"/>
    </row>
    <row r="8" ht="15.75" customHeight="1">
      <c r="A8" s="8">
        <v>1412.0</v>
      </c>
      <c r="B8" s="8" t="s">
        <v>380</v>
      </c>
      <c r="C8" s="9" t="str">
        <f t="shared" si="1"/>
        <v>TK-07_ETHANOL</v>
      </c>
      <c r="D8" s="22" t="s">
        <v>215</v>
      </c>
      <c r="E8" s="24" t="s">
        <v>216</v>
      </c>
      <c r="F8" s="22" t="s">
        <v>140</v>
      </c>
      <c r="G8" s="12" t="s">
        <v>435</v>
      </c>
      <c r="H8" s="14">
        <v>0.0</v>
      </c>
      <c r="I8" s="12"/>
      <c r="J8" s="12"/>
      <c r="K8" s="16" t="str">
        <f t="shared" si="2"/>
        <v/>
      </c>
      <c r="L8" s="5"/>
      <c r="M8" s="21"/>
      <c r="N8" s="21"/>
      <c r="O8" s="16" t="str">
        <f t="shared" si="3"/>
        <v/>
      </c>
      <c r="P8" s="5"/>
      <c r="Q8" s="12"/>
      <c r="R8" s="12"/>
      <c r="S8" s="16" t="str">
        <f t="shared" si="4"/>
        <v/>
      </c>
      <c r="T8" s="20"/>
      <c r="U8" s="4"/>
      <c r="V8" s="4"/>
      <c r="W8" s="4"/>
      <c r="X8" s="4"/>
      <c r="Y8" s="21"/>
      <c r="Z8" s="21"/>
      <c r="AA8" s="16" t="str">
        <f t="shared" si="5"/>
        <v/>
      </c>
      <c r="AB8" s="4"/>
      <c r="AC8" s="21"/>
      <c r="AD8" s="21"/>
      <c r="AE8" s="4" t="str">
        <f t="shared" si="6"/>
        <v/>
      </c>
      <c r="AF8" s="4"/>
      <c r="AG8" s="12"/>
      <c r="AH8" s="21"/>
      <c r="AI8" s="16" t="str">
        <f t="shared" si="7"/>
        <v/>
      </c>
      <c r="AJ8" s="4"/>
      <c r="AK8" s="4"/>
      <c r="AL8" s="4"/>
      <c r="AM8" s="4"/>
      <c r="AN8" s="4"/>
      <c r="AO8" s="21"/>
      <c r="AP8" s="21"/>
      <c r="AQ8" s="17" t="str">
        <f t="shared" si="8"/>
        <v/>
      </c>
      <c r="AR8" s="4"/>
      <c r="AS8" s="21"/>
      <c r="AT8" s="21"/>
      <c r="AU8" s="16" t="str">
        <f t="shared" si="9"/>
        <v/>
      </c>
      <c r="AV8" s="4"/>
      <c r="AW8" s="21"/>
      <c r="AX8" s="21"/>
      <c r="AY8" s="4"/>
      <c r="AZ8" s="4"/>
      <c r="BA8" s="41"/>
      <c r="BB8" s="41"/>
    </row>
    <row r="9" ht="15.75" customHeight="1">
      <c r="A9" s="8">
        <v>1412.0</v>
      </c>
      <c r="B9" s="8" t="s">
        <v>380</v>
      </c>
      <c r="C9" s="9" t="str">
        <f t="shared" si="1"/>
        <v>TK-08_ETHANOL</v>
      </c>
      <c r="D9" s="22" t="s">
        <v>221</v>
      </c>
      <c r="E9" s="24" t="s">
        <v>216</v>
      </c>
      <c r="F9" s="22" t="s">
        <v>140</v>
      </c>
      <c r="G9" s="12" t="s">
        <v>436</v>
      </c>
      <c r="H9" s="14">
        <v>0.0</v>
      </c>
      <c r="I9" s="12"/>
      <c r="J9" s="12"/>
      <c r="K9" s="16" t="str">
        <f t="shared" si="2"/>
        <v/>
      </c>
      <c r="L9" s="5"/>
      <c r="M9" s="21"/>
      <c r="N9" s="21"/>
      <c r="O9" s="16" t="str">
        <f t="shared" si="3"/>
        <v/>
      </c>
      <c r="P9" s="5"/>
      <c r="Q9" s="12"/>
      <c r="R9" s="12"/>
      <c r="S9" s="16" t="str">
        <f t="shared" si="4"/>
        <v/>
      </c>
      <c r="T9" s="20"/>
      <c r="U9" s="4"/>
      <c r="V9" s="4"/>
      <c r="W9" s="4"/>
      <c r="X9" s="4"/>
      <c r="Y9" s="21"/>
      <c r="Z9" s="21"/>
      <c r="AA9" s="16" t="str">
        <f t="shared" si="5"/>
        <v/>
      </c>
      <c r="AB9" s="4"/>
      <c r="AC9" s="21"/>
      <c r="AD9" s="21"/>
      <c r="AE9" s="4" t="str">
        <f t="shared" si="6"/>
        <v/>
      </c>
      <c r="AF9" s="4"/>
      <c r="AG9" s="12"/>
      <c r="AH9" s="21"/>
      <c r="AI9" s="16" t="str">
        <f t="shared" si="7"/>
        <v/>
      </c>
      <c r="AJ9" s="4"/>
      <c r="AK9" s="4"/>
      <c r="AL9" s="4"/>
      <c r="AM9" s="4"/>
      <c r="AN9" s="4"/>
      <c r="AO9" s="21"/>
      <c r="AP9" s="21"/>
      <c r="AQ9" s="17" t="str">
        <f t="shared" si="8"/>
        <v/>
      </c>
      <c r="AR9" s="4"/>
      <c r="AS9" s="21"/>
      <c r="AT9" s="21"/>
      <c r="AU9" s="16" t="str">
        <f t="shared" si="9"/>
        <v/>
      </c>
      <c r="AV9" s="4"/>
      <c r="AW9" s="21"/>
      <c r="AX9" s="21"/>
      <c r="AY9" s="4"/>
      <c r="AZ9" s="4"/>
      <c r="BA9" s="41"/>
      <c r="BB9" s="41"/>
    </row>
    <row r="10" ht="15.75" customHeight="1">
      <c r="A10" s="8">
        <v>1412.0</v>
      </c>
      <c r="B10" s="8" t="s">
        <v>380</v>
      </c>
      <c r="C10" s="9" t="str">
        <f t="shared" si="1"/>
        <v>TK-09_BS VI MS</v>
      </c>
      <c r="D10" s="22" t="s">
        <v>226</v>
      </c>
      <c r="E10" s="24" t="s">
        <v>216</v>
      </c>
      <c r="F10" s="22" t="s">
        <v>227</v>
      </c>
      <c r="G10" s="12" t="s">
        <v>437</v>
      </c>
      <c r="H10" s="14">
        <v>0.0</v>
      </c>
      <c r="I10" s="12"/>
      <c r="J10" s="12"/>
      <c r="K10" s="16" t="str">
        <f t="shared" si="2"/>
        <v/>
      </c>
      <c r="L10" s="5"/>
      <c r="M10" s="21"/>
      <c r="N10" s="21"/>
      <c r="O10" s="16" t="str">
        <f t="shared" si="3"/>
        <v/>
      </c>
      <c r="P10" s="5"/>
      <c r="Q10" s="12"/>
      <c r="R10" s="12"/>
      <c r="S10" s="16" t="str">
        <f t="shared" si="4"/>
        <v/>
      </c>
      <c r="T10" s="20"/>
      <c r="U10" s="4"/>
      <c r="V10" s="4"/>
      <c r="W10" s="4"/>
      <c r="X10" s="4"/>
      <c r="Y10" s="21"/>
      <c r="Z10" s="21"/>
      <c r="AA10" s="16" t="str">
        <f t="shared" si="5"/>
        <v/>
      </c>
      <c r="AB10" s="4"/>
      <c r="AC10" s="21"/>
      <c r="AD10" s="21"/>
      <c r="AE10" s="4" t="str">
        <f t="shared" si="6"/>
        <v/>
      </c>
      <c r="AF10" s="4"/>
      <c r="AG10" s="12"/>
      <c r="AH10" s="21"/>
      <c r="AI10" s="16" t="str">
        <f t="shared" si="7"/>
        <v/>
      </c>
      <c r="AJ10" s="4"/>
      <c r="AK10" s="4"/>
      <c r="AL10" s="4"/>
      <c r="AM10" s="4"/>
      <c r="AN10" s="4"/>
      <c r="AO10" s="21"/>
      <c r="AP10" s="21"/>
      <c r="AQ10" s="17" t="str">
        <f t="shared" si="8"/>
        <v/>
      </c>
      <c r="AR10" s="4"/>
      <c r="AS10" s="21"/>
      <c r="AT10" s="21"/>
      <c r="AU10" s="16" t="str">
        <f t="shared" si="9"/>
        <v/>
      </c>
      <c r="AV10" s="4"/>
      <c r="AW10" s="21"/>
      <c r="AX10" s="21"/>
      <c r="AY10" s="4"/>
      <c r="AZ10" s="4"/>
      <c r="BA10" s="41"/>
      <c r="BB10" s="41"/>
    </row>
    <row r="11" ht="15.75" customHeight="1">
      <c r="A11" s="8">
        <v>1412.0</v>
      </c>
      <c r="B11" s="8" t="s">
        <v>380</v>
      </c>
      <c r="C11" s="9" t="str">
        <f t="shared" si="1"/>
        <v>TK-10_BS VI HSD</v>
      </c>
      <c r="D11" s="22" t="s">
        <v>232</v>
      </c>
      <c r="E11" s="24" t="s">
        <v>216</v>
      </c>
      <c r="F11" s="22" t="s">
        <v>51</v>
      </c>
      <c r="G11" s="12" t="s">
        <v>438</v>
      </c>
      <c r="H11" s="14">
        <v>0.0</v>
      </c>
      <c r="I11" s="12"/>
      <c r="J11" s="12"/>
      <c r="K11" s="16" t="str">
        <f t="shared" si="2"/>
        <v/>
      </c>
      <c r="L11" s="5"/>
      <c r="M11" s="21"/>
      <c r="N11" s="21"/>
      <c r="O11" s="16" t="str">
        <f t="shared" si="3"/>
        <v/>
      </c>
      <c r="P11" s="5"/>
      <c r="Q11" s="12"/>
      <c r="R11" s="12"/>
      <c r="S11" s="16" t="str">
        <f t="shared" si="4"/>
        <v/>
      </c>
      <c r="T11" s="20"/>
      <c r="U11" s="4"/>
      <c r="V11" s="4"/>
      <c r="W11" s="4"/>
      <c r="X11" s="4"/>
      <c r="Y11" s="21"/>
      <c r="Z11" s="21"/>
      <c r="AA11" s="16" t="str">
        <f t="shared" si="5"/>
        <v/>
      </c>
      <c r="AB11" s="4"/>
      <c r="AC11" s="21"/>
      <c r="AD11" s="21"/>
      <c r="AE11" s="4" t="str">
        <f t="shared" si="6"/>
        <v/>
      </c>
      <c r="AF11" s="4"/>
      <c r="AG11" s="12"/>
      <c r="AH11" s="21"/>
      <c r="AI11" s="16" t="str">
        <f t="shared" si="7"/>
        <v/>
      </c>
      <c r="AJ11" s="4"/>
      <c r="AK11" s="4"/>
      <c r="AL11" s="4"/>
      <c r="AM11" s="4"/>
      <c r="AN11" s="4"/>
      <c r="AO11" s="21"/>
      <c r="AP11" s="21"/>
      <c r="AQ11" s="17" t="str">
        <f t="shared" si="8"/>
        <v/>
      </c>
      <c r="AR11" s="4"/>
      <c r="AS11" s="21"/>
      <c r="AT11" s="21"/>
      <c r="AU11" s="16" t="str">
        <f t="shared" si="9"/>
        <v/>
      </c>
      <c r="AV11" s="4"/>
      <c r="AW11" s="21"/>
      <c r="AX11" s="21"/>
      <c r="AY11" s="4"/>
      <c r="AZ11" s="4"/>
      <c r="BA11" s="41"/>
      <c r="BB11" s="41"/>
    </row>
    <row r="12" ht="15.75" customHeight="1">
      <c r="A12" s="8">
        <v>1412.0</v>
      </c>
      <c r="B12" s="8" t="s">
        <v>380</v>
      </c>
      <c r="C12" s="9" t="str">
        <f t="shared" si="1"/>
        <v>TK-11_WATER</v>
      </c>
      <c r="D12" s="22" t="s">
        <v>237</v>
      </c>
      <c r="E12" s="22" t="s">
        <v>50</v>
      </c>
      <c r="F12" s="22" t="s">
        <v>238</v>
      </c>
      <c r="G12" s="12" t="s">
        <v>439</v>
      </c>
      <c r="H12" s="14">
        <v>0.0</v>
      </c>
      <c r="I12" s="21"/>
      <c r="J12" s="21"/>
      <c r="K12" s="16" t="str">
        <f t="shared" si="2"/>
        <v/>
      </c>
      <c r="L12" s="5"/>
      <c r="M12" s="21"/>
      <c r="N12" s="21"/>
      <c r="O12" s="16" t="str">
        <f t="shared" si="3"/>
        <v/>
      </c>
      <c r="P12" s="5"/>
      <c r="Q12" s="12"/>
      <c r="R12" s="12"/>
      <c r="S12" s="16" t="str">
        <f t="shared" si="4"/>
        <v/>
      </c>
      <c r="T12" s="20"/>
      <c r="U12" s="4"/>
      <c r="V12" s="4"/>
      <c r="W12" s="4"/>
      <c r="X12" s="4"/>
      <c r="Y12" s="21"/>
      <c r="Z12" s="21"/>
      <c r="AA12" s="16" t="str">
        <f t="shared" si="5"/>
        <v/>
      </c>
      <c r="AB12" s="4"/>
      <c r="AC12" s="21"/>
      <c r="AD12" s="21"/>
      <c r="AE12" s="4" t="str">
        <f t="shared" si="6"/>
        <v/>
      </c>
      <c r="AF12" s="4"/>
      <c r="AG12" s="12"/>
      <c r="AH12" s="21"/>
      <c r="AI12" s="16" t="str">
        <f t="shared" si="7"/>
        <v/>
      </c>
      <c r="AJ12" s="4"/>
      <c r="AK12" s="4"/>
      <c r="AL12" s="4"/>
      <c r="AM12" s="4"/>
      <c r="AN12" s="4"/>
      <c r="AO12" s="21"/>
      <c r="AP12" s="21"/>
      <c r="AQ12" s="17" t="str">
        <f t="shared" si="8"/>
        <v/>
      </c>
      <c r="AR12" s="4"/>
      <c r="AS12" s="21"/>
      <c r="AT12" s="21"/>
      <c r="AU12" s="16" t="str">
        <f t="shared" si="9"/>
        <v/>
      </c>
      <c r="AV12" s="4"/>
      <c r="AW12" s="21"/>
      <c r="AX12" s="21"/>
      <c r="AY12" s="4"/>
      <c r="AZ12" s="4"/>
      <c r="BA12" s="41"/>
      <c r="BB12" s="41"/>
    </row>
    <row r="13" ht="15.75" customHeight="1">
      <c r="A13" s="8">
        <v>1412.0</v>
      </c>
      <c r="B13" s="8" t="s">
        <v>380</v>
      </c>
      <c r="C13" s="9" t="str">
        <f t="shared" si="1"/>
        <v>TK-12_WATER</v>
      </c>
      <c r="D13" s="22" t="s">
        <v>241</v>
      </c>
      <c r="E13" s="22" t="s">
        <v>50</v>
      </c>
      <c r="F13" s="22" t="s">
        <v>238</v>
      </c>
      <c r="G13" s="12" t="s">
        <v>440</v>
      </c>
      <c r="H13" s="14">
        <v>0.0</v>
      </c>
      <c r="I13" s="21"/>
      <c r="J13" s="21"/>
      <c r="K13" s="16" t="str">
        <f t="shared" si="2"/>
        <v/>
      </c>
      <c r="L13" s="5"/>
      <c r="M13" s="21"/>
      <c r="N13" s="21"/>
      <c r="O13" s="16" t="str">
        <f t="shared" si="3"/>
        <v/>
      </c>
      <c r="P13" s="5"/>
      <c r="Q13" s="12"/>
      <c r="R13" s="12"/>
      <c r="S13" s="16" t="str">
        <f t="shared" si="4"/>
        <v/>
      </c>
      <c r="T13" s="20"/>
      <c r="U13" s="4"/>
      <c r="V13" s="4"/>
      <c r="W13" s="4"/>
      <c r="X13" s="4"/>
      <c r="Y13" s="21"/>
      <c r="Z13" s="21"/>
      <c r="AA13" s="16" t="str">
        <f t="shared" si="5"/>
        <v/>
      </c>
      <c r="AB13" s="4"/>
      <c r="AC13" s="21"/>
      <c r="AD13" s="21"/>
      <c r="AE13" s="4" t="str">
        <f t="shared" si="6"/>
        <v/>
      </c>
      <c r="AF13" s="4"/>
      <c r="AG13" s="12"/>
      <c r="AH13" s="21"/>
      <c r="AI13" s="16" t="str">
        <f t="shared" si="7"/>
        <v/>
      </c>
      <c r="AJ13" s="4"/>
      <c r="AK13" s="4"/>
      <c r="AL13" s="4"/>
      <c r="AM13" s="4"/>
      <c r="AN13" s="4"/>
      <c r="AO13" s="21"/>
      <c r="AP13" s="21"/>
      <c r="AQ13" s="17" t="str">
        <f t="shared" si="8"/>
        <v/>
      </c>
      <c r="AR13" s="4"/>
      <c r="AS13" s="21"/>
      <c r="AT13" s="21"/>
      <c r="AU13" s="16" t="str">
        <f t="shared" si="9"/>
        <v/>
      </c>
      <c r="AV13" s="4"/>
      <c r="AW13" s="21"/>
      <c r="AX13" s="21"/>
      <c r="AY13" s="4"/>
      <c r="AZ13" s="4"/>
      <c r="BA13" s="41"/>
      <c r="BB13" s="41"/>
    </row>
    <row r="14" ht="15.75" customHeight="1">
      <c r="A14" s="8">
        <v>1412.0</v>
      </c>
      <c r="B14" s="8" t="s">
        <v>380</v>
      </c>
      <c r="C14" s="9" t="str">
        <f t="shared" si="1"/>
        <v>TK-13_WATER</v>
      </c>
      <c r="D14" s="22" t="s">
        <v>244</v>
      </c>
      <c r="E14" s="22" t="s">
        <v>50</v>
      </c>
      <c r="F14" s="22" t="s">
        <v>238</v>
      </c>
      <c r="G14" s="12" t="s">
        <v>441</v>
      </c>
      <c r="H14" s="14">
        <v>0.0</v>
      </c>
      <c r="I14" s="21"/>
      <c r="J14" s="21"/>
      <c r="K14" s="16" t="str">
        <f t="shared" si="2"/>
        <v/>
      </c>
      <c r="L14" s="5"/>
      <c r="M14" s="21"/>
      <c r="N14" s="21"/>
      <c r="O14" s="16" t="str">
        <f t="shared" si="3"/>
        <v/>
      </c>
      <c r="P14" s="5"/>
      <c r="Q14" s="12"/>
      <c r="R14" s="12"/>
      <c r="S14" s="16" t="str">
        <f t="shared" si="4"/>
        <v/>
      </c>
      <c r="T14" s="20"/>
      <c r="U14" s="4"/>
      <c r="V14" s="4"/>
      <c r="W14" s="4"/>
      <c r="X14" s="4"/>
      <c r="Y14" s="21"/>
      <c r="Z14" s="21"/>
      <c r="AA14" s="16" t="str">
        <f t="shared" si="5"/>
        <v/>
      </c>
      <c r="AB14" s="4"/>
      <c r="AC14" s="21"/>
      <c r="AD14" s="21"/>
      <c r="AE14" s="4" t="str">
        <f t="shared" si="6"/>
        <v/>
      </c>
      <c r="AF14" s="4"/>
      <c r="AG14" s="12"/>
      <c r="AH14" s="21"/>
      <c r="AI14" s="16" t="str">
        <f t="shared" si="7"/>
        <v/>
      </c>
      <c r="AJ14" s="4"/>
      <c r="AK14" s="4"/>
      <c r="AL14" s="4"/>
      <c r="AM14" s="4"/>
      <c r="AN14" s="4"/>
      <c r="AO14" s="21"/>
      <c r="AP14" s="21"/>
      <c r="AQ14" s="17" t="str">
        <f t="shared" si="8"/>
        <v/>
      </c>
      <c r="AR14" s="4"/>
      <c r="AS14" s="21"/>
      <c r="AT14" s="21"/>
      <c r="AU14" s="16" t="str">
        <f t="shared" si="9"/>
        <v/>
      </c>
      <c r="AV14" s="4"/>
      <c r="AW14" s="18" t="s">
        <v>442</v>
      </c>
      <c r="AX14" s="19">
        <v>0.0</v>
      </c>
      <c r="AY14" s="4" t="str">
        <f t="shared" ref="AY14:AY16" si="10">MID(AW14,5,6)</f>
        <v>MOV-31</v>
      </c>
      <c r="AZ14" s="39" t="s">
        <v>272</v>
      </c>
      <c r="BA14" s="41"/>
      <c r="BB14" s="41"/>
    </row>
    <row r="15" ht="15.75" customHeight="1">
      <c r="A15" s="8">
        <v>1412.0</v>
      </c>
      <c r="B15" s="8" t="s">
        <v>380</v>
      </c>
      <c r="C15" s="9" t="str">
        <f t="shared" si="1"/>
        <v>TK-14_BS VI HSD</v>
      </c>
      <c r="D15" s="22" t="s">
        <v>247</v>
      </c>
      <c r="E15" s="22" t="s">
        <v>50</v>
      </c>
      <c r="F15" s="22" t="s">
        <v>51</v>
      </c>
      <c r="G15" s="12" t="s">
        <v>443</v>
      </c>
      <c r="H15" s="14">
        <v>0.0</v>
      </c>
      <c r="I15" s="27" t="s">
        <v>444</v>
      </c>
      <c r="J15" s="28">
        <v>0.0</v>
      </c>
      <c r="K15" s="16" t="str">
        <f t="shared" si="2"/>
        <v>LSW-07</v>
      </c>
      <c r="L15" s="20" t="s">
        <v>60</v>
      </c>
      <c r="M15" s="27" t="s">
        <v>445</v>
      </c>
      <c r="N15" s="28">
        <v>0.0</v>
      </c>
      <c r="O15" s="16" t="str">
        <f t="shared" si="3"/>
        <v>RDR-07</v>
      </c>
      <c r="P15" s="20" t="s">
        <v>65</v>
      </c>
      <c r="Q15" s="12" t="s">
        <v>446</v>
      </c>
      <c r="R15" s="14">
        <v>0.0</v>
      </c>
      <c r="S15" s="16" t="str">
        <f t="shared" si="4"/>
        <v>ROSOV-19</v>
      </c>
      <c r="T15" s="20" t="s">
        <v>69</v>
      </c>
      <c r="U15" s="4"/>
      <c r="V15" s="4"/>
      <c r="W15" s="4"/>
      <c r="X15" s="4"/>
      <c r="Y15" s="18" t="s">
        <v>447</v>
      </c>
      <c r="Z15" s="19">
        <v>0.0</v>
      </c>
      <c r="AA15" s="16" t="str">
        <f t="shared" si="5"/>
        <v>ROSOV-20</v>
      </c>
      <c r="AB15" s="20" t="s">
        <v>74</v>
      </c>
      <c r="AC15" s="18" t="s">
        <v>448</v>
      </c>
      <c r="AD15" s="19">
        <v>0.0</v>
      </c>
      <c r="AE15" s="4" t="str">
        <f t="shared" si="6"/>
        <v>ROSOV-21</v>
      </c>
      <c r="AF15" s="39" t="s">
        <v>79</v>
      </c>
      <c r="AG15" s="12" t="s">
        <v>449</v>
      </c>
      <c r="AH15" s="19">
        <v>0.0</v>
      </c>
      <c r="AI15" s="16" t="str">
        <f t="shared" si="7"/>
        <v>MOV-19</v>
      </c>
      <c r="AJ15" s="39" t="s">
        <v>84</v>
      </c>
      <c r="AK15" s="4"/>
      <c r="AL15" s="4"/>
      <c r="AM15" s="4"/>
      <c r="AN15" s="4"/>
      <c r="AO15" s="18" t="s">
        <v>450</v>
      </c>
      <c r="AP15" s="19">
        <v>0.0</v>
      </c>
      <c r="AQ15" s="17" t="str">
        <f t="shared" si="8"/>
        <v>MOV-21</v>
      </c>
      <c r="AR15" s="40" t="s">
        <v>88</v>
      </c>
      <c r="AS15" s="18" t="s">
        <v>451</v>
      </c>
      <c r="AT15" s="19">
        <v>0.0</v>
      </c>
      <c r="AU15" s="16" t="str">
        <f t="shared" si="9"/>
        <v>MOV-20</v>
      </c>
      <c r="AV15" s="20" t="s">
        <v>86</v>
      </c>
      <c r="AW15" s="18" t="s">
        <v>452</v>
      </c>
      <c r="AX15" s="19">
        <v>0.0</v>
      </c>
      <c r="AY15" s="4" t="str">
        <f t="shared" si="10"/>
        <v>MOV-32</v>
      </c>
      <c r="AZ15" s="39" t="s">
        <v>272</v>
      </c>
      <c r="BA15" s="41"/>
      <c r="BB15" s="41"/>
    </row>
    <row r="16" ht="15.75" customHeight="1">
      <c r="A16" s="8">
        <v>1412.0</v>
      </c>
      <c r="B16" s="8" t="s">
        <v>380</v>
      </c>
      <c r="C16" s="9" t="str">
        <f t="shared" si="1"/>
        <v>TK-15_BS VI MS</v>
      </c>
      <c r="D16" s="22" t="s">
        <v>274</v>
      </c>
      <c r="E16" s="22" t="s">
        <v>50</v>
      </c>
      <c r="F16" s="22" t="s">
        <v>227</v>
      </c>
      <c r="G16" s="12" t="s">
        <v>453</v>
      </c>
      <c r="H16" s="14">
        <v>0.0</v>
      </c>
      <c r="I16" s="27" t="s">
        <v>454</v>
      </c>
      <c r="J16" s="28">
        <v>0.0</v>
      </c>
      <c r="K16" s="16" t="str">
        <f t="shared" si="2"/>
        <v>LSW-08</v>
      </c>
      <c r="L16" s="20" t="s">
        <v>60</v>
      </c>
      <c r="M16" s="27" t="s">
        <v>455</v>
      </c>
      <c r="N16" s="28">
        <v>0.0</v>
      </c>
      <c r="O16" s="16" t="str">
        <f t="shared" si="3"/>
        <v>RDR-08</v>
      </c>
      <c r="P16" s="20" t="s">
        <v>65</v>
      </c>
      <c r="Q16" s="12" t="s">
        <v>456</v>
      </c>
      <c r="R16" s="14">
        <v>0.0</v>
      </c>
      <c r="S16" s="16" t="str">
        <f t="shared" si="4"/>
        <v>ROSOV-22</v>
      </c>
      <c r="T16" s="20" t="s">
        <v>69</v>
      </c>
      <c r="U16" s="4"/>
      <c r="V16" s="4"/>
      <c r="W16" s="4"/>
      <c r="X16" s="4"/>
      <c r="Y16" s="18" t="s">
        <v>457</v>
      </c>
      <c r="Z16" s="19">
        <v>0.0</v>
      </c>
      <c r="AA16" s="16" t="str">
        <f t="shared" si="5"/>
        <v>ROSOV-23</v>
      </c>
      <c r="AB16" s="20" t="s">
        <v>74</v>
      </c>
      <c r="AC16" s="18" t="s">
        <v>458</v>
      </c>
      <c r="AD16" s="19">
        <v>0.0</v>
      </c>
      <c r="AE16" s="4" t="str">
        <f t="shared" si="6"/>
        <v>ROSOV-24</v>
      </c>
      <c r="AF16" s="39" t="s">
        <v>79</v>
      </c>
      <c r="AG16" s="12" t="s">
        <v>459</v>
      </c>
      <c r="AH16" s="19">
        <v>0.0</v>
      </c>
      <c r="AI16" s="16" t="str">
        <f t="shared" si="7"/>
        <v>MOV-22</v>
      </c>
      <c r="AJ16" s="39" t="s">
        <v>84</v>
      </c>
      <c r="AK16" s="4"/>
      <c r="AL16" s="4"/>
      <c r="AM16" s="4"/>
      <c r="AN16" s="4"/>
      <c r="AO16" s="18" t="s">
        <v>460</v>
      </c>
      <c r="AP16" s="19">
        <v>0.0</v>
      </c>
      <c r="AQ16" s="17" t="str">
        <f t="shared" si="8"/>
        <v>MOV-24</v>
      </c>
      <c r="AR16" s="40" t="s">
        <v>88</v>
      </c>
      <c r="AS16" s="18" t="s">
        <v>461</v>
      </c>
      <c r="AT16" s="19">
        <v>0.0</v>
      </c>
      <c r="AU16" s="16" t="str">
        <f t="shared" si="9"/>
        <v>MOV-23</v>
      </c>
      <c r="AV16" s="20" t="s">
        <v>86</v>
      </c>
      <c r="AW16" s="21"/>
      <c r="AX16" s="21"/>
      <c r="AY16" s="4" t="str">
        <f t="shared" si="10"/>
        <v/>
      </c>
      <c r="AZ16" s="4"/>
      <c r="BA16" s="41"/>
      <c r="BB16" s="41"/>
    </row>
    <row r="17" ht="15.75" customHeight="1">
      <c r="A17" s="8">
        <v>1412.0</v>
      </c>
      <c r="B17" s="8" t="s">
        <v>380</v>
      </c>
      <c r="C17" s="9" t="str">
        <f t="shared" si="1"/>
        <v>TK-21_HHSD</v>
      </c>
      <c r="D17" s="22" t="s">
        <v>300</v>
      </c>
      <c r="E17" s="22" t="s">
        <v>50</v>
      </c>
      <c r="F17" s="22" t="s">
        <v>301</v>
      </c>
      <c r="G17" s="12"/>
      <c r="H17" s="12"/>
      <c r="I17" s="29"/>
      <c r="J17" s="29"/>
      <c r="K17" s="16" t="str">
        <f t="shared" si="2"/>
        <v/>
      </c>
      <c r="L17" s="5"/>
      <c r="M17" s="29"/>
      <c r="N17" s="29"/>
      <c r="O17" s="16" t="str">
        <f t="shared" si="3"/>
        <v/>
      </c>
      <c r="P17" s="5"/>
      <c r="Q17" s="12"/>
      <c r="R17" s="12"/>
      <c r="S17" s="16" t="str">
        <f t="shared" si="4"/>
        <v/>
      </c>
      <c r="T17" s="20"/>
      <c r="U17" s="4"/>
      <c r="V17" s="4"/>
      <c r="W17" s="4"/>
      <c r="X17" s="4"/>
      <c r="Y17" s="21"/>
      <c r="Z17" s="21"/>
      <c r="AA17" s="16" t="str">
        <f t="shared" si="5"/>
        <v/>
      </c>
      <c r="AB17" s="4"/>
      <c r="AC17" s="21"/>
      <c r="AD17" s="21"/>
      <c r="AE17" s="4" t="str">
        <f t="shared" si="6"/>
        <v/>
      </c>
      <c r="AF17" s="4"/>
      <c r="AG17" s="12"/>
      <c r="AH17" s="21"/>
      <c r="AI17" s="16" t="str">
        <f t="shared" si="7"/>
        <v/>
      </c>
      <c r="AJ17" s="4"/>
      <c r="AK17" s="4"/>
      <c r="AL17" s="4"/>
      <c r="AM17" s="4"/>
      <c r="AN17" s="4"/>
      <c r="AO17" s="21"/>
      <c r="AP17" s="21"/>
      <c r="AQ17" s="17" t="str">
        <f t="shared" si="8"/>
        <v/>
      </c>
      <c r="AR17" s="4"/>
      <c r="AS17" s="21"/>
      <c r="AT17" s="21"/>
      <c r="AU17" s="16" t="str">
        <f t="shared" si="9"/>
        <v/>
      </c>
      <c r="AV17" s="4"/>
      <c r="AW17" s="21"/>
      <c r="AX17" s="21"/>
      <c r="AY17" s="4"/>
      <c r="AZ17" s="4"/>
      <c r="BA17" s="41"/>
      <c r="BB17" s="41"/>
    </row>
    <row r="18" ht="15.75" customHeight="1">
      <c r="A18" s="8">
        <v>1412.0</v>
      </c>
      <c r="B18" s="8" t="s">
        <v>380</v>
      </c>
      <c r="C18" s="9" t="str">
        <f t="shared" si="1"/>
        <v>TK-22_HHSD</v>
      </c>
      <c r="D18" s="22" t="s">
        <v>304</v>
      </c>
      <c r="E18" s="22" t="s">
        <v>50</v>
      </c>
      <c r="F18" s="22" t="s">
        <v>301</v>
      </c>
      <c r="G18" s="12"/>
      <c r="H18" s="12"/>
      <c r="I18" s="29"/>
      <c r="J18" s="29"/>
      <c r="K18" s="16" t="str">
        <f t="shared" si="2"/>
        <v/>
      </c>
      <c r="L18" s="5"/>
      <c r="M18" s="29"/>
      <c r="N18" s="29"/>
      <c r="O18" s="16" t="str">
        <f t="shared" si="3"/>
        <v/>
      </c>
      <c r="P18" s="5"/>
      <c r="Q18" s="12"/>
      <c r="R18" s="12"/>
      <c r="S18" s="16" t="str">
        <f t="shared" si="4"/>
        <v/>
      </c>
      <c r="T18" s="20"/>
      <c r="U18" s="4"/>
      <c r="V18" s="4"/>
      <c r="W18" s="4"/>
      <c r="X18" s="4"/>
      <c r="Y18" s="21"/>
      <c r="Z18" s="21"/>
      <c r="AA18" s="16" t="str">
        <f t="shared" si="5"/>
        <v/>
      </c>
      <c r="AB18" s="4"/>
      <c r="AC18" s="21"/>
      <c r="AD18" s="21"/>
      <c r="AE18" s="4" t="str">
        <f t="shared" si="6"/>
        <v/>
      </c>
      <c r="AF18" s="4"/>
      <c r="AG18" s="12"/>
      <c r="AH18" s="21"/>
      <c r="AI18" s="16" t="str">
        <f t="shared" si="7"/>
        <v/>
      </c>
      <c r="AJ18" s="4"/>
      <c r="AK18" s="4"/>
      <c r="AL18" s="4"/>
      <c r="AM18" s="4"/>
      <c r="AN18" s="4"/>
      <c r="AO18" s="21"/>
      <c r="AP18" s="21"/>
      <c r="AQ18" s="17" t="str">
        <f t="shared" si="8"/>
        <v/>
      </c>
      <c r="AR18" s="4"/>
      <c r="AS18" s="21"/>
      <c r="AT18" s="21"/>
      <c r="AU18" s="16" t="str">
        <f t="shared" si="9"/>
        <v/>
      </c>
      <c r="AV18" s="4"/>
      <c r="AW18" s="21"/>
      <c r="AX18" s="21"/>
      <c r="AY18" s="4"/>
      <c r="AZ18" s="4"/>
      <c r="BA18" s="41"/>
      <c r="BB18" s="41"/>
    </row>
    <row r="19" ht="15.75" customHeight="1">
      <c r="A19" s="8">
        <v>1412.0</v>
      </c>
      <c r="B19" s="8" t="s">
        <v>380</v>
      </c>
      <c r="C19" s="9" t="str">
        <f t="shared" si="1"/>
        <v>TK-23_FO</v>
      </c>
      <c r="D19" s="22" t="s">
        <v>307</v>
      </c>
      <c r="E19" s="22" t="s">
        <v>50</v>
      </c>
      <c r="F19" s="22" t="s">
        <v>308</v>
      </c>
      <c r="G19" s="12"/>
      <c r="H19" s="12"/>
      <c r="I19" s="29"/>
      <c r="J19" s="29"/>
      <c r="K19" s="16" t="str">
        <f t="shared" si="2"/>
        <v/>
      </c>
      <c r="L19" s="5"/>
      <c r="M19" s="29"/>
      <c r="N19" s="29"/>
      <c r="O19" s="16" t="str">
        <f t="shared" si="3"/>
        <v/>
      </c>
      <c r="P19" s="5"/>
      <c r="Q19" s="12"/>
      <c r="R19" s="12"/>
      <c r="S19" s="16" t="str">
        <f t="shared" si="4"/>
        <v/>
      </c>
      <c r="T19" s="20"/>
      <c r="U19" s="4"/>
      <c r="V19" s="4"/>
      <c r="W19" s="4"/>
      <c r="X19" s="4"/>
      <c r="Y19" s="21"/>
      <c r="Z19" s="21"/>
      <c r="AA19" s="16" t="str">
        <f t="shared" si="5"/>
        <v/>
      </c>
      <c r="AB19" s="4"/>
      <c r="AC19" s="21"/>
      <c r="AD19" s="21"/>
      <c r="AE19" s="4" t="str">
        <f t="shared" si="6"/>
        <v/>
      </c>
      <c r="AF19" s="4"/>
      <c r="AG19" s="12"/>
      <c r="AH19" s="21"/>
      <c r="AI19" s="16" t="str">
        <f t="shared" si="7"/>
        <v/>
      </c>
      <c r="AJ19" s="4"/>
      <c r="AK19" s="4"/>
      <c r="AL19" s="4"/>
      <c r="AM19" s="4"/>
      <c r="AN19" s="4"/>
      <c r="AO19" s="21"/>
      <c r="AP19" s="21"/>
      <c r="AQ19" s="17" t="str">
        <f t="shared" si="8"/>
        <v/>
      </c>
      <c r="AR19" s="4"/>
      <c r="AS19" s="21"/>
      <c r="AT19" s="21"/>
      <c r="AU19" s="16" t="str">
        <f t="shared" si="9"/>
        <v/>
      </c>
      <c r="AV19" s="4"/>
      <c r="AW19" s="18" t="s">
        <v>462</v>
      </c>
      <c r="AX19" s="19">
        <v>0.0</v>
      </c>
      <c r="AY19" s="4" t="str">
        <f t="shared" ref="AY19:AY20" si="11">MID(AW19,5,6)</f>
        <v>MOV-33</v>
      </c>
      <c r="AZ19" s="39" t="s">
        <v>272</v>
      </c>
      <c r="BA19" s="41"/>
      <c r="BB19" s="41"/>
    </row>
    <row r="20" ht="15.75" customHeight="1">
      <c r="A20" s="8">
        <v>1412.0</v>
      </c>
      <c r="B20" s="8" t="s">
        <v>380</v>
      </c>
      <c r="C20" s="9" t="str">
        <f t="shared" si="1"/>
        <v>TK-24_BS VI MS</v>
      </c>
      <c r="D20" s="22" t="s">
        <v>311</v>
      </c>
      <c r="E20" s="22" t="s">
        <v>50</v>
      </c>
      <c r="F20" s="22" t="s">
        <v>227</v>
      </c>
      <c r="G20" s="12" t="s">
        <v>463</v>
      </c>
      <c r="H20" s="14">
        <v>0.0</v>
      </c>
      <c r="I20" s="27" t="s">
        <v>464</v>
      </c>
      <c r="J20" s="28">
        <v>0.0</v>
      </c>
      <c r="K20" s="16" t="str">
        <f t="shared" si="2"/>
        <v>LSW-09</v>
      </c>
      <c r="L20" s="20" t="s">
        <v>60</v>
      </c>
      <c r="M20" s="27" t="s">
        <v>465</v>
      </c>
      <c r="N20" s="28">
        <v>0.0</v>
      </c>
      <c r="O20" s="16" t="str">
        <f t="shared" si="3"/>
        <v>RDR-09</v>
      </c>
      <c r="P20" s="20" t="s">
        <v>65</v>
      </c>
      <c r="Q20" s="12" t="s">
        <v>466</v>
      </c>
      <c r="R20" s="14">
        <v>0.0</v>
      </c>
      <c r="S20" s="16" t="str">
        <f t="shared" si="4"/>
        <v>ROSOV-25</v>
      </c>
      <c r="T20" s="20" t="s">
        <v>69</v>
      </c>
      <c r="U20" s="4"/>
      <c r="V20" s="4"/>
      <c r="W20" s="4"/>
      <c r="X20" s="4"/>
      <c r="Y20" s="18" t="s">
        <v>467</v>
      </c>
      <c r="Z20" s="19">
        <v>0.0</v>
      </c>
      <c r="AA20" s="16" t="str">
        <f t="shared" si="5"/>
        <v>ROSOV-26</v>
      </c>
      <c r="AB20" s="20" t="s">
        <v>74</v>
      </c>
      <c r="AC20" s="18" t="s">
        <v>468</v>
      </c>
      <c r="AD20" s="19">
        <v>0.0</v>
      </c>
      <c r="AE20" s="4" t="str">
        <f t="shared" si="6"/>
        <v>ROSOV-27</v>
      </c>
      <c r="AF20" s="39" t="s">
        <v>79</v>
      </c>
      <c r="AG20" s="12" t="s">
        <v>469</v>
      </c>
      <c r="AH20" s="19">
        <v>0.0</v>
      </c>
      <c r="AI20" s="16" t="str">
        <f t="shared" si="7"/>
        <v>MOV-25</v>
      </c>
      <c r="AJ20" s="39" t="s">
        <v>84</v>
      </c>
      <c r="AK20" s="4"/>
      <c r="AL20" s="4"/>
      <c r="AM20" s="4"/>
      <c r="AN20" s="4"/>
      <c r="AO20" s="18" t="s">
        <v>470</v>
      </c>
      <c r="AP20" s="19">
        <v>0.0</v>
      </c>
      <c r="AQ20" s="17" t="str">
        <f t="shared" si="8"/>
        <v>MOV-27</v>
      </c>
      <c r="AR20" s="40" t="s">
        <v>88</v>
      </c>
      <c r="AS20" s="18" t="s">
        <v>471</v>
      </c>
      <c r="AT20" s="19">
        <v>0.0</v>
      </c>
      <c r="AU20" s="16" t="str">
        <f t="shared" si="9"/>
        <v>MOV-26</v>
      </c>
      <c r="AV20" s="20" t="s">
        <v>86</v>
      </c>
      <c r="AW20" s="18" t="s">
        <v>472</v>
      </c>
      <c r="AX20" s="19">
        <v>0.0</v>
      </c>
      <c r="AY20" s="4" t="str">
        <f t="shared" si="11"/>
        <v>MOV-34</v>
      </c>
      <c r="AZ20" s="39" t="s">
        <v>272</v>
      </c>
      <c r="BA20" s="41"/>
      <c r="BB20" s="41"/>
    </row>
    <row r="21" ht="15.75" customHeight="1">
      <c r="A21" s="8">
        <v>1412.0</v>
      </c>
      <c r="B21" s="8" t="s">
        <v>380</v>
      </c>
      <c r="C21" s="9" t="str">
        <f t="shared" si="1"/>
        <v>TK-25_BS VI MS</v>
      </c>
      <c r="D21" s="22" t="s">
        <v>338</v>
      </c>
      <c r="E21" s="22" t="s">
        <v>50</v>
      </c>
      <c r="F21" s="22" t="s">
        <v>227</v>
      </c>
      <c r="G21" s="12" t="s">
        <v>473</v>
      </c>
      <c r="H21" s="14">
        <v>0.0</v>
      </c>
      <c r="I21" s="27" t="s">
        <v>474</v>
      </c>
      <c r="J21" s="28">
        <v>0.0</v>
      </c>
      <c r="K21" s="16" t="str">
        <f t="shared" si="2"/>
        <v>LSW-10</v>
      </c>
      <c r="L21" s="20" t="s">
        <v>60</v>
      </c>
      <c r="M21" s="27" t="s">
        <v>475</v>
      </c>
      <c r="N21" s="28">
        <v>0.0</v>
      </c>
      <c r="O21" s="16" t="str">
        <f t="shared" si="3"/>
        <v>RDR-10</v>
      </c>
      <c r="P21" s="20" t="s">
        <v>65</v>
      </c>
      <c r="Q21" s="12" t="s">
        <v>476</v>
      </c>
      <c r="R21" s="14">
        <v>0.0</v>
      </c>
      <c r="S21" s="16" t="str">
        <f t="shared" si="4"/>
        <v>ROSOV-28</v>
      </c>
      <c r="T21" s="20" t="s">
        <v>69</v>
      </c>
      <c r="U21" s="4"/>
      <c r="V21" s="4"/>
      <c r="W21" s="4"/>
      <c r="X21" s="4"/>
      <c r="Y21" s="18" t="s">
        <v>477</v>
      </c>
      <c r="Z21" s="19">
        <v>0.0</v>
      </c>
      <c r="AA21" s="16" t="str">
        <f t="shared" si="5"/>
        <v>ROSOV-29</v>
      </c>
      <c r="AB21" s="20" t="s">
        <v>74</v>
      </c>
      <c r="AC21" s="18" t="s">
        <v>478</v>
      </c>
      <c r="AD21" s="19">
        <v>0.0</v>
      </c>
      <c r="AE21" s="4" t="str">
        <f t="shared" si="6"/>
        <v>ROSOV-30</v>
      </c>
      <c r="AF21" s="39" t="s">
        <v>79</v>
      </c>
      <c r="AG21" s="12" t="s">
        <v>479</v>
      </c>
      <c r="AH21" s="19">
        <v>0.0</v>
      </c>
      <c r="AI21" s="16" t="str">
        <f t="shared" si="7"/>
        <v>MOV-28</v>
      </c>
      <c r="AJ21" s="39" t="s">
        <v>84</v>
      </c>
      <c r="AK21" s="4"/>
      <c r="AL21" s="4"/>
      <c r="AM21" s="4"/>
      <c r="AN21" s="4"/>
      <c r="AO21" s="18" t="s">
        <v>480</v>
      </c>
      <c r="AP21" s="19">
        <v>0.0</v>
      </c>
      <c r="AQ21" s="17" t="str">
        <f t="shared" si="8"/>
        <v>MOV-30</v>
      </c>
      <c r="AR21" s="40" t="s">
        <v>88</v>
      </c>
      <c r="AS21" s="18" t="s">
        <v>481</v>
      </c>
      <c r="AT21" s="19">
        <v>0.0</v>
      </c>
      <c r="AU21" s="16" t="str">
        <f t="shared" si="9"/>
        <v>MOV-29</v>
      </c>
      <c r="AV21" s="20" t="s">
        <v>86</v>
      </c>
      <c r="AW21" s="4"/>
      <c r="AX21" s="4"/>
      <c r="AY21" s="4"/>
      <c r="AZ21" s="4"/>
      <c r="BA21" s="41"/>
      <c r="BB21" s="41"/>
    </row>
    <row r="22" ht="15.75" customHeight="1">
      <c r="G22" s="31"/>
      <c r="H22" s="31"/>
      <c r="I22" s="30"/>
      <c r="J22" s="30"/>
      <c r="K22" s="30"/>
      <c r="L22" s="30"/>
      <c r="M22" s="30"/>
      <c r="N22" s="30"/>
      <c r="O22" s="30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42"/>
      <c r="AX22" s="42"/>
      <c r="AY22" s="42"/>
      <c r="AZ22" s="42"/>
    </row>
    <row r="23" ht="15.75" customHeight="1">
      <c r="G23" s="33"/>
      <c r="H23" s="33"/>
      <c r="I23" s="30"/>
      <c r="J23" s="30"/>
      <c r="K23" s="30"/>
      <c r="L23" s="30"/>
      <c r="M23" s="30"/>
      <c r="N23" s="30"/>
      <c r="O23" s="30"/>
      <c r="P23" s="30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42"/>
      <c r="AX23" s="42"/>
      <c r="AY23" s="42"/>
      <c r="AZ23" s="42"/>
    </row>
    <row r="24" ht="15.75" customHeight="1">
      <c r="G24" s="33"/>
      <c r="H24" s="33"/>
      <c r="I24" s="30"/>
      <c r="J24" s="30"/>
      <c r="K24" s="30"/>
      <c r="L24" s="30"/>
      <c r="M24" s="30"/>
      <c r="N24" s="30"/>
      <c r="O24" s="30"/>
      <c r="P24" s="30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42"/>
      <c r="AX24" s="42"/>
      <c r="AY24" s="42"/>
      <c r="AZ24" s="42"/>
    </row>
    <row r="25" ht="15.75" customHeight="1">
      <c r="G25" s="33"/>
      <c r="H25" s="33"/>
      <c r="I25" s="30"/>
      <c r="J25" s="30"/>
      <c r="K25" s="30"/>
      <c r="L25" s="30"/>
      <c r="M25" s="30"/>
      <c r="N25" s="30"/>
      <c r="O25" s="30"/>
      <c r="P25" s="30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42"/>
      <c r="AX25" s="42"/>
      <c r="AY25" s="42"/>
      <c r="AZ25" s="42"/>
    </row>
    <row r="26" ht="15.75" customHeight="1">
      <c r="G26" s="33"/>
      <c r="H26" s="33"/>
      <c r="I26" s="30"/>
      <c r="J26" s="30"/>
      <c r="K26" s="30"/>
      <c r="L26" s="30"/>
      <c r="M26" s="30"/>
      <c r="N26" s="30"/>
      <c r="O26" s="30"/>
      <c r="P26" s="30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42"/>
      <c r="AX26" s="42"/>
      <c r="AY26" s="42"/>
      <c r="AZ26" s="42"/>
    </row>
    <row r="27" ht="15.75" customHeight="1">
      <c r="G27" s="33"/>
      <c r="H27" s="33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42"/>
      <c r="AX27" s="42"/>
      <c r="AY27" s="42"/>
      <c r="AZ27" s="42"/>
    </row>
    <row r="28" ht="15.75" customHeight="1">
      <c r="G28" s="33"/>
      <c r="H28" s="33"/>
      <c r="I28" s="30"/>
      <c r="J28" s="30"/>
      <c r="K28" s="30"/>
      <c r="L28" s="30"/>
      <c r="M28" s="30"/>
      <c r="N28" s="30"/>
      <c r="O28" s="30"/>
      <c r="P28" s="30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42"/>
      <c r="AX28" s="42"/>
      <c r="AY28" s="42"/>
      <c r="AZ28" s="42"/>
    </row>
    <row r="29" ht="15.75" customHeight="1">
      <c r="G29" s="33"/>
      <c r="H29" s="33"/>
      <c r="I29" s="30"/>
      <c r="J29" s="30"/>
      <c r="K29" s="30"/>
      <c r="L29" s="30"/>
      <c r="M29" s="30"/>
      <c r="N29" s="30"/>
      <c r="O29" s="30"/>
      <c r="P29" s="30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42"/>
      <c r="AX29" s="42"/>
      <c r="AY29" s="42"/>
      <c r="AZ29" s="42"/>
    </row>
    <row r="30" ht="15.75" customHeight="1">
      <c r="G30" s="33"/>
      <c r="H30" s="33"/>
      <c r="I30" s="30"/>
      <c r="J30" s="30"/>
      <c r="K30" s="30"/>
      <c r="L30" s="30"/>
      <c r="M30" s="30"/>
      <c r="N30" s="30"/>
      <c r="O30" s="30"/>
      <c r="P30" s="30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42"/>
      <c r="AX30" s="42"/>
      <c r="AY30" s="42"/>
      <c r="AZ30" s="42"/>
    </row>
    <row r="31" ht="15.75" customHeight="1">
      <c r="G31" s="33"/>
      <c r="H31" s="33"/>
      <c r="I31" s="30"/>
      <c r="J31" s="30"/>
      <c r="K31" s="30"/>
      <c r="L31" s="30"/>
      <c r="M31" s="30"/>
      <c r="N31" s="30"/>
      <c r="O31" s="30"/>
      <c r="P31" s="30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42"/>
      <c r="AX31" s="42"/>
      <c r="AY31" s="42"/>
      <c r="AZ31" s="42"/>
    </row>
    <row r="32" ht="15.75" customHeight="1">
      <c r="G32" s="33"/>
      <c r="H32" s="33"/>
      <c r="I32" s="30"/>
      <c r="J32" s="30"/>
      <c r="K32" s="30"/>
      <c r="L32" s="30"/>
      <c r="M32" s="30"/>
      <c r="N32" s="30"/>
      <c r="O32" s="30"/>
      <c r="P32" s="30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42"/>
      <c r="AX32" s="42"/>
      <c r="AY32" s="42"/>
      <c r="AZ32" s="42"/>
    </row>
    <row r="33" ht="15.75" customHeight="1">
      <c r="G33" s="33"/>
      <c r="H33" s="33"/>
      <c r="I33" s="30"/>
      <c r="J33" s="30"/>
      <c r="K33" s="30"/>
      <c r="L33" s="30"/>
      <c r="M33" s="30"/>
      <c r="N33" s="30"/>
      <c r="O33" s="30"/>
      <c r="P33" s="30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42"/>
      <c r="AX33" s="42"/>
      <c r="AY33" s="42"/>
      <c r="AZ33" s="42"/>
    </row>
    <row r="34" ht="15.75" customHeight="1">
      <c r="G34" s="33"/>
      <c r="H34" s="33"/>
      <c r="I34" s="30"/>
      <c r="J34" s="30"/>
      <c r="K34" s="30"/>
      <c r="L34" s="30"/>
      <c r="M34" s="30"/>
      <c r="N34" s="30"/>
      <c r="O34" s="30"/>
      <c r="P34" s="30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42"/>
      <c r="AX34" s="42"/>
      <c r="AY34" s="42"/>
      <c r="AZ34" s="42"/>
    </row>
    <row r="35" ht="15.75" customHeight="1">
      <c r="G35" s="33"/>
      <c r="H35" s="33"/>
      <c r="I35" s="30"/>
      <c r="J35" s="30"/>
      <c r="K35" s="30"/>
      <c r="L35" s="30"/>
      <c r="M35" s="30"/>
      <c r="N35" s="30"/>
      <c r="O35" s="30"/>
      <c r="P35" s="30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42"/>
      <c r="AX35" s="42"/>
      <c r="AY35" s="42"/>
      <c r="AZ35" s="42"/>
    </row>
    <row r="36" ht="15.75" customHeight="1">
      <c r="G36" s="33"/>
      <c r="H36" s="33"/>
      <c r="I36" s="30"/>
      <c r="J36" s="30"/>
      <c r="K36" s="30"/>
      <c r="L36" s="30"/>
      <c r="M36" s="30"/>
      <c r="N36" s="30"/>
      <c r="O36" s="30"/>
      <c r="P36" s="30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42"/>
      <c r="AX36" s="42"/>
      <c r="AY36" s="42"/>
      <c r="AZ36" s="42"/>
    </row>
    <row r="37" ht="15.75" customHeight="1">
      <c r="G37" s="33"/>
      <c r="H37" s="33"/>
      <c r="I37" s="30"/>
      <c r="J37" s="30"/>
      <c r="K37" s="30"/>
      <c r="L37" s="30"/>
      <c r="M37" s="30"/>
      <c r="N37" s="30"/>
      <c r="O37" s="30"/>
      <c r="P37" s="30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42"/>
      <c r="AX37" s="42"/>
      <c r="AY37" s="42"/>
      <c r="AZ37" s="42"/>
    </row>
    <row r="38" ht="15.75" customHeight="1">
      <c r="G38" s="33"/>
      <c r="H38" s="33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42"/>
      <c r="AX38" s="42"/>
      <c r="AY38" s="42"/>
      <c r="AZ38" s="42"/>
    </row>
    <row r="39" ht="15.75" customHeight="1">
      <c r="G39" s="33"/>
      <c r="H39" s="33"/>
      <c r="I39" s="30"/>
      <c r="J39" s="30"/>
      <c r="K39" s="30"/>
      <c r="L39" s="30"/>
      <c r="M39" s="30"/>
      <c r="N39" s="30"/>
      <c r="O39" s="30"/>
      <c r="P39" s="30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42"/>
      <c r="AX39" s="42"/>
      <c r="AY39" s="42"/>
      <c r="AZ39" s="42"/>
    </row>
    <row r="40" ht="15.75" customHeight="1">
      <c r="G40" s="33"/>
      <c r="H40" s="33"/>
      <c r="I40" s="30"/>
      <c r="J40" s="30"/>
      <c r="K40" s="30"/>
      <c r="L40" s="30"/>
      <c r="M40" s="30"/>
      <c r="N40" s="30"/>
      <c r="O40" s="30"/>
      <c r="P40" s="30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42"/>
      <c r="AX40" s="42"/>
      <c r="AY40" s="42"/>
      <c r="AZ40" s="42"/>
    </row>
    <row r="41" ht="15.75" customHeight="1">
      <c r="G41" s="33"/>
      <c r="H41" s="33"/>
      <c r="I41" s="30"/>
      <c r="J41" s="30"/>
      <c r="K41" s="30"/>
      <c r="L41" s="30"/>
      <c r="M41" s="30"/>
      <c r="N41" s="30"/>
      <c r="O41" s="30"/>
      <c r="P41" s="30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42"/>
      <c r="AX41" s="42"/>
      <c r="AY41" s="42"/>
      <c r="AZ41" s="42"/>
    </row>
    <row r="42" ht="15.75" customHeight="1">
      <c r="G42" s="33"/>
      <c r="H42" s="33"/>
      <c r="I42" s="30"/>
      <c r="J42" s="30"/>
      <c r="K42" s="30"/>
      <c r="L42" s="30"/>
      <c r="M42" s="30"/>
      <c r="N42" s="30"/>
      <c r="O42" s="30"/>
      <c r="P42" s="30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42"/>
      <c r="AX42" s="42"/>
      <c r="AY42" s="42"/>
      <c r="AZ42" s="42"/>
    </row>
    <row r="43" ht="15.75" customHeight="1">
      <c r="G43" s="33"/>
      <c r="H43" s="33"/>
      <c r="I43" s="30"/>
      <c r="J43" s="30"/>
      <c r="K43" s="30"/>
      <c r="L43" s="30"/>
      <c r="M43" s="30"/>
      <c r="N43" s="30"/>
      <c r="O43" s="30"/>
      <c r="P43" s="30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42"/>
      <c r="AX43" s="42"/>
      <c r="AY43" s="42"/>
      <c r="AZ43" s="42"/>
    </row>
    <row r="44" ht="15.75" customHeight="1">
      <c r="G44" s="33"/>
      <c r="H44" s="33"/>
      <c r="I44" s="30"/>
      <c r="J44" s="30"/>
      <c r="K44" s="30"/>
      <c r="L44" s="30"/>
      <c r="M44" s="30"/>
      <c r="N44" s="30"/>
      <c r="O44" s="30"/>
      <c r="P44" s="30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42"/>
      <c r="AX44" s="42"/>
      <c r="AY44" s="42"/>
      <c r="AZ44" s="42"/>
    </row>
    <row r="45" ht="15.75" customHeight="1">
      <c r="G45" s="33"/>
      <c r="H45" s="33"/>
      <c r="I45" s="30"/>
      <c r="J45" s="30"/>
      <c r="K45" s="30"/>
      <c r="L45" s="30"/>
      <c r="M45" s="30"/>
      <c r="N45" s="30"/>
      <c r="O45" s="30"/>
      <c r="P45" s="30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42"/>
      <c r="AX45" s="42"/>
      <c r="AY45" s="42"/>
      <c r="AZ45" s="42"/>
    </row>
    <row r="46" ht="15.75" customHeight="1">
      <c r="G46" s="33"/>
      <c r="H46" s="33"/>
      <c r="I46" s="30"/>
      <c r="J46" s="30"/>
      <c r="K46" s="30"/>
      <c r="L46" s="30"/>
      <c r="M46" s="30"/>
      <c r="N46" s="30"/>
      <c r="O46" s="30"/>
      <c r="P46" s="30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42"/>
      <c r="AX46" s="42"/>
      <c r="AY46" s="42"/>
      <c r="AZ46" s="42"/>
    </row>
    <row r="47" ht="15.75" customHeight="1">
      <c r="G47" s="33"/>
      <c r="H47" s="33"/>
      <c r="I47" s="30"/>
      <c r="J47" s="30"/>
      <c r="K47" s="30"/>
      <c r="L47" s="30"/>
      <c r="M47" s="30"/>
      <c r="N47" s="30"/>
      <c r="O47" s="30"/>
      <c r="P47" s="30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42"/>
      <c r="AX47" s="42"/>
      <c r="AY47" s="42"/>
      <c r="AZ47" s="42"/>
    </row>
    <row r="48" ht="15.75" customHeight="1">
      <c r="G48" s="33"/>
      <c r="H48" s="33"/>
      <c r="I48" s="30"/>
      <c r="J48" s="30"/>
      <c r="K48" s="30"/>
      <c r="L48" s="30"/>
      <c r="M48" s="30"/>
      <c r="N48" s="30"/>
      <c r="O48" s="30"/>
      <c r="P48" s="30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42"/>
      <c r="AX48" s="42"/>
      <c r="AY48" s="42"/>
      <c r="AZ48" s="42"/>
    </row>
    <row r="49" ht="15.75" customHeight="1">
      <c r="G49" s="33"/>
      <c r="H49" s="33"/>
      <c r="I49" s="30"/>
      <c r="J49" s="30"/>
      <c r="K49" s="30"/>
      <c r="L49" s="30"/>
      <c r="M49" s="30"/>
      <c r="N49" s="30"/>
      <c r="O49" s="30"/>
      <c r="P49" s="30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42"/>
      <c r="AX49" s="42"/>
      <c r="AY49" s="42"/>
      <c r="AZ49" s="42"/>
    </row>
    <row r="50" ht="15.75" customHeight="1">
      <c r="G50" s="33"/>
      <c r="H50" s="33"/>
      <c r="I50" s="30"/>
      <c r="J50" s="30"/>
      <c r="K50" s="30"/>
      <c r="L50" s="30"/>
      <c r="M50" s="30"/>
      <c r="N50" s="30"/>
      <c r="O50" s="30"/>
      <c r="P50" s="30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42"/>
      <c r="AX50" s="42"/>
      <c r="AY50" s="42"/>
      <c r="AZ50" s="42"/>
    </row>
    <row r="51" ht="15.75" customHeight="1">
      <c r="G51" s="33"/>
      <c r="H51" s="33"/>
      <c r="I51" s="30"/>
      <c r="J51" s="30"/>
      <c r="K51" s="30"/>
      <c r="L51" s="30"/>
      <c r="M51" s="30"/>
      <c r="N51" s="30"/>
      <c r="O51" s="30"/>
      <c r="P51" s="30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42"/>
      <c r="AX51" s="42"/>
      <c r="AY51" s="42"/>
      <c r="AZ51" s="42"/>
    </row>
    <row r="52" ht="15.75" customHeight="1">
      <c r="G52" s="33"/>
      <c r="H52" s="33"/>
      <c r="I52" s="30"/>
      <c r="J52" s="30"/>
      <c r="K52" s="30"/>
      <c r="L52" s="30"/>
      <c r="M52" s="30"/>
      <c r="N52" s="30"/>
      <c r="O52" s="30"/>
      <c r="P52" s="30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42"/>
      <c r="AX52" s="42"/>
      <c r="AY52" s="42"/>
      <c r="AZ52" s="42"/>
    </row>
    <row r="53" ht="15.75" customHeight="1">
      <c r="G53" s="33"/>
      <c r="H53" s="33"/>
      <c r="I53" s="30"/>
      <c r="J53" s="30"/>
      <c r="K53" s="30"/>
      <c r="L53" s="30"/>
      <c r="M53" s="30"/>
      <c r="N53" s="30"/>
      <c r="O53" s="30"/>
      <c r="P53" s="30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42"/>
      <c r="AX53" s="42"/>
      <c r="AY53" s="42"/>
      <c r="AZ53" s="42"/>
    </row>
    <row r="54" ht="15.75" customHeight="1">
      <c r="G54" s="33"/>
      <c r="H54" s="33"/>
      <c r="I54" s="30"/>
      <c r="J54" s="30"/>
      <c r="K54" s="30"/>
      <c r="L54" s="30"/>
      <c r="M54" s="30"/>
      <c r="N54" s="30"/>
      <c r="O54" s="30"/>
      <c r="P54" s="30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42"/>
      <c r="AX54" s="42"/>
      <c r="AY54" s="42"/>
      <c r="AZ54" s="42"/>
    </row>
    <row r="55" ht="15.75" customHeight="1">
      <c r="G55" s="33"/>
      <c r="H55" s="33"/>
      <c r="I55" s="30"/>
      <c r="J55" s="30"/>
      <c r="K55" s="30"/>
      <c r="L55" s="30"/>
      <c r="M55" s="30"/>
      <c r="N55" s="30"/>
      <c r="O55" s="30"/>
      <c r="P55" s="30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42"/>
      <c r="AX55" s="42"/>
      <c r="AY55" s="42"/>
      <c r="AZ55" s="42"/>
    </row>
    <row r="56" ht="15.75" customHeight="1">
      <c r="G56" s="33"/>
      <c r="H56" s="33"/>
      <c r="I56" s="30"/>
      <c r="J56" s="30"/>
      <c r="K56" s="30"/>
      <c r="L56" s="30"/>
      <c r="M56" s="30"/>
      <c r="N56" s="30"/>
      <c r="O56" s="30"/>
      <c r="P56" s="30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42"/>
      <c r="AX56" s="42"/>
      <c r="AY56" s="42"/>
      <c r="AZ56" s="42"/>
    </row>
    <row r="57" ht="15.75" customHeight="1">
      <c r="G57" s="33"/>
      <c r="H57" s="33"/>
      <c r="I57" s="30"/>
      <c r="J57" s="30"/>
      <c r="K57" s="30"/>
      <c r="L57" s="30"/>
      <c r="M57" s="30"/>
      <c r="N57" s="30"/>
      <c r="O57" s="30"/>
      <c r="P57" s="30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42"/>
      <c r="AX57" s="42"/>
      <c r="AY57" s="42"/>
      <c r="AZ57" s="42"/>
    </row>
    <row r="58" ht="15.75" customHeight="1">
      <c r="G58" s="33"/>
      <c r="H58" s="33"/>
      <c r="I58" s="30"/>
      <c r="J58" s="30"/>
      <c r="K58" s="30"/>
      <c r="L58" s="30"/>
      <c r="M58" s="30"/>
      <c r="N58" s="30"/>
      <c r="O58" s="30"/>
      <c r="P58" s="30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42"/>
      <c r="AX58" s="42"/>
      <c r="AY58" s="42"/>
      <c r="AZ58" s="42"/>
    </row>
    <row r="59" ht="15.75" customHeight="1">
      <c r="G59" s="33"/>
      <c r="H59" s="33"/>
      <c r="I59" s="30"/>
      <c r="J59" s="30"/>
      <c r="K59" s="30"/>
      <c r="L59" s="30"/>
      <c r="M59" s="30"/>
      <c r="N59" s="30"/>
      <c r="O59" s="30"/>
      <c r="P59" s="30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42"/>
      <c r="AX59" s="42"/>
      <c r="AY59" s="42"/>
      <c r="AZ59" s="42"/>
    </row>
    <row r="60" ht="15.75" customHeight="1">
      <c r="G60" s="33"/>
      <c r="H60" s="33"/>
      <c r="I60" s="30"/>
      <c r="J60" s="30"/>
      <c r="K60" s="30"/>
      <c r="L60" s="30"/>
      <c r="M60" s="30"/>
      <c r="N60" s="30"/>
      <c r="O60" s="30"/>
      <c r="P60" s="30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42"/>
      <c r="AX60" s="42"/>
      <c r="AY60" s="42"/>
      <c r="AZ60" s="42"/>
    </row>
    <row r="61" ht="15.75" customHeight="1">
      <c r="G61" s="33"/>
      <c r="H61" s="33"/>
      <c r="I61" s="30"/>
      <c r="J61" s="30"/>
      <c r="K61" s="30"/>
      <c r="L61" s="30"/>
      <c r="M61" s="30"/>
      <c r="N61" s="30"/>
      <c r="O61" s="30"/>
      <c r="P61" s="30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42"/>
      <c r="AX61" s="42"/>
      <c r="AY61" s="42"/>
      <c r="AZ61" s="42"/>
    </row>
    <row r="62" ht="15.75" customHeight="1">
      <c r="G62" s="33"/>
      <c r="H62" s="33"/>
      <c r="I62" s="30"/>
      <c r="J62" s="30"/>
      <c r="K62" s="30"/>
      <c r="L62" s="30"/>
      <c r="M62" s="30"/>
      <c r="N62" s="30"/>
      <c r="O62" s="30"/>
      <c r="P62" s="30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42"/>
      <c r="AX62" s="42"/>
      <c r="AY62" s="42"/>
      <c r="AZ62" s="42"/>
    </row>
    <row r="63" ht="15.75" customHeight="1">
      <c r="G63" s="33"/>
      <c r="H63" s="33"/>
      <c r="I63" s="30"/>
      <c r="J63" s="30"/>
      <c r="K63" s="30"/>
      <c r="L63" s="30"/>
      <c r="M63" s="30"/>
      <c r="N63" s="30"/>
      <c r="O63" s="30"/>
      <c r="P63" s="30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42"/>
      <c r="AX63" s="42"/>
      <c r="AY63" s="42"/>
      <c r="AZ63" s="42"/>
    </row>
    <row r="64" ht="15.75" customHeight="1">
      <c r="G64" s="33"/>
      <c r="H64" s="33"/>
      <c r="I64" s="30"/>
      <c r="J64" s="30"/>
      <c r="K64" s="30"/>
      <c r="L64" s="30"/>
      <c r="M64" s="30"/>
      <c r="N64" s="30"/>
      <c r="O64" s="30"/>
      <c r="P64" s="30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42"/>
      <c r="AX64" s="42"/>
      <c r="AY64" s="42"/>
      <c r="AZ64" s="42"/>
    </row>
    <row r="65" ht="15.75" customHeight="1">
      <c r="G65" s="33"/>
      <c r="H65" s="33"/>
      <c r="I65" s="30"/>
      <c r="J65" s="30"/>
      <c r="K65" s="30"/>
      <c r="L65" s="30"/>
      <c r="M65" s="30"/>
      <c r="N65" s="30"/>
      <c r="O65" s="30"/>
      <c r="P65" s="30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42"/>
      <c r="AX65" s="42"/>
      <c r="AY65" s="42"/>
      <c r="AZ65" s="42"/>
    </row>
    <row r="66" ht="15.75" customHeight="1">
      <c r="G66" s="33"/>
      <c r="H66" s="33"/>
      <c r="I66" s="30"/>
      <c r="J66" s="30"/>
      <c r="K66" s="30"/>
      <c r="L66" s="30"/>
      <c r="M66" s="30"/>
      <c r="N66" s="30"/>
      <c r="O66" s="30"/>
      <c r="P66" s="30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42"/>
      <c r="AX66" s="42"/>
      <c r="AY66" s="42"/>
      <c r="AZ66" s="42"/>
    </row>
    <row r="67" ht="15.75" customHeight="1">
      <c r="G67" s="33"/>
      <c r="H67" s="33"/>
      <c r="I67" s="30"/>
      <c r="J67" s="30"/>
      <c r="K67" s="30"/>
      <c r="L67" s="30"/>
      <c r="M67" s="30"/>
      <c r="N67" s="30"/>
      <c r="O67" s="30"/>
      <c r="P67" s="30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42"/>
      <c r="AX67" s="42"/>
      <c r="AY67" s="42"/>
      <c r="AZ67" s="42"/>
    </row>
    <row r="68" ht="15.75" customHeight="1">
      <c r="G68" s="33"/>
      <c r="H68" s="33"/>
      <c r="I68" s="30"/>
      <c r="J68" s="30"/>
      <c r="K68" s="30"/>
      <c r="L68" s="30"/>
      <c r="M68" s="30"/>
      <c r="N68" s="30"/>
      <c r="O68" s="30"/>
      <c r="P68" s="30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42"/>
      <c r="AX68" s="42"/>
      <c r="AY68" s="42"/>
      <c r="AZ68" s="42"/>
    </row>
    <row r="69" ht="15.75" customHeight="1">
      <c r="G69" s="33"/>
      <c r="H69" s="33"/>
      <c r="I69" s="30"/>
      <c r="J69" s="30"/>
      <c r="K69" s="30"/>
      <c r="L69" s="30"/>
      <c r="M69" s="30"/>
      <c r="N69" s="30"/>
      <c r="O69" s="30"/>
      <c r="P69" s="30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42"/>
      <c r="AX69" s="42"/>
      <c r="AY69" s="42"/>
      <c r="AZ69" s="42"/>
    </row>
    <row r="70" ht="15.75" customHeight="1">
      <c r="G70" s="33"/>
      <c r="H70" s="33"/>
      <c r="I70" s="30"/>
      <c r="J70" s="30"/>
      <c r="K70" s="30"/>
      <c r="L70" s="30"/>
      <c r="M70" s="30"/>
      <c r="N70" s="30"/>
      <c r="O70" s="30"/>
      <c r="P70" s="30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42"/>
      <c r="AX70" s="42"/>
      <c r="AY70" s="42"/>
      <c r="AZ70" s="42"/>
    </row>
    <row r="71" ht="15.75" customHeight="1">
      <c r="G71" s="33"/>
      <c r="H71" s="33"/>
      <c r="I71" s="30"/>
      <c r="J71" s="30"/>
      <c r="K71" s="30"/>
      <c r="L71" s="30"/>
      <c r="M71" s="30"/>
      <c r="N71" s="30"/>
      <c r="O71" s="30"/>
      <c r="P71" s="30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42"/>
      <c r="AX71" s="42"/>
      <c r="AY71" s="42"/>
      <c r="AZ71" s="42"/>
    </row>
    <row r="72" ht="15.75" customHeight="1">
      <c r="G72" s="33"/>
      <c r="H72" s="33"/>
      <c r="I72" s="30"/>
      <c r="J72" s="30"/>
      <c r="K72" s="30"/>
      <c r="L72" s="30"/>
      <c r="M72" s="30"/>
      <c r="N72" s="30"/>
      <c r="O72" s="30"/>
      <c r="P72" s="30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42"/>
      <c r="AX72" s="42"/>
      <c r="AY72" s="42"/>
      <c r="AZ72" s="42"/>
    </row>
    <row r="73" ht="15.75" customHeight="1">
      <c r="G73" s="33"/>
      <c r="H73" s="33"/>
      <c r="I73" s="30"/>
      <c r="J73" s="30"/>
      <c r="K73" s="30"/>
      <c r="L73" s="30"/>
      <c r="M73" s="30"/>
      <c r="N73" s="30"/>
      <c r="O73" s="30"/>
      <c r="P73" s="30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42"/>
      <c r="AX73" s="42"/>
      <c r="AY73" s="42"/>
      <c r="AZ73" s="42"/>
    </row>
    <row r="74" ht="15.75" customHeight="1">
      <c r="G74" s="33"/>
      <c r="H74" s="33"/>
      <c r="I74" s="30"/>
      <c r="J74" s="30"/>
      <c r="K74" s="30"/>
      <c r="L74" s="30"/>
      <c r="M74" s="30"/>
      <c r="N74" s="30"/>
      <c r="O74" s="30"/>
      <c r="P74" s="30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42"/>
      <c r="AX74" s="42"/>
      <c r="AY74" s="42"/>
      <c r="AZ74" s="42"/>
    </row>
    <row r="75" ht="15.75" customHeight="1">
      <c r="G75" s="33"/>
      <c r="H75" s="33"/>
      <c r="I75" s="30"/>
      <c r="J75" s="30"/>
      <c r="K75" s="30"/>
      <c r="L75" s="30"/>
      <c r="M75" s="30"/>
      <c r="N75" s="30"/>
      <c r="O75" s="30"/>
      <c r="P75" s="30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42"/>
      <c r="AX75" s="42"/>
      <c r="AY75" s="42"/>
      <c r="AZ75" s="42"/>
    </row>
    <row r="76" ht="15.75" customHeight="1">
      <c r="G76" s="33"/>
      <c r="H76" s="33"/>
      <c r="I76" s="30"/>
      <c r="J76" s="30"/>
      <c r="K76" s="30"/>
      <c r="L76" s="30"/>
      <c r="M76" s="30"/>
      <c r="N76" s="30"/>
      <c r="O76" s="30"/>
      <c r="P76" s="30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42"/>
      <c r="AX76" s="42"/>
      <c r="AY76" s="42"/>
      <c r="AZ76" s="42"/>
    </row>
    <row r="77" ht="15.75" customHeight="1">
      <c r="G77" s="33"/>
      <c r="H77" s="33"/>
      <c r="I77" s="30"/>
      <c r="J77" s="30"/>
      <c r="K77" s="30"/>
      <c r="L77" s="30"/>
      <c r="M77" s="30"/>
      <c r="N77" s="30"/>
      <c r="O77" s="30"/>
      <c r="P77" s="30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42"/>
      <c r="AX77" s="42"/>
      <c r="AY77" s="42"/>
      <c r="AZ77" s="42"/>
    </row>
    <row r="78" ht="15.75" customHeight="1">
      <c r="G78" s="33"/>
      <c r="H78" s="33"/>
      <c r="I78" s="30"/>
      <c r="J78" s="30"/>
      <c r="K78" s="30"/>
      <c r="L78" s="30"/>
      <c r="M78" s="30"/>
      <c r="N78" s="30"/>
      <c r="O78" s="30"/>
      <c r="P78" s="30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42"/>
      <c r="AX78" s="42"/>
      <c r="AY78" s="42"/>
      <c r="AZ78" s="42"/>
    </row>
    <row r="79" ht="15.75" customHeight="1">
      <c r="G79" s="33"/>
      <c r="H79" s="33"/>
      <c r="I79" s="30"/>
      <c r="J79" s="30"/>
      <c r="K79" s="30"/>
      <c r="L79" s="30"/>
      <c r="M79" s="30"/>
      <c r="N79" s="30"/>
      <c r="O79" s="30"/>
      <c r="P79" s="30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42"/>
      <c r="AX79" s="42"/>
      <c r="AY79" s="42"/>
      <c r="AZ79" s="42"/>
    </row>
    <row r="80" ht="15.75" customHeight="1">
      <c r="G80" s="33"/>
      <c r="H80" s="33"/>
      <c r="I80" s="30"/>
      <c r="J80" s="30"/>
      <c r="K80" s="30"/>
      <c r="L80" s="30"/>
      <c r="M80" s="30"/>
      <c r="N80" s="30"/>
      <c r="O80" s="30"/>
      <c r="P80" s="30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42"/>
      <c r="AX80" s="42"/>
      <c r="AY80" s="42"/>
      <c r="AZ80" s="42"/>
    </row>
    <row r="81" ht="15.75" customHeight="1">
      <c r="G81" s="33"/>
      <c r="H81" s="33"/>
      <c r="I81" s="30"/>
      <c r="J81" s="30"/>
      <c r="K81" s="30"/>
      <c r="L81" s="30"/>
      <c r="M81" s="30"/>
      <c r="N81" s="30"/>
      <c r="O81" s="30"/>
      <c r="P81" s="30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42"/>
      <c r="AX81" s="42"/>
      <c r="AY81" s="42"/>
      <c r="AZ81" s="42"/>
    </row>
    <row r="82" ht="15.75" customHeight="1">
      <c r="G82" s="33"/>
      <c r="H82" s="33"/>
      <c r="I82" s="30"/>
      <c r="J82" s="30"/>
      <c r="K82" s="30"/>
      <c r="L82" s="30"/>
      <c r="M82" s="30"/>
      <c r="N82" s="30"/>
      <c r="O82" s="30"/>
      <c r="P82" s="30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42"/>
      <c r="AX82" s="42"/>
      <c r="AY82" s="42"/>
      <c r="AZ82" s="42"/>
    </row>
    <row r="83" ht="15.75" customHeight="1">
      <c r="G83" s="33"/>
      <c r="H83" s="33"/>
      <c r="I83" s="30"/>
      <c r="J83" s="30"/>
      <c r="K83" s="30"/>
      <c r="L83" s="30"/>
      <c r="M83" s="30"/>
      <c r="N83" s="30"/>
      <c r="O83" s="30"/>
      <c r="P83" s="30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42"/>
      <c r="AX83" s="42"/>
      <c r="AY83" s="42"/>
      <c r="AZ83" s="42"/>
    </row>
    <row r="84" ht="15.75" customHeight="1">
      <c r="G84" s="33"/>
      <c r="H84" s="33"/>
      <c r="I84" s="30"/>
      <c r="J84" s="30"/>
      <c r="K84" s="30"/>
      <c r="L84" s="30"/>
      <c r="M84" s="30"/>
      <c r="N84" s="30"/>
      <c r="O84" s="30"/>
      <c r="P84" s="30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42"/>
      <c r="AX84" s="42"/>
      <c r="AY84" s="42"/>
      <c r="AZ84" s="42"/>
    </row>
    <row r="85" ht="15.75" customHeight="1">
      <c r="G85" s="33"/>
      <c r="H85" s="33"/>
      <c r="I85" s="30"/>
      <c r="J85" s="30"/>
      <c r="K85" s="30"/>
      <c r="L85" s="30"/>
      <c r="M85" s="30"/>
      <c r="N85" s="30"/>
      <c r="O85" s="30"/>
      <c r="P85" s="30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42"/>
      <c r="AX85" s="42"/>
      <c r="AY85" s="42"/>
      <c r="AZ85" s="42"/>
    </row>
    <row r="86" ht="15.75" customHeight="1">
      <c r="G86" s="33"/>
      <c r="H86" s="33"/>
      <c r="I86" s="30"/>
      <c r="J86" s="30"/>
      <c r="K86" s="30"/>
      <c r="L86" s="30"/>
      <c r="M86" s="30"/>
      <c r="N86" s="30"/>
      <c r="O86" s="30"/>
      <c r="P86" s="30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42"/>
      <c r="AX86" s="42"/>
      <c r="AY86" s="42"/>
      <c r="AZ86" s="42"/>
    </row>
    <row r="87" ht="15.75" customHeight="1">
      <c r="G87" s="33"/>
      <c r="H87" s="33"/>
      <c r="I87" s="30"/>
      <c r="J87" s="30"/>
      <c r="K87" s="30"/>
      <c r="L87" s="30"/>
      <c r="M87" s="30"/>
      <c r="N87" s="30"/>
      <c r="O87" s="30"/>
      <c r="P87" s="30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42"/>
      <c r="AX87" s="42"/>
      <c r="AY87" s="42"/>
      <c r="AZ87" s="42"/>
    </row>
    <row r="88" ht="15.75" customHeight="1">
      <c r="G88" s="33"/>
      <c r="H88" s="33"/>
      <c r="I88" s="30"/>
      <c r="J88" s="30"/>
      <c r="K88" s="30"/>
      <c r="L88" s="30"/>
      <c r="M88" s="30"/>
      <c r="N88" s="30"/>
      <c r="O88" s="30"/>
      <c r="P88" s="30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42"/>
      <c r="AX88" s="42"/>
      <c r="AY88" s="42"/>
      <c r="AZ88" s="42"/>
    </row>
    <row r="89" ht="15.75" customHeight="1">
      <c r="G89" s="33"/>
      <c r="H89" s="33"/>
      <c r="I89" s="30"/>
      <c r="J89" s="30"/>
      <c r="K89" s="30"/>
      <c r="L89" s="30"/>
      <c r="M89" s="30"/>
      <c r="N89" s="30"/>
      <c r="O89" s="30"/>
      <c r="P89" s="30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42"/>
      <c r="AX89" s="42"/>
      <c r="AY89" s="42"/>
      <c r="AZ89" s="42"/>
    </row>
    <row r="90" ht="15.75" customHeight="1">
      <c r="G90" s="33"/>
      <c r="H90" s="33"/>
      <c r="I90" s="30"/>
      <c r="J90" s="30"/>
      <c r="K90" s="30"/>
      <c r="L90" s="30"/>
      <c r="M90" s="30"/>
      <c r="N90" s="30"/>
      <c r="O90" s="30"/>
      <c r="P90" s="30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42"/>
      <c r="AX90" s="42"/>
      <c r="AY90" s="42"/>
      <c r="AZ90" s="42"/>
    </row>
    <row r="91" ht="15.75" customHeight="1">
      <c r="G91" s="33"/>
      <c r="H91" s="33"/>
      <c r="I91" s="30"/>
      <c r="J91" s="30"/>
      <c r="K91" s="30"/>
      <c r="L91" s="30"/>
      <c r="M91" s="30"/>
      <c r="N91" s="30"/>
      <c r="O91" s="30"/>
      <c r="P91" s="30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42"/>
      <c r="AX91" s="42"/>
      <c r="AY91" s="42"/>
      <c r="AZ91" s="42"/>
    </row>
    <row r="92" ht="15.75" customHeight="1">
      <c r="G92" s="33"/>
      <c r="H92" s="33"/>
      <c r="I92" s="30"/>
      <c r="J92" s="30"/>
      <c r="K92" s="30"/>
      <c r="L92" s="30"/>
      <c r="M92" s="30"/>
      <c r="N92" s="30"/>
      <c r="O92" s="30"/>
      <c r="P92" s="30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42"/>
      <c r="AX92" s="42"/>
      <c r="AY92" s="42"/>
      <c r="AZ92" s="42"/>
    </row>
    <row r="93" ht="15.75" customHeight="1">
      <c r="G93" s="33"/>
      <c r="H93" s="33"/>
      <c r="I93" s="30"/>
      <c r="J93" s="30"/>
      <c r="K93" s="30"/>
      <c r="L93" s="30"/>
      <c r="M93" s="30"/>
      <c r="N93" s="30"/>
      <c r="O93" s="30"/>
      <c r="P93" s="30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42"/>
      <c r="AX93" s="42"/>
      <c r="AY93" s="42"/>
      <c r="AZ93" s="42"/>
    </row>
    <row r="94" ht="15.75" customHeight="1">
      <c r="G94" s="33"/>
      <c r="H94" s="33"/>
      <c r="I94" s="30"/>
      <c r="J94" s="30"/>
      <c r="K94" s="30"/>
      <c r="L94" s="30"/>
      <c r="M94" s="30"/>
      <c r="N94" s="30"/>
      <c r="O94" s="30"/>
      <c r="P94" s="30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42"/>
      <c r="AX94" s="42"/>
      <c r="AY94" s="42"/>
      <c r="AZ94" s="42"/>
    </row>
    <row r="95" ht="15.75" customHeight="1">
      <c r="G95" s="33"/>
      <c r="H95" s="33"/>
      <c r="I95" s="30"/>
      <c r="J95" s="30"/>
      <c r="K95" s="30"/>
      <c r="L95" s="30"/>
      <c r="M95" s="30"/>
      <c r="N95" s="30"/>
      <c r="O95" s="30"/>
      <c r="P95" s="30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42"/>
      <c r="AX95" s="42"/>
      <c r="AY95" s="42"/>
      <c r="AZ95" s="42"/>
    </row>
    <row r="96" ht="15.75" customHeight="1">
      <c r="G96" s="33"/>
      <c r="H96" s="33"/>
      <c r="I96" s="30"/>
      <c r="J96" s="30"/>
      <c r="K96" s="30"/>
      <c r="L96" s="30"/>
      <c r="M96" s="30"/>
      <c r="N96" s="30"/>
      <c r="O96" s="30"/>
      <c r="P96" s="30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42"/>
      <c r="AX96" s="42"/>
      <c r="AY96" s="42"/>
      <c r="AZ96" s="42"/>
    </row>
    <row r="97" ht="15.75" customHeight="1">
      <c r="G97" s="33"/>
      <c r="H97" s="33"/>
      <c r="I97" s="30"/>
      <c r="J97" s="30"/>
      <c r="K97" s="30"/>
      <c r="L97" s="30"/>
      <c r="M97" s="30"/>
      <c r="N97" s="30"/>
      <c r="O97" s="30"/>
      <c r="P97" s="30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42"/>
      <c r="AX97" s="42"/>
      <c r="AY97" s="42"/>
      <c r="AZ97" s="42"/>
    </row>
    <row r="98" ht="15.75" customHeight="1">
      <c r="G98" s="33"/>
      <c r="H98" s="33"/>
      <c r="I98" s="30"/>
      <c r="J98" s="30"/>
      <c r="K98" s="30"/>
      <c r="L98" s="30"/>
      <c r="M98" s="30"/>
      <c r="N98" s="30"/>
      <c r="O98" s="30"/>
      <c r="P98" s="30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42"/>
      <c r="AX98" s="42"/>
      <c r="AY98" s="42"/>
      <c r="AZ98" s="42"/>
    </row>
    <row r="99" ht="15.75" customHeight="1">
      <c r="G99" s="33"/>
      <c r="H99" s="33"/>
      <c r="I99" s="30"/>
      <c r="J99" s="30"/>
      <c r="K99" s="30"/>
      <c r="L99" s="30"/>
      <c r="M99" s="30"/>
      <c r="N99" s="30"/>
      <c r="O99" s="30"/>
      <c r="P99" s="30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42"/>
      <c r="AX99" s="42"/>
      <c r="AY99" s="42"/>
      <c r="AZ99" s="42"/>
    </row>
    <row r="100" ht="15.75" customHeight="1">
      <c r="G100" s="33"/>
      <c r="H100" s="33"/>
      <c r="I100" s="30"/>
      <c r="J100" s="30"/>
      <c r="K100" s="30"/>
      <c r="L100" s="30"/>
      <c r="M100" s="30"/>
      <c r="N100" s="30"/>
      <c r="O100" s="30"/>
      <c r="P100" s="30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42"/>
      <c r="AX100" s="42"/>
      <c r="AY100" s="42"/>
      <c r="AZ100" s="42"/>
    </row>
    <row r="101" ht="15.75" customHeight="1">
      <c r="G101" s="33"/>
      <c r="H101" s="33"/>
      <c r="I101" s="30"/>
      <c r="J101" s="30"/>
      <c r="K101" s="30"/>
      <c r="L101" s="30"/>
      <c r="M101" s="30"/>
      <c r="N101" s="30"/>
      <c r="O101" s="30"/>
      <c r="P101" s="30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42"/>
      <c r="AX101" s="42"/>
      <c r="AY101" s="42"/>
      <c r="AZ101" s="42"/>
    </row>
    <row r="102" ht="15.75" customHeight="1">
      <c r="G102" s="33"/>
      <c r="H102" s="33"/>
      <c r="I102" s="30"/>
      <c r="J102" s="30"/>
      <c r="K102" s="30"/>
      <c r="L102" s="30"/>
      <c r="M102" s="30"/>
      <c r="N102" s="30"/>
      <c r="O102" s="30"/>
      <c r="P102" s="30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42"/>
      <c r="AX102" s="42"/>
      <c r="AY102" s="42"/>
      <c r="AZ102" s="42"/>
    </row>
    <row r="103" ht="15.75" customHeight="1">
      <c r="G103" s="33"/>
      <c r="H103" s="33"/>
      <c r="I103" s="30"/>
      <c r="J103" s="30"/>
      <c r="K103" s="30"/>
      <c r="L103" s="30"/>
      <c r="M103" s="30"/>
      <c r="N103" s="30"/>
      <c r="O103" s="30"/>
      <c r="P103" s="30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42"/>
      <c r="AX103" s="42"/>
      <c r="AY103" s="42"/>
      <c r="AZ103" s="42"/>
    </row>
    <row r="104" ht="15.75" customHeight="1">
      <c r="G104" s="33"/>
      <c r="H104" s="33"/>
      <c r="I104" s="30"/>
      <c r="J104" s="30"/>
      <c r="K104" s="30"/>
      <c r="L104" s="30"/>
      <c r="M104" s="30"/>
      <c r="N104" s="30"/>
      <c r="O104" s="30"/>
      <c r="P104" s="30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42"/>
      <c r="AX104" s="42"/>
      <c r="AY104" s="42"/>
      <c r="AZ104" s="42"/>
    </row>
    <row r="105" ht="15.75" customHeight="1">
      <c r="G105" s="33"/>
      <c r="H105" s="33"/>
      <c r="I105" s="30"/>
      <c r="J105" s="30"/>
      <c r="K105" s="30"/>
      <c r="L105" s="30"/>
      <c r="M105" s="30"/>
      <c r="N105" s="30"/>
      <c r="O105" s="30"/>
      <c r="P105" s="30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42"/>
      <c r="AX105" s="42"/>
      <c r="AY105" s="42"/>
      <c r="AZ105" s="42"/>
    </row>
    <row r="106" ht="15.75" customHeight="1">
      <c r="G106" s="33"/>
      <c r="H106" s="33"/>
      <c r="I106" s="30"/>
      <c r="J106" s="30"/>
      <c r="K106" s="30"/>
      <c r="L106" s="30"/>
      <c r="M106" s="30"/>
      <c r="N106" s="30"/>
      <c r="O106" s="30"/>
      <c r="P106" s="30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42"/>
      <c r="AX106" s="42"/>
      <c r="AY106" s="42"/>
      <c r="AZ106" s="42"/>
    </row>
    <row r="107" ht="15.75" customHeight="1">
      <c r="G107" s="33"/>
      <c r="H107" s="33"/>
      <c r="I107" s="30"/>
      <c r="J107" s="30"/>
      <c r="K107" s="30"/>
      <c r="L107" s="30"/>
      <c r="M107" s="30"/>
      <c r="N107" s="30"/>
      <c r="O107" s="30"/>
      <c r="P107" s="30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42"/>
      <c r="AX107" s="42"/>
      <c r="AY107" s="42"/>
      <c r="AZ107" s="42"/>
    </row>
    <row r="108" ht="15.75" customHeight="1">
      <c r="G108" s="33"/>
      <c r="H108" s="33"/>
      <c r="I108" s="30"/>
      <c r="J108" s="30"/>
      <c r="K108" s="30"/>
      <c r="L108" s="30"/>
      <c r="M108" s="30"/>
      <c r="N108" s="30"/>
      <c r="O108" s="30"/>
      <c r="P108" s="30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42"/>
      <c r="AX108" s="42"/>
      <c r="AY108" s="42"/>
      <c r="AZ108" s="42"/>
    </row>
    <row r="109" ht="15.75" customHeight="1">
      <c r="G109" s="33"/>
      <c r="H109" s="33"/>
      <c r="I109" s="30"/>
      <c r="J109" s="30"/>
      <c r="K109" s="30"/>
      <c r="L109" s="30"/>
      <c r="M109" s="30"/>
      <c r="N109" s="30"/>
      <c r="O109" s="30"/>
      <c r="P109" s="30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42"/>
      <c r="AX109" s="42"/>
      <c r="AY109" s="42"/>
      <c r="AZ109" s="42"/>
    </row>
    <row r="110" ht="15.75" customHeight="1">
      <c r="G110" s="33"/>
      <c r="H110" s="33"/>
      <c r="I110" s="30"/>
      <c r="J110" s="30"/>
      <c r="K110" s="30"/>
      <c r="L110" s="30"/>
      <c r="M110" s="30"/>
      <c r="N110" s="30"/>
      <c r="O110" s="30"/>
      <c r="P110" s="30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42"/>
      <c r="AX110" s="42"/>
      <c r="AY110" s="42"/>
      <c r="AZ110" s="42"/>
    </row>
    <row r="111" ht="15.75" customHeight="1">
      <c r="G111" s="33"/>
      <c r="H111" s="33"/>
      <c r="I111" s="30"/>
      <c r="J111" s="30"/>
      <c r="K111" s="30"/>
      <c r="L111" s="30"/>
      <c r="M111" s="30"/>
      <c r="N111" s="30"/>
      <c r="O111" s="30"/>
      <c r="P111" s="30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42"/>
      <c r="AX111" s="42"/>
      <c r="AY111" s="42"/>
      <c r="AZ111" s="42"/>
    </row>
    <row r="112" ht="15.75" customHeight="1">
      <c r="G112" s="33"/>
      <c r="H112" s="33"/>
      <c r="I112" s="30"/>
      <c r="J112" s="30"/>
      <c r="K112" s="30"/>
      <c r="L112" s="30"/>
      <c r="M112" s="30"/>
      <c r="N112" s="30"/>
      <c r="O112" s="30"/>
      <c r="P112" s="30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42"/>
      <c r="AX112" s="42"/>
      <c r="AY112" s="42"/>
      <c r="AZ112" s="42"/>
    </row>
    <row r="113" ht="15.75" customHeight="1">
      <c r="G113" s="33"/>
      <c r="H113" s="33"/>
      <c r="I113" s="30"/>
      <c r="J113" s="30"/>
      <c r="K113" s="30"/>
      <c r="L113" s="30"/>
      <c r="M113" s="30"/>
      <c r="N113" s="30"/>
      <c r="O113" s="30"/>
      <c r="P113" s="30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42"/>
      <c r="AX113" s="42"/>
      <c r="AY113" s="42"/>
      <c r="AZ113" s="42"/>
    </row>
    <row r="114" ht="15.75" customHeight="1">
      <c r="G114" s="33"/>
      <c r="H114" s="33"/>
      <c r="I114" s="30"/>
      <c r="J114" s="30"/>
      <c r="K114" s="30"/>
      <c r="L114" s="30"/>
      <c r="M114" s="30"/>
      <c r="N114" s="30"/>
      <c r="O114" s="30"/>
      <c r="P114" s="30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42"/>
      <c r="AX114" s="42"/>
      <c r="AY114" s="42"/>
      <c r="AZ114" s="42"/>
    </row>
    <row r="115" ht="15.75" customHeight="1">
      <c r="G115" s="33"/>
      <c r="H115" s="33"/>
      <c r="I115" s="30"/>
      <c r="J115" s="30"/>
      <c r="K115" s="30"/>
      <c r="L115" s="30"/>
      <c r="M115" s="30"/>
      <c r="N115" s="30"/>
      <c r="O115" s="30"/>
      <c r="P115" s="30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42"/>
      <c r="AX115" s="42"/>
      <c r="AY115" s="42"/>
      <c r="AZ115" s="42"/>
    </row>
    <row r="116" ht="15.75" customHeight="1">
      <c r="G116" s="33"/>
      <c r="H116" s="33"/>
      <c r="I116" s="30"/>
      <c r="J116" s="30"/>
      <c r="K116" s="30"/>
      <c r="L116" s="30"/>
      <c r="M116" s="30"/>
      <c r="N116" s="30"/>
      <c r="O116" s="30"/>
      <c r="P116" s="30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42"/>
      <c r="AX116" s="42"/>
      <c r="AY116" s="42"/>
      <c r="AZ116" s="42"/>
    </row>
    <row r="117" ht="15.75" customHeight="1">
      <c r="G117" s="33"/>
      <c r="H117" s="33"/>
      <c r="I117" s="30"/>
      <c r="J117" s="30"/>
      <c r="K117" s="30"/>
      <c r="L117" s="30"/>
      <c r="M117" s="30"/>
      <c r="N117" s="30"/>
      <c r="O117" s="30"/>
      <c r="P117" s="30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42"/>
      <c r="AX117" s="42"/>
      <c r="AY117" s="42"/>
      <c r="AZ117" s="42"/>
    </row>
    <row r="118" ht="15.75" customHeight="1">
      <c r="G118" s="33"/>
      <c r="H118" s="33"/>
      <c r="I118" s="30"/>
      <c r="J118" s="30"/>
      <c r="K118" s="30"/>
      <c r="L118" s="30"/>
      <c r="M118" s="30"/>
      <c r="N118" s="30"/>
      <c r="O118" s="30"/>
      <c r="P118" s="30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42"/>
      <c r="AX118" s="42"/>
      <c r="AY118" s="42"/>
      <c r="AZ118" s="42"/>
    </row>
    <row r="119" ht="15.75" customHeight="1">
      <c r="G119" s="33"/>
      <c r="H119" s="33"/>
      <c r="I119" s="30"/>
      <c r="J119" s="30"/>
      <c r="K119" s="30"/>
      <c r="L119" s="30"/>
      <c r="M119" s="30"/>
      <c r="N119" s="30"/>
      <c r="O119" s="30"/>
      <c r="P119" s="30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42"/>
      <c r="AX119" s="42"/>
      <c r="AY119" s="42"/>
      <c r="AZ119" s="42"/>
    </row>
    <row r="120" ht="15.75" customHeight="1">
      <c r="G120" s="33"/>
      <c r="H120" s="33"/>
      <c r="I120" s="30"/>
      <c r="J120" s="30"/>
      <c r="K120" s="30"/>
      <c r="L120" s="30"/>
      <c r="M120" s="30"/>
      <c r="N120" s="30"/>
      <c r="O120" s="30"/>
      <c r="P120" s="30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42"/>
      <c r="AX120" s="42"/>
      <c r="AY120" s="42"/>
      <c r="AZ120" s="42"/>
    </row>
    <row r="121" ht="15.75" customHeight="1">
      <c r="G121" s="33"/>
      <c r="H121" s="33"/>
      <c r="I121" s="30"/>
      <c r="J121" s="30"/>
      <c r="K121" s="30"/>
      <c r="L121" s="30"/>
      <c r="M121" s="30"/>
      <c r="N121" s="30"/>
      <c r="O121" s="30"/>
      <c r="P121" s="30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42"/>
      <c r="AX121" s="42"/>
      <c r="AY121" s="42"/>
      <c r="AZ121" s="42"/>
    </row>
    <row r="122" ht="15.75" customHeight="1">
      <c r="G122" s="33"/>
      <c r="H122" s="33"/>
      <c r="I122" s="30"/>
      <c r="J122" s="30"/>
      <c r="K122" s="30"/>
      <c r="L122" s="30"/>
      <c r="M122" s="30"/>
      <c r="N122" s="30"/>
      <c r="O122" s="30"/>
      <c r="P122" s="30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42"/>
      <c r="AX122" s="42"/>
      <c r="AY122" s="42"/>
      <c r="AZ122" s="42"/>
    </row>
    <row r="123" ht="15.75" customHeight="1">
      <c r="G123" s="33"/>
      <c r="H123" s="33"/>
      <c r="I123" s="30"/>
      <c r="J123" s="30"/>
      <c r="K123" s="30"/>
      <c r="L123" s="30"/>
      <c r="M123" s="30"/>
      <c r="N123" s="30"/>
      <c r="O123" s="30"/>
      <c r="P123" s="30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42"/>
      <c r="AX123" s="42"/>
      <c r="AY123" s="42"/>
      <c r="AZ123" s="42"/>
    </row>
    <row r="124" ht="15.75" customHeight="1">
      <c r="G124" s="33"/>
      <c r="H124" s="33"/>
      <c r="I124" s="30"/>
      <c r="J124" s="30"/>
      <c r="K124" s="30"/>
      <c r="L124" s="30"/>
      <c r="M124" s="30"/>
      <c r="N124" s="30"/>
      <c r="O124" s="30"/>
      <c r="P124" s="30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42"/>
      <c r="AX124" s="42"/>
      <c r="AY124" s="42"/>
      <c r="AZ124" s="42"/>
    </row>
    <row r="125" ht="15.75" customHeight="1">
      <c r="G125" s="33"/>
      <c r="H125" s="33"/>
      <c r="I125" s="30"/>
      <c r="J125" s="30"/>
      <c r="K125" s="30"/>
      <c r="L125" s="30"/>
      <c r="M125" s="30"/>
      <c r="N125" s="30"/>
      <c r="O125" s="30"/>
      <c r="P125" s="30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42"/>
      <c r="AX125" s="42"/>
      <c r="AY125" s="42"/>
      <c r="AZ125" s="42"/>
    </row>
    <row r="126" ht="15.75" customHeight="1">
      <c r="G126" s="33"/>
      <c r="H126" s="33"/>
      <c r="I126" s="30"/>
      <c r="J126" s="30"/>
      <c r="K126" s="30"/>
      <c r="L126" s="30"/>
      <c r="M126" s="30"/>
      <c r="N126" s="30"/>
      <c r="O126" s="30"/>
      <c r="P126" s="30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42"/>
      <c r="AX126" s="42"/>
      <c r="AY126" s="42"/>
      <c r="AZ126" s="42"/>
    </row>
    <row r="127" ht="15.75" customHeight="1">
      <c r="G127" s="33"/>
      <c r="H127" s="33"/>
      <c r="I127" s="30"/>
      <c r="J127" s="30"/>
      <c r="K127" s="30"/>
      <c r="L127" s="30"/>
      <c r="M127" s="30"/>
      <c r="N127" s="30"/>
      <c r="O127" s="30"/>
      <c r="P127" s="30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42"/>
      <c r="AX127" s="42"/>
      <c r="AY127" s="42"/>
      <c r="AZ127" s="42"/>
    </row>
    <row r="128" ht="15.75" customHeight="1">
      <c r="G128" s="33"/>
      <c r="H128" s="33"/>
      <c r="I128" s="30"/>
      <c r="J128" s="30"/>
      <c r="K128" s="30"/>
      <c r="L128" s="30"/>
      <c r="M128" s="30"/>
      <c r="N128" s="30"/>
      <c r="O128" s="30"/>
      <c r="P128" s="30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42"/>
      <c r="AX128" s="42"/>
      <c r="AY128" s="42"/>
      <c r="AZ128" s="42"/>
    </row>
    <row r="129" ht="15.75" customHeight="1">
      <c r="G129" s="33"/>
      <c r="H129" s="33"/>
      <c r="I129" s="30"/>
      <c r="J129" s="30"/>
      <c r="K129" s="30"/>
      <c r="L129" s="30"/>
      <c r="M129" s="30"/>
      <c r="N129" s="30"/>
      <c r="O129" s="30"/>
      <c r="P129" s="30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42"/>
      <c r="AX129" s="42"/>
      <c r="AY129" s="42"/>
      <c r="AZ129" s="42"/>
    </row>
    <row r="130" ht="15.75" customHeight="1">
      <c r="G130" s="33"/>
      <c r="H130" s="33"/>
      <c r="I130" s="30"/>
      <c r="J130" s="30"/>
      <c r="K130" s="30"/>
      <c r="L130" s="30"/>
      <c r="M130" s="30"/>
      <c r="N130" s="30"/>
      <c r="O130" s="30"/>
      <c r="P130" s="30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42"/>
      <c r="AX130" s="42"/>
      <c r="AY130" s="42"/>
      <c r="AZ130" s="42"/>
    </row>
    <row r="131" ht="15.75" customHeight="1">
      <c r="G131" s="33"/>
      <c r="H131" s="33"/>
      <c r="I131" s="30"/>
      <c r="J131" s="30"/>
      <c r="K131" s="30"/>
      <c r="L131" s="30"/>
      <c r="M131" s="30"/>
      <c r="N131" s="30"/>
      <c r="O131" s="30"/>
      <c r="P131" s="30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42"/>
      <c r="AX131" s="42"/>
      <c r="AY131" s="42"/>
      <c r="AZ131" s="42"/>
    </row>
    <row r="132" ht="15.75" customHeight="1">
      <c r="G132" s="33"/>
      <c r="H132" s="33"/>
      <c r="I132" s="30"/>
      <c r="J132" s="30"/>
      <c r="K132" s="30"/>
      <c r="L132" s="30"/>
      <c r="M132" s="30"/>
      <c r="N132" s="30"/>
      <c r="O132" s="30"/>
      <c r="P132" s="30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42"/>
      <c r="AX132" s="42"/>
      <c r="AY132" s="42"/>
      <c r="AZ132" s="42"/>
    </row>
    <row r="133" ht="15.75" customHeight="1">
      <c r="G133" s="33"/>
      <c r="H133" s="33"/>
      <c r="I133" s="30"/>
      <c r="J133" s="30"/>
      <c r="K133" s="30"/>
      <c r="L133" s="30"/>
      <c r="M133" s="30"/>
      <c r="N133" s="30"/>
      <c r="O133" s="30"/>
      <c r="P133" s="30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42"/>
      <c r="AX133" s="42"/>
      <c r="AY133" s="42"/>
      <c r="AZ133" s="42"/>
    </row>
    <row r="134" ht="15.75" customHeight="1">
      <c r="G134" s="33"/>
      <c r="H134" s="33"/>
      <c r="I134" s="30"/>
      <c r="J134" s="30"/>
      <c r="K134" s="30"/>
      <c r="L134" s="30"/>
      <c r="M134" s="30"/>
      <c r="N134" s="30"/>
      <c r="O134" s="30"/>
      <c r="P134" s="30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42"/>
      <c r="AX134" s="42"/>
      <c r="AY134" s="42"/>
      <c r="AZ134" s="42"/>
    </row>
    <row r="135" ht="15.75" customHeight="1">
      <c r="G135" s="33"/>
      <c r="H135" s="33"/>
      <c r="I135" s="30"/>
      <c r="J135" s="30"/>
      <c r="K135" s="30"/>
      <c r="L135" s="30"/>
      <c r="M135" s="30"/>
      <c r="N135" s="30"/>
      <c r="O135" s="30"/>
      <c r="P135" s="30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42"/>
      <c r="AX135" s="42"/>
      <c r="AY135" s="42"/>
      <c r="AZ135" s="42"/>
    </row>
    <row r="136" ht="15.75" customHeight="1">
      <c r="G136" s="33"/>
      <c r="H136" s="33"/>
      <c r="I136" s="30"/>
      <c r="J136" s="30"/>
      <c r="K136" s="30"/>
      <c r="L136" s="30"/>
      <c r="M136" s="30"/>
      <c r="N136" s="30"/>
      <c r="O136" s="30"/>
      <c r="P136" s="30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42"/>
      <c r="AX136" s="42"/>
      <c r="AY136" s="42"/>
      <c r="AZ136" s="42"/>
    </row>
    <row r="137" ht="15.75" customHeight="1">
      <c r="G137" s="33"/>
      <c r="H137" s="33"/>
      <c r="I137" s="30"/>
      <c r="J137" s="30"/>
      <c r="K137" s="30"/>
      <c r="L137" s="30"/>
      <c r="M137" s="30"/>
      <c r="N137" s="30"/>
      <c r="O137" s="30"/>
      <c r="P137" s="30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42"/>
      <c r="AX137" s="42"/>
      <c r="AY137" s="42"/>
      <c r="AZ137" s="42"/>
    </row>
    <row r="138" ht="15.75" customHeight="1">
      <c r="G138" s="33"/>
      <c r="H138" s="33"/>
      <c r="I138" s="30"/>
      <c r="J138" s="30"/>
      <c r="K138" s="30"/>
      <c r="L138" s="30"/>
      <c r="M138" s="30"/>
      <c r="N138" s="30"/>
      <c r="O138" s="30"/>
      <c r="P138" s="30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42"/>
      <c r="AX138" s="42"/>
      <c r="AY138" s="42"/>
      <c r="AZ138" s="42"/>
    </row>
    <row r="139" ht="15.75" customHeight="1">
      <c r="G139" s="33"/>
      <c r="H139" s="33"/>
      <c r="I139" s="30"/>
      <c r="J139" s="30"/>
      <c r="K139" s="30"/>
      <c r="L139" s="30"/>
      <c r="M139" s="30"/>
      <c r="N139" s="30"/>
      <c r="O139" s="30"/>
      <c r="P139" s="30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42"/>
      <c r="AX139" s="42"/>
      <c r="AY139" s="42"/>
      <c r="AZ139" s="42"/>
    </row>
    <row r="140" ht="15.75" customHeight="1">
      <c r="G140" s="33"/>
      <c r="H140" s="33"/>
      <c r="I140" s="30"/>
      <c r="J140" s="30"/>
      <c r="K140" s="30"/>
      <c r="L140" s="30"/>
      <c r="M140" s="30"/>
      <c r="N140" s="30"/>
      <c r="O140" s="30"/>
      <c r="P140" s="30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42"/>
      <c r="AX140" s="42"/>
      <c r="AY140" s="42"/>
      <c r="AZ140" s="42"/>
    </row>
    <row r="141" ht="15.75" customHeight="1">
      <c r="G141" s="33"/>
      <c r="H141" s="33"/>
      <c r="I141" s="30"/>
      <c r="J141" s="30"/>
      <c r="K141" s="30"/>
      <c r="L141" s="30"/>
      <c r="M141" s="30"/>
      <c r="N141" s="30"/>
      <c r="O141" s="30"/>
      <c r="P141" s="30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42"/>
      <c r="AX141" s="42"/>
      <c r="AY141" s="42"/>
      <c r="AZ141" s="42"/>
    </row>
    <row r="142" ht="15.75" customHeight="1">
      <c r="G142" s="33"/>
      <c r="H142" s="33"/>
      <c r="I142" s="30"/>
      <c r="J142" s="30"/>
      <c r="K142" s="30"/>
      <c r="L142" s="30"/>
      <c r="M142" s="30"/>
      <c r="N142" s="30"/>
      <c r="O142" s="30"/>
      <c r="P142" s="30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42"/>
      <c r="AX142" s="42"/>
      <c r="AY142" s="42"/>
      <c r="AZ142" s="42"/>
    </row>
    <row r="143" ht="15.75" customHeight="1">
      <c r="G143" s="33"/>
      <c r="H143" s="33"/>
      <c r="I143" s="30"/>
      <c r="J143" s="30"/>
      <c r="K143" s="30"/>
      <c r="L143" s="30"/>
      <c r="M143" s="30"/>
      <c r="N143" s="30"/>
      <c r="O143" s="30"/>
      <c r="P143" s="30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42"/>
      <c r="AX143" s="42"/>
      <c r="AY143" s="42"/>
      <c r="AZ143" s="42"/>
    </row>
    <row r="144" ht="15.75" customHeight="1">
      <c r="G144" s="33"/>
      <c r="H144" s="33"/>
      <c r="I144" s="30"/>
      <c r="J144" s="30"/>
      <c r="K144" s="30"/>
      <c r="L144" s="30"/>
      <c r="M144" s="30"/>
      <c r="N144" s="30"/>
      <c r="O144" s="30"/>
      <c r="P144" s="30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42"/>
      <c r="AX144" s="42"/>
      <c r="AY144" s="42"/>
      <c r="AZ144" s="42"/>
    </row>
    <row r="145" ht="15.75" customHeight="1">
      <c r="G145" s="33"/>
      <c r="H145" s="33"/>
      <c r="I145" s="30"/>
      <c r="J145" s="30"/>
      <c r="K145" s="30"/>
      <c r="L145" s="30"/>
      <c r="M145" s="30"/>
      <c r="N145" s="30"/>
      <c r="O145" s="30"/>
      <c r="P145" s="30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42"/>
      <c r="AX145" s="42"/>
      <c r="AY145" s="42"/>
      <c r="AZ145" s="42"/>
    </row>
    <row r="146" ht="15.75" customHeight="1">
      <c r="G146" s="33"/>
      <c r="H146" s="33"/>
      <c r="I146" s="30"/>
      <c r="J146" s="30"/>
      <c r="K146" s="30"/>
      <c r="L146" s="30"/>
      <c r="M146" s="30"/>
      <c r="N146" s="30"/>
      <c r="O146" s="30"/>
      <c r="P146" s="30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42"/>
      <c r="AX146" s="42"/>
      <c r="AY146" s="42"/>
      <c r="AZ146" s="42"/>
    </row>
    <row r="147" ht="15.75" customHeight="1">
      <c r="G147" s="33"/>
      <c r="H147" s="33"/>
      <c r="I147" s="30"/>
      <c r="J147" s="30"/>
      <c r="K147" s="30"/>
      <c r="L147" s="30"/>
      <c r="M147" s="30"/>
      <c r="N147" s="30"/>
      <c r="O147" s="30"/>
      <c r="P147" s="30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42"/>
      <c r="AX147" s="42"/>
      <c r="AY147" s="42"/>
      <c r="AZ147" s="42"/>
    </row>
    <row r="148" ht="15.75" customHeight="1">
      <c r="G148" s="33"/>
      <c r="H148" s="33"/>
      <c r="I148" s="30"/>
      <c r="J148" s="30"/>
      <c r="K148" s="30"/>
      <c r="L148" s="30"/>
      <c r="M148" s="30"/>
      <c r="N148" s="30"/>
      <c r="O148" s="30"/>
      <c r="P148" s="30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42"/>
      <c r="AX148" s="42"/>
      <c r="AY148" s="42"/>
      <c r="AZ148" s="42"/>
    </row>
    <row r="149" ht="15.75" customHeight="1">
      <c r="G149" s="33"/>
      <c r="H149" s="33"/>
      <c r="I149" s="30"/>
      <c r="J149" s="30"/>
      <c r="K149" s="30"/>
      <c r="L149" s="30"/>
      <c r="M149" s="30"/>
      <c r="N149" s="30"/>
      <c r="O149" s="30"/>
      <c r="P149" s="30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42"/>
      <c r="AX149" s="42"/>
      <c r="AY149" s="42"/>
      <c r="AZ149" s="42"/>
    </row>
    <row r="150" ht="15.75" customHeight="1">
      <c r="G150" s="33"/>
      <c r="H150" s="33"/>
      <c r="I150" s="30"/>
      <c r="J150" s="30"/>
      <c r="K150" s="30"/>
      <c r="L150" s="30"/>
      <c r="M150" s="30"/>
      <c r="N150" s="30"/>
      <c r="O150" s="30"/>
      <c r="P150" s="30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42"/>
      <c r="AX150" s="42"/>
      <c r="AY150" s="42"/>
      <c r="AZ150" s="42"/>
    </row>
    <row r="151" ht="15.75" customHeight="1">
      <c r="G151" s="33"/>
      <c r="H151" s="33"/>
      <c r="I151" s="30"/>
      <c r="J151" s="30"/>
      <c r="K151" s="30"/>
      <c r="L151" s="30"/>
      <c r="M151" s="30"/>
      <c r="N151" s="30"/>
      <c r="O151" s="30"/>
      <c r="P151" s="30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42"/>
      <c r="AX151" s="42"/>
      <c r="AY151" s="42"/>
      <c r="AZ151" s="42"/>
    </row>
    <row r="152" ht="15.75" customHeight="1">
      <c r="G152" s="33"/>
      <c r="H152" s="33"/>
      <c r="I152" s="30"/>
      <c r="J152" s="30"/>
      <c r="K152" s="30"/>
      <c r="L152" s="30"/>
      <c r="M152" s="30"/>
      <c r="N152" s="30"/>
      <c r="O152" s="30"/>
      <c r="P152" s="30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42"/>
      <c r="AX152" s="42"/>
      <c r="AY152" s="42"/>
      <c r="AZ152" s="42"/>
    </row>
    <row r="153" ht="15.75" customHeight="1">
      <c r="G153" s="33"/>
      <c r="H153" s="33"/>
      <c r="I153" s="30"/>
      <c r="J153" s="30"/>
      <c r="K153" s="30"/>
      <c r="L153" s="30"/>
      <c r="M153" s="30"/>
      <c r="N153" s="30"/>
      <c r="O153" s="30"/>
      <c r="P153" s="30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42"/>
      <c r="AX153" s="42"/>
      <c r="AY153" s="42"/>
      <c r="AZ153" s="42"/>
    </row>
    <row r="154" ht="15.75" customHeight="1">
      <c r="G154" s="33"/>
      <c r="H154" s="33"/>
      <c r="I154" s="30"/>
      <c r="J154" s="30"/>
      <c r="K154" s="30"/>
      <c r="L154" s="30"/>
      <c r="M154" s="30"/>
      <c r="N154" s="30"/>
      <c r="O154" s="30"/>
      <c r="P154" s="30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42"/>
      <c r="AX154" s="42"/>
      <c r="AY154" s="42"/>
      <c r="AZ154" s="42"/>
    </row>
    <row r="155" ht="15.75" customHeight="1">
      <c r="G155" s="33"/>
      <c r="H155" s="33"/>
      <c r="I155" s="30"/>
      <c r="J155" s="30"/>
      <c r="K155" s="30"/>
      <c r="L155" s="30"/>
      <c r="M155" s="30"/>
      <c r="N155" s="30"/>
      <c r="O155" s="30"/>
      <c r="P155" s="30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42"/>
      <c r="AX155" s="42"/>
      <c r="AY155" s="42"/>
      <c r="AZ155" s="42"/>
    </row>
    <row r="156" ht="15.75" customHeight="1">
      <c r="G156" s="33"/>
      <c r="H156" s="33"/>
      <c r="I156" s="30"/>
      <c r="J156" s="30"/>
      <c r="K156" s="30"/>
      <c r="L156" s="30"/>
      <c r="M156" s="30"/>
      <c r="N156" s="30"/>
      <c r="O156" s="30"/>
      <c r="P156" s="30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42"/>
      <c r="AX156" s="42"/>
      <c r="AY156" s="42"/>
      <c r="AZ156" s="42"/>
    </row>
    <row r="157" ht="15.75" customHeight="1">
      <c r="G157" s="33"/>
      <c r="H157" s="33"/>
      <c r="I157" s="30"/>
      <c r="J157" s="30"/>
      <c r="K157" s="30"/>
      <c r="L157" s="30"/>
      <c r="M157" s="30"/>
      <c r="N157" s="30"/>
      <c r="O157" s="30"/>
      <c r="P157" s="30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42"/>
      <c r="AX157" s="42"/>
      <c r="AY157" s="42"/>
      <c r="AZ157" s="42"/>
    </row>
    <row r="158" ht="15.75" customHeight="1">
      <c r="G158" s="33"/>
      <c r="H158" s="33"/>
      <c r="I158" s="30"/>
      <c r="J158" s="30"/>
      <c r="K158" s="30"/>
      <c r="L158" s="30"/>
      <c r="M158" s="30"/>
      <c r="N158" s="30"/>
      <c r="O158" s="30"/>
      <c r="P158" s="30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42"/>
      <c r="AX158" s="42"/>
      <c r="AY158" s="42"/>
      <c r="AZ158" s="42"/>
    </row>
    <row r="159" ht="15.75" customHeight="1">
      <c r="G159" s="33"/>
      <c r="H159" s="33"/>
      <c r="I159" s="30"/>
      <c r="J159" s="30"/>
      <c r="K159" s="30"/>
      <c r="L159" s="30"/>
      <c r="M159" s="30"/>
      <c r="N159" s="30"/>
      <c r="O159" s="30"/>
      <c r="P159" s="30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42"/>
      <c r="AX159" s="42"/>
      <c r="AY159" s="42"/>
      <c r="AZ159" s="42"/>
    </row>
    <row r="160" ht="15.75" customHeight="1">
      <c r="G160" s="33"/>
      <c r="H160" s="33"/>
      <c r="I160" s="30"/>
      <c r="J160" s="30"/>
      <c r="K160" s="30"/>
      <c r="L160" s="30"/>
      <c r="M160" s="30"/>
      <c r="N160" s="30"/>
      <c r="O160" s="30"/>
      <c r="P160" s="30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42"/>
      <c r="AX160" s="42"/>
      <c r="AY160" s="42"/>
      <c r="AZ160" s="42"/>
    </row>
    <row r="161" ht="15.75" customHeight="1">
      <c r="G161" s="33"/>
      <c r="H161" s="33"/>
      <c r="I161" s="30"/>
      <c r="J161" s="30"/>
      <c r="K161" s="30"/>
      <c r="L161" s="30"/>
      <c r="M161" s="30"/>
      <c r="N161" s="30"/>
      <c r="O161" s="30"/>
      <c r="P161" s="30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42"/>
      <c r="AX161" s="42"/>
      <c r="AY161" s="42"/>
      <c r="AZ161" s="42"/>
    </row>
    <row r="162" ht="15.75" customHeight="1">
      <c r="G162" s="33"/>
      <c r="H162" s="33"/>
      <c r="I162" s="30"/>
      <c r="J162" s="30"/>
      <c r="K162" s="30"/>
      <c r="L162" s="30"/>
      <c r="M162" s="30"/>
      <c r="N162" s="30"/>
      <c r="O162" s="30"/>
      <c r="P162" s="30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42"/>
      <c r="AX162" s="42"/>
      <c r="AY162" s="42"/>
      <c r="AZ162" s="42"/>
    </row>
    <row r="163" ht="15.75" customHeight="1">
      <c r="G163" s="33"/>
      <c r="H163" s="33"/>
      <c r="I163" s="30"/>
      <c r="J163" s="30"/>
      <c r="K163" s="30"/>
      <c r="L163" s="30"/>
      <c r="M163" s="30"/>
      <c r="N163" s="30"/>
      <c r="O163" s="30"/>
      <c r="P163" s="30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F163" s="4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42"/>
      <c r="AX163" s="42"/>
      <c r="AY163" s="42"/>
      <c r="AZ163" s="42"/>
    </row>
    <row r="164" ht="15.75" customHeight="1">
      <c r="AF164" s="43"/>
    </row>
    <row r="165" ht="15.75" customHeight="1">
      <c r="AF165" s="43"/>
    </row>
    <row r="166" ht="15.75" customHeight="1">
      <c r="AF166" s="43"/>
    </row>
    <row r="167" ht="15.75" customHeight="1">
      <c r="AF167" s="43"/>
    </row>
    <row r="168" ht="15.75" customHeight="1">
      <c r="AF168" s="43"/>
    </row>
    <row r="169" ht="15.75" customHeight="1">
      <c r="AF169" s="43"/>
    </row>
    <row r="170" ht="15.75" customHeight="1">
      <c r="AF170" s="43"/>
    </row>
    <row r="171" ht="15.75" customHeight="1">
      <c r="AF171" s="43"/>
    </row>
    <row r="172" ht="15.75" customHeight="1">
      <c r="AF172" s="43"/>
    </row>
    <row r="173" ht="15.75" customHeight="1">
      <c r="AF173" s="43"/>
    </row>
    <row r="174" ht="15.75" customHeight="1">
      <c r="AF174" s="43"/>
    </row>
    <row r="175" ht="15.75" customHeight="1">
      <c r="AF175" s="43"/>
    </row>
    <row r="176" ht="15.75" customHeight="1">
      <c r="AF176" s="43"/>
    </row>
    <row r="177" ht="15.75" customHeight="1">
      <c r="AF177" s="43"/>
    </row>
    <row r="178" ht="15.75" customHeight="1">
      <c r="AF178" s="43"/>
    </row>
    <row r="179" ht="15.75" customHeight="1">
      <c r="AF179" s="43"/>
    </row>
    <row r="180" ht="15.75" customHeight="1">
      <c r="AF180" s="43"/>
    </row>
    <row r="181" ht="15.75" customHeight="1">
      <c r="AF181" s="43"/>
    </row>
    <row r="182" ht="15.75" customHeight="1">
      <c r="AF182" s="43"/>
    </row>
    <row r="183" ht="15.75" customHeight="1">
      <c r="AF183" s="43"/>
    </row>
    <row r="184" ht="15.75" customHeight="1">
      <c r="AF184" s="43"/>
    </row>
    <row r="185" ht="15.75" customHeight="1">
      <c r="AF185" s="43"/>
    </row>
    <row r="186" ht="15.75" customHeight="1">
      <c r="AF186" s="43"/>
    </row>
    <row r="187" ht="15.75" customHeight="1">
      <c r="AF187" s="43"/>
    </row>
    <row r="188" ht="15.75" customHeight="1">
      <c r="AF188" s="43"/>
    </row>
    <row r="189" ht="15.75" customHeight="1">
      <c r="AF189" s="43"/>
    </row>
    <row r="190" ht="15.75" customHeight="1">
      <c r="AF190" s="43"/>
    </row>
    <row r="191" ht="15.75" customHeight="1">
      <c r="AF191" s="43"/>
    </row>
    <row r="192" ht="15.75" customHeight="1">
      <c r="AF192" s="43"/>
    </row>
    <row r="193" ht="15.75" customHeight="1">
      <c r="AF193" s="43"/>
    </row>
    <row r="194" ht="15.75" customHeight="1">
      <c r="AF194" s="43"/>
    </row>
    <row r="195" ht="15.75" customHeight="1">
      <c r="AF195" s="43"/>
    </row>
    <row r="196" ht="15.75" customHeight="1">
      <c r="AF196" s="43"/>
    </row>
    <row r="197" ht="15.75" customHeight="1">
      <c r="AF197" s="43"/>
    </row>
    <row r="198" ht="15.75" customHeight="1">
      <c r="AF198" s="43"/>
    </row>
    <row r="199" ht="15.75" customHeight="1">
      <c r="AF199" s="43"/>
    </row>
    <row r="200" ht="15.75" customHeight="1">
      <c r="AF200" s="43"/>
    </row>
    <row r="201" ht="15.75" customHeight="1">
      <c r="AF201" s="43"/>
    </row>
    <row r="202" ht="15.75" customHeight="1">
      <c r="AF202" s="43"/>
    </row>
    <row r="203" ht="15.75" customHeight="1">
      <c r="AF203" s="43"/>
    </row>
    <row r="204" ht="15.75" customHeight="1">
      <c r="AF204" s="43"/>
    </row>
    <row r="205" ht="15.75" customHeight="1">
      <c r="AF205" s="43"/>
    </row>
    <row r="206" ht="15.75" customHeight="1">
      <c r="AF206" s="43"/>
    </row>
    <row r="207" ht="15.75" customHeight="1">
      <c r="AF207" s="43"/>
    </row>
    <row r="208" ht="15.75" customHeight="1">
      <c r="AF208" s="43"/>
    </row>
    <row r="209" ht="15.75" customHeight="1">
      <c r="AF209" s="43"/>
    </row>
    <row r="210" ht="15.75" customHeight="1">
      <c r="AF210" s="43"/>
    </row>
    <row r="211" ht="15.75" customHeight="1">
      <c r="AF211" s="43"/>
    </row>
    <row r="212" ht="15.75" customHeight="1">
      <c r="AF212" s="43"/>
    </row>
    <row r="213" ht="15.75" customHeight="1">
      <c r="AF213" s="43"/>
    </row>
    <row r="214" ht="15.75" customHeight="1">
      <c r="AF214" s="43"/>
    </row>
    <row r="215" ht="15.75" customHeight="1">
      <c r="AF215" s="43"/>
    </row>
    <row r="216" ht="15.75" customHeight="1">
      <c r="AF216" s="43"/>
    </row>
    <row r="217" ht="15.75" customHeight="1">
      <c r="AF217" s="43"/>
    </row>
    <row r="218" ht="15.75" customHeight="1">
      <c r="AF218" s="43"/>
    </row>
    <row r="219" ht="15.75" customHeight="1">
      <c r="AF219" s="43"/>
    </row>
    <row r="220" ht="15.75" customHeight="1">
      <c r="AF220" s="43"/>
    </row>
    <row r="221" ht="15.75" customHeight="1">
      <c r="AF221" s="43"/>
    </row>
    <row r="222" ht="15.75" customHeight="1">
      <c r="AF222" s="43"/>
    </row>
    <row r="223" ht="15.75" customHeight="1">
      <c r="AF223" s="43"/>
    </row>
    <row r="224" ht="15.75" customHeight="1">
      <c r="AF224" s="43"/>
    </row>
    <row r="225" ht="15.75" customHeight="1">
      <c r="AF225" s="43"/>
    </row>
    <row r="226" ht="15.75" customHeight="1">
      <c r="AF226" s="43"/>
    </row>
    <row r="227" ht="15.75" customHeight="1">
      <c r="AF227" s="43"/>
    </row>
    <row r="228" ht="15.75" customHeight="1">
      <c r="AF228" s="43"/>
    </row>
    <row r="229" ht="15.75" customHeight="1">
      <c r="AF229" s="43"/>
    </row>
    <row r="230" ht="15.75" customHeight="1">
      <c r="AF230" s="43"/>
    </row>
    <row r="231" ht="15.75" customHeight="1">
      <c r="AF231" s="43"/>
    </row>
    <row r="232" ht="15.75" customHeight="1">
      <c r="AF232" s="43"/>
    </row>
    <row r="233" ht="15.75" customHeight="1">
      <c r="AF233" s="43"/>
    </row>
    <row r="234" ht="15.75" customHeight="1">
      <c r="AF234" s="43"/>
    </row>
    <row r="235" ht="15.75" customHeight="1">
      <c r="AF235" s="43"/>
    </row>
    <row r="236" ht="15.75" customHeight="1">
      <c r="AF236" s="43"/>
    </row>
    <row r="237" ht="15.75" customHeight="1">
      <c r="AF237" s="43"/>
    </row>
    <row r="238" ht="15.75" customHeight="1">
      <c r="AF238" s="43"/>
    </row>
    <row r="239" ht="15.75" customHeight="1">
      <c r="AF239" s="43"/>
    </row>
    <row r="240" ht="15.75" customHeight="1">
      <c r="AF240" s="43"/>
    </row>
    <row r="241" ht="15.75" customHeight="1">
      <c r="AF241" s="43"/>
    </row>
    <row r="242" ht="15.75" customHeight="1">
      <c r="AF242" s="43"/>
    </row>
    <row r="243" ht="15.75" customHeight="1">
      <c r="AF243" s="43"/>
    </row>
    <row r="244" ht="15.75" customHeight="1">
      <c r="AF244" s="43"/>
    </row>
    <row r="245" ht="15.75" customHeight="1">
      <c r="AF245" s="43"/>
    </row>
    <row r="246" ht="15.75" customHeight="1">
      <c r="AF246" s="43"/>
    </row>
    <row r="247" ht="15.75" customHeight="1">
      <c r="AF247" s="43"/>
    </row>
    <row r="248" ht="15.75" customHeight="1">
      <c r="AF248" s="43"/>
    </row>
    <row r="249" ht="15.75" customHeight="1">
      <c r="AF249" s="43"/>
    </row>
    <row r="250" ht="15.75" customHeight="1">
      <c r="AF250" s="43"/>
    </row>
    <row r="251" ht="15.75" customHeight="1">
      <c r="AF251" s="43"/>
    </row>
    <row r="252" ht="15.75" customHeight="1">
      <c r="AF252" s="43"/>
    </row>
    <row r="253" ht="15.75" customHeight="1">
      <c r="AF253" s="43"/>
    </row>
    <row r="254" ht="15.75" customHeight="1">
      <c r="AF254" s="43"/>
    </row>
    <row r="255" ht="15.75" customHeight="1">
      <c r="AF255" s="43"/>
    </row>
    <row r="256" ht="15.75" customHeight="1">
      <c r="AF256" s="43"/>
    </row>
    <row r="257" ht="15.75" customHeight="1">
      <c r="AF257" s="43"/>
    </row>
    <row r="258" ht="15.75" customHeight="1">
      <c r="AF258" s="43"/>
    </row>
    <row r="259" ht="15.75" customHeight="1">
      <c r="AF259" s="43"/>
    </row>
    <row r="260" ht="15.75" customHeight="1">
      <c r="AF260" s="43"/>
    </row>
    <row r="261" ht="15.75" customHeight="1">
      <c r="AF261" s="43"/>
    </row>
    <row r="262" ht="15.75" customHeight="1">
      <c r="AF262" s="43"/>
    </row>
    <row r="263" ht="15.75" customHeight="1">
      <c r="AF263" s="43"/>
    </row>
    <row r="264" ht="15.75" customHeight="1">
      <c r="AF264" s="43"/>
    </row>
    <row r="265" ht="15.75" customHeight="1">
      <c r="AF265" s="43"/>
    </row>
    <row r="266" ht="15.75" customHeight="1">
      <c r="AF266" s="43"/>
    </row>
    <row r="267" ht="15.75" customHeight="1">
      <c r="AF267" s="43"/>
    </row>
    <row r="268" ht="15.75" customHeight="1">
      <c r="AF268" s="43"/>
    </row>
    <row r="269" ht="15.75" customHeight="1">
      <c r="AF269" s="43"/>
    </row>
    <row r="270" ht="15.75" customHeight="1">
      <c r="AF270" s="43"/>
    </row>
    <row r="271" ht="15.75" customHeight="1">
      <c r="AF271" s="43"/>
    </row>
    <row r="272" ht="15.75" customHeight="1">
      <c r="AF272" s="43"/>
    </row>
    <row r="273" ht="15.75" customHeight="1">
      <c r="AF273" s="43"/>
    </row>
    <row r="274" ht="15.75" customHeight="1">
      <c r="AF274" s="43"/>
    </row>
    <row r="275" ht="15.75" customHeight="1">
      <c r="AF275" s="43"/>
    </row>
    <row r="276" ht="15.75" customHeight="1">
      <c r="AF276" s="43"/>
    </row>
    <row r="277" ht="15.75" customHeight="1">
      <c r="AF277" s="43"/>
    </row>
    <row r="278" ht="15.75" customHeight="1">
      <c r="AF278" s="43"/>
    </row>
    <row r="279" ht="15.75" customHeight="1">
      <c r="AF279" s="43"/>
    </row>
    <row r="280" ht="15.75" customHeight="1">
      <c r="AF280" s="43"/>
    </row>
    <row r="281" ht="15.75" customHeight="1">
      <c r="AF281" s="43"/>
    </row>
    <row r="282" ht="15.75" customHeight="1">
      <c r="AF282" s="43"/>
    </row>
    <row r="283" ht="15.75" customHeight="1">
      <c r="AF283" s="43"/>
    </row>
    <row r="284" ht="15.75" customHeight="1">
      <c r="AF284" s="43"/>
    </row>
    <row r="285" ht="15.75" customHeight="1">
      <c r="AF285" s="43"/>
    </row>
    <row r="286" ht="15.75" customHeight="1">
      <c r="AF286" s="43"/>
    </row>
    <row r="287" ht="15.75" customHeight="1">
      <c r="AF287" s="43"/>
    </row>
    <row r="288" ht="15.75" customHeight="1">
      <c r="AF288" s="43"/>
    </row>
    <row r="289" ht="15.75" customHeight="1">
      <c r="AF289" s="43"/>
    </row>
    <row r="290" ht="15.75" customHeight="1">
      <c r="AF290" s="43"/>
    </row>
    <row r="291" ht="15.75" customHeight="1">
      <c r="AF291" s="43"/>
    </row>
    <row r="292" ht="15.75" customHeight="1">
      <c r="AF292" s="43"/>
    </row>
    <row r="293" ht="15.75" customHeight="1">
      <c r="AF293" s="43"/>
    </row>
    <row r="294" ht="15.75" customHeight="1">
      <c r="AF294" s="43"/>
    </row>
    <row r="295" ht="15.75" customHeight="1">
      <c r="AF295" s="43"/>
    </row>
    <row r="296" ht="15.75" customHeight="1">
      <c r="AF296" s="43"/>
    </row>
    <row r="297" ht="15.75" customHeight="1">
      <c r="AF297" s="43"/>
    </row>
    <row r="298" ht="15.75" customHeight="1">
      <c r="AF298" s="43"/>
    </row>
    <row r="299" ht="15.75" customHeight="1">
      <c r="AF299" s="43"/>
    </row>
    <row r="300" ht="15.75" customHeight="1">
      <c r="AF300" s="43"/>
    </row>
    <row r="301" ht="15.75" customHeight="1">
      <c r="AF301" s="43"/>
    </row>
    <row r="302" ht="15.75" customHeight="1">
      <c r="AF302" s="43"/>
    </row>
    <row r="303" ht="15.75" customHeight="1">
      <c r="AF303" s="43"/>
    </row>
    <row r="304" ht="15.75" customHeight="1">
      <c r="AF304" s="43"/>
    </row>
    <row r="305" ht="15.75" customHeight="1">
      <c r="AF305" s="43"/>
    </row>
    <row r="306" ht="15.75" customHeight="1">
      <c r="AF306" s="43"/>
    </row>
    <row r="307" ht="15.75" customHeight="1">
      <c r="AF307" s="43"/>
    </row>
    <row r="308" ht="15.75" customHeight="1">
      <c r="AF308" s="43"/>
    </row>
    <row r="309" ht="15.75" customHeight="1">
      <c r="AF309" s="43"/>
    </row>
    <row r="310" ht="15.75" customHeight="1">
      <c r="AF310" s="43"/>
    </row>
    <row r="311" ht="15.75" customHeight="1">
      <c r="AF311" s="43"/>
    </row>
    <row r="312" ht="15.75" customHeight="1">
      <c r="AF312" s="43"/>
    </row>
    <row r="313" ht="15.75" customHeight="1">
      <c r="AF313" s="43"/>
    </row>
    <row r="314" ht="15.75" customHeight="1">
      <c r="AF314" s="43"/>
    </row>
    <row r="315" ht="15.75" customHeight="1">
      <c r="AF315" s="43"/>
    </row>
    <row r="316" ht="15.75" customHeight="1">
      <c r="AF316" s="43"/>
    </row>
    <row r="317" ht="15.75" customHeight="1">
      <c r="AF317" s="43"/>
    </row>
    <row r="318" ht="15.75" customHeight="1">
      <c r="AF318" s="43"/>
    </row>
    <row r="319" ht="15.75" customHeight="1">
      <c r="AF319" s="43"/>
    </row>
    <row r="320" ht="15.75" customHeight="1">
      <c r="AF320" s="43"/>
    </row>
    <row r="321" ht="15.75" customHeight="1">
      <c r="AF321" s="43"/>
    </row>
    <row r="322" ht="15.75" customHeight="1">
      <c r="AF322" s="43"/>
    </row>
    <row r="323" ht="15.75" customHeight="1">
      <c r="AF323" s="43"/>
    </row>
    <row r="324" ht="15.75" customHeight="1">
      <c r="AF324" s="43"/>
    </row>
    <row r="325" ht="15.75" customHeight="1">
      <c r="AF325" s="43"/>
    </row>
    <row r="326" ht="15.75" customHeight="1">
      <c r="AF326" s="43"/>
    </row>
    <row r="327" ht="15.75" customHeight="1">
      <c r="AF327" s="43"/>
    </row>
    <row r="328" ht="15.75" customHeight="1">
      <c r="AF328" s="43"/>
    </row>
    <row r="329" ht="15.75" customHeight="1">
      <c r="AF329" s="43"/>
    </row>
    <row r="330" ht="15.75" customHeight="1">
      <c r="AF330" s="43"/>
    </row>
    <row r="331" ht="15.75" customHeight="1">
      <c r="AF331" s="43"/>
    </row>
    <row r="332" ht="15.75" customHeight="1">
      <c r="AF332" s="43"/>
    </row>
    <row r="333" ht="15.75" customHeight="1">
      <c r="AF333" s="43"/>
    </row>
    <row r="334" ht="15.75" customHeight="1">
      <c r="AF334" s="43"/>
    </row>
    <row r="335" ht="15.75" customHeight="1">
      <c r="AF335" s="43"/>
    </row>
    <row r="336" ht="15.75" customHeight="1">
      <c r="AF336" s="43"/>
    </row>
    <row r="337" ht="15.75" customHeight="1">
      <c r="AF337" s="43"/>
    </row>
    <row r="338" ht="15.75" customHeight="1">
      <c r="AF338" s="43"/>
    </row>
    <row r="339" ht="15.75" customHeight="1">
      <c r="AF339" s="43"/>
    </row>
    <row r="340" ht="15.75" customHeight="1">
      <c r="AF340" s="43"/>
    </row>
    <row r="341" ht="15.75" customHeight="1">
      <c r="AF341" s="43"/>
    </row>
    <row r="342" ht="15.75" customHeight="1">
      <c r="AF342" s="43"/>
    </row>
    <row r="343" ht="15.75" customHeight="1">
      <c r="AF343" s="43"/>
    </row>
    <row r="344" ht="15.75" customHeight="1">
      <c r="AF344" s="43"/>
    </row>
    <row r="345" ht="15.75" customHeight="1">
      <c r="AF345" s="43"/>
    </row>
    <row r="346" ht="15.75" customHeight="1">
      <c r="AF346" s="43"/>
    </row>
    <row r="347" ht="15.75" customHeight="1">
      <c r="AF347" s="43"/>
    </row>
    <row r="348" ht="15.75" customHeight="1">
      <c r="AF348" s="43"/>
    </row>
    <row r="349" ht="15.75" customHeight="1">
      <c r="AF349" s="43"/>
    </row>
    <row r="350" ht="15.75" customHeight="1">
      <c r="AF350" s="43"/>
    </row>
    <row r="351" ht="15.75" customHeight="1">
      <c r="AF351" s="43"/>
    </row>
    <row r="352" ht="15.75" customHeight="1">
      <c r="AF352" s="43"/>
    </row>
    <row r="353" ht="15.75" customHeight="1">
      <c r="AF353" s="43"/>
    </row>
    <row r="354" ht="15.75" customHeight="1">
      <c r="AF354" s="43"/>
    </row>
    <row r="355" ht="15.75" customHeight="1">
      <c r="AF355" s="43"/>
    </row>
    <row r="356" ht="15.75" customHeight="1">
      <c r="AF356" s="43"/>
    </row>
    <row r="357" ht="15.75" customHeight="1">
      <c r="AF357" s="43"/>
    </row>
    <row r="358" ht="15.75" customHeight="1">
      <c r="AF358" s="43"/>
    </row>
    <row r="359" ht="15.75" customHeight="1">
      <c r="AF359" s="43"/>
    </row>
    <row r="360" ht="15.75" customHeight="1">
      <c r="AF360" s="43"/>
    </row>
    <row r="361" ht="15.75" customHeight="1">
      <c r="AF361" s="43"/>
    </row>
    <row r="362" ht="15.75" customHeight="1">
      <c r="AF362" s="43"/>
    </row>
    <row r="363" ht="15.75" customHeight="1">
      <c r="AF363" s="43"/>
    </row>
    <row r="364" ht="15.75" customHeight="1">
      <c r="AF364" s="43"/>
    </row>
    <row r="365" ht="15.75" customHeight="1">
      <c r="AF365" s="43"/>
    </row>
    <row r="366" ht="15.75" customHeight="1">
      <c r="AF366" s="43"/>
    </row>
    <row r="367" ht="15.75" customHeight="1">
      <c r="AF367" s="43"/>
    </row>
    <row r="368" ht="15.75" customHeight="1">
      <c r="AF368" s="43"/>
    </row>
    <row r="369" ht="15.75" customHeight="1">
      <c r="AF369" s="43"/>
    </row>
    <row r="370" ht="15.75" customHeight="1">
      <c r="AF370" s="43"/>
    </row>
    <row r="371" ht="15.75" customHeight="1">
      <c r="AF371" s="43"/>
    </row>
    <row r="372" ht="15.75" customHeight="1">
      <c r="AF372" s="43"/>
    </row>
    <row r="373" ht="15.75" customHeight="1">
      <c r="AF373" s="43"/>
    </row>
    <row r="374" ht="15.75" customHeight="1">
      <c r="AF374" s="43"/>
    </row>
    <row r="375" ht="15.75" customHeight="1">
      <c r="AF375" s="43"/>
    </row>
    <row r="376" ht="15.75" customHeight="1">
      <c r="AF376" s="43"/>
    </row>
    <row r="377" ht="15.75" customHeight="1">
      <c r="AF377" s="43"/>
    </row>
    <row r="378" ht="15.75" customHeight="1">
      <c r="AF378" s="43"/>
    </row>
    <row r="379" ht="15.75" customHeight="1">
      <c r="AF379" s="43"/>
    </row>
    <row r="380" ht="15.75" customHeight="1">
      <c r="AF380" s="43"/>
    </row>
    <row r="381" ht="15.75" customHeight="1">
      <c r="AF381" s="43"/>
    </row>
    <row r="382" ht="15.75" customHeight="1">
      <c r="AF382" s="43"/>
    </row>
    <row r="383" ht="15.75" customHeight="1">
      <c r="AF383" s="43"/>
    </row>
    <row r="384" ht="15.75" customHeight="1">
      <c r="AF384" s="43"/>
    </row>
    <row r="385" ht="15.75" customHeight="1">
      <c r="AF385" s="43"/>
    </row>
    <row r="386" ht="15.75" customHeight="1">
      <c r="AF386" s="43"/>
    </row>
    <row r="387" ht="15.75" customHeight="1">
      <c r="AF387" s="43"/>
    </row>
    <row r="388" ht="15.75" customHeight="1">
      <c r="AF388" s="43"/>
    </row>
    <row r="389" ht="15.75" customHeight="1">
      <c r="AF389" s="43"/>
    </row>
    <row r="390" ht="15.75" customHeight="1">
      <c r="AF390" s="43"/>
    </row>
    <row r="391" ht="15.75" customHeight="1">
      <c r="AF391" s="43"/>
    </row>
    <row r="392" ht="15.75" customHeight="1">
      <c r="AF392" s="43"/>
    </row>
    <row r="393" ht="15.75" customHeight="1">
      <c r="AF393" s="43"/>
    </row>
    <row r="394" ht="15.75" customHeight="1">
      <c r="AF394" s="43"/>
    </row>
    <row r="395" ht="15.75" customHeight="1">
      <c r="AF395" s="43"/>
    </row>
    <row r="396" ht="15.75" customHeight="1">
      <c r="AF396" s="43"/>
    </row>
    <row r="397" ht="15.75" customHeight="1">
      <c r="AF397" s="43"/>
    </row>
    <row r="398" ht="15.75" customHeight="1">
      <c r="AF398" s="43"/>
    </row>
    <row r="399" ht="15.75" customHeight="1">
      <c r="AF399" s="43"/>
    </row>
    <row r="400" ht="15.75" customHeight="1">
      <c r="AF400" s="43"/>
    </row>
    <row r="401" ht="15.75" customHeight="1">
      <c r="AF401" s="43"/>
    </row>
    <row r="402" ht="15.75" customHeight="1">
      <c r="AF402" s="43"/>
    </row>
    <row r="403" ht="15.75" customHeight="1">
      <c r="AF403" s="43"/>
    </row>
    <row r="404" ht="15.75" customHeight="1">
      <c r="AF404" s="43"/>
    </row>
    <row r="405" ht="15.75" customHeight="1">
      <c r="AF405" s="43"/>
    </row>
    <row r="406" ht="15.75" customHeight="1">
      <c r="AF406" s="43"/>
    </row>
    <row r="407" ht="15.75" customHeight="1">
      <c r="AF407" s="43"/>
    </row>
    <row r="408" ht="15.75" customHeight="1">
      <c r="AF408" s="43"/>
    </row>
    <row r="409" ht="15.75" customHeight="1">
      <c r="AF409" s="43"/>
    </row>
    <row r="410" ht="15.75" customHeight="1">
      <c r="AF410" s="43"/>
    </row>
    <row r="411" ht="15.75" customHeight="1">
      <c r="AF411" s="43"/>
    </row>
    <row r="412" ht="15.75" customHeight="1">
      <c r="AF412" s="43"/>
    </row>
    <row r="413" ht="15.75" customHeight="1">
      <c r="AF413" s="43"/>
    </row>
    <row r="414" ht="15.75" customHeight="1">
      <c r="AF414" s="43"/>
    </row>
    <row r="415" ht="15.75" customHeight="1">
      <c r="AF415" s="43"/>
    </row>
    <row r="416" ht="15.75" customHeight="1">
      <c r="AF416" s="43"/>
    </row>
    <row r="417" ht="15.75" customHeight="1">
      <c r="AF417" s="43"/>
    </row>
    <row r="418" ht="15.75" customHeight="1">
      <c r="AF418" s="43"/>
    </row>
    <row r="419" ht="15.75" customHeight="1">
      <c r="AF419" s="43"/>
    </row>
    <row r="420" ht="15.75" customHeight="1">
      <c r="AF420" s="43"/>
    </row>
    <row r="421" ht="15.75" customHeight="1">
      <c r="AF421" s="43"/>
    </row>
    <row r="422" ht="15.75" customHeight="1">
      <c r="AF422" s="43"/>
    </row>
    <row r="423" ht="15.75" customHeight="1">
      <c r="AF423" s="43"/>
    </row>
    <row r="424" ht="15.75" customHeight="1">
      <c r="AF424" s="43"/>
    </row>
    <row r="425" ht="15.75" customHeight="1">
      <c r="AF425" s="43"/>
    </row>
    <row r="426" ht="15.75" customHeight="1">
      <c r="AF426" s="43"/>
    </row>
    <row r="427" ht="15.75" customHeight="1">
      <c r="AF427" s="43"/>
    </row>
    <row r="428" ht="15.75" customHeight="1">
      <c r="AF428" s="43"/>
    </row>
    <row r="429" ht="15.75" customHeight="1">
      <c r="AF429" s="43"/>
    </row>
    <row r="430" ht="15.75" customHeight="1">
      <c r="AF430" s="43"/>
    </row>
    <row r="431" ht="15.75" customHeight="1">
      <c r="AF431" s="43"/>
    </row>
    <row r="432" ht="15.75" customHeight="1">
      <c r="AF432" s="43"/>
    </row>
    <row r="433" ht="15.75" customHeight="1">
      <c r="AF433" s="43"/>
    </row>
    <row r="434" ht="15.75" customHeight="1">
      <c r="AF434" s="43"/>
    </row>
    <row r="435" ht="15.75" customHeight="1">
      <c r="AF435" s="43"/>
    </row>
    <row r="436" ht="15.75" customHeight="1">
      <c r="AF436" s="43"/>
    </row>
    <row r="437" ht="15.75" customHeight="1">
      <c r="AF437" s="43"/>
    </row>
    <row r="438" ht="15.75" customHeight="1">
      <c r="AF438" s="43"/>
    </row>
    <row r="439" ht="15.75" customHeight="1">
      <c r="AF439" s="43"/>
    </row>
    <row r="440" ht="15.75" customHeight="1">
      <c r="AF440" s="43"/>
    </row>
    <row r="441" ht="15.75" customHeight="1">
      <c r="AF441" s="43"/>
    </row>
    <row r="442" ht="15.75" customHeight="1">
      <c r="AF442" s="43"/>
    </row>
    <row r="443" ht="15.75" customHeight="1">
      <c r="AF443" s="43"/>
    </row>
    <row r="444" ht="15.75" customHeight="1">
      <c r="AF444" s="43"/>
    </row>
    <row r="445" ht="15.75" customHeight="1">
      <c r="AF445" s="43"/>
    </row>
    <row r="446" ht="15.75" customHeight="1">
      <c r="AF446" s="43"/>
    </row>
    <row r="447" ht="15.75" customHeight="1">
      <c r="AF447" s="43"/>
    </row>
    <row r="448" ht="15.75" customHeight="1">
      <c r="AF448" s="43"/>
    </row>
    <row r="449" ht="15.75" customHeight="1">
      <c r="AF449" s="43"/>
    </row>
    <row r="450" ht="15.75" customHeight="1">
      <c r="AF450" s="43"/>
    </row>
    <row r="451" ht="15.75" customHeight="1">
      <c r="AF451" s="43"/>
    </row>
    <row r="452" ht="15.75" customHeight="1">
      <c r="AF452" s="43"/>
    </row>
    <row r="453" ht="15.75" customHeight="1">
      <c r="AF453" s="43"/>
    </row>
    <row r="454" ht="15.75" customHeight="1">
      <c r="AF454" s="43"/>
    </row>
    <row r="455" ht="15.75" customHeight="1">
      <c r="AF455" s="43"/>
    </row>
    <row r="456" ht="15.75" customHeight="1">
      <c r="AF456" s="43"/>
    </row>
    <row r="457" ht="15.75" customHeight="1">
      <c r="AF457" s="43"/>
    </row>
    <row r="458" ht="15.75" customHeight="1">
      <c r="AF458" s="43"/>
    </row>
    <row r="459" ht="15.75" customHeight="1">
      <c r="AF459" s="43"/>
    </row>
    <row r="460" ht="15.75" customHeight="1">
      <c r="AF460" s="43"/>
    </row>
    <row r="461" ht="15.75" customHeight="1">
      <c r="AF461" s="43"/>
    </row>
    <row r="462" ht="15.75" customHeight="1">
      <c r="AF462" s="43"/>
    </row>
    <row r="463" ht="15.75" customHeight="1">
      <c r="AF463" s="43"/>
    </row>
    <row r="464" ht="15.75" customHeight="1">
      <c r="AF464" s="43"/>
    </row>
    <row r="465" ht="15.75" customHeight="1">
      <c r="AF465" s="43"/>
    </row>
    <row r="466" ht="15.75" customHeight="1">
      <c r="AF466" s="43"/>
    </row>
    <row r="467" ht="15.75" customHeight="1">
      <c r="AF467" s="43"/>
    </row>
    <row r="468" ht="15.75" customHeight="1">
      <c r="AF468" s="43"/>
    </row>
    <row r="469" ht="15.75" customHeight="1">
      <c r="AF469" s="43"/>
    </row>
    <row r="470" ht="15.75" customHeight="1">
      <c r="AF470" s="43"/>
    </row>
    <row r="471" ht="15.75" customHeight="1">
      <c r="AF471" s="43"/>
    </row>
    <row r="472" ht="15.75" customHeight="1">
      <c r="AF472" s="43"/>
    </row>
    <row r="473" ht="15.75" customHeight="1">
      <c r="AF473" s="43"/>
    </row>
    <row r="474" ht="15.75" customHeight="1">
      <c r="AF474" s="43"/>
    </row>
    <row r="475" ht="15.75" customHeight="1">
      <c r="AF475" s="43"/>
    </row>
    <row r="476" ht="15.75" customHeight="1">
      <c r="AF476" s="43"/>
    </row>
    <row r="477" ht="15.75" customHeight="1">
      <c r="AF477" s="43"/>
    </row>
    <row r="478" ht="15.75" customHeight="1">
      <c r="AF478" s="43"/>
    </row>
    <row r="479" ht="15.75" customHeight="1">
      <c r="AF479" s="43"/>
    </row>
    <row r="480" ht="15.75" customHeight="1">
      <c r="AF480" s="43"/>
    </row>
    <row r="481" ht="15.75" customHeight="1">
      <c r="AF481" s="43"/>
    </row>
    <row r="482" ht="15.75" customHeight="1">
      <c r="AF482" s="43"/>
    </row>
    <row r="483" ht="15.75" customHeight="1">
      <c r="AF483" s="43"/>
    </row>
    <row r="484" ht="15.75" customHeight="1">
      <c r="AF484" s="43"/>
    </row>
    <row r="485" ht="15.75" customHeight="1">
      <c r="AF485" s="43"/>
    </row>
    <row r="486" ht="15.75" customHeight="1">
      <c r="AF486" s="43"/>
    </row>
    <row r="487" ht="15.75" customHeight="1">
      <c r="AF487" s="43"/>
    </row>
    <row r="488" ht="15.75" customHeight="1">
      <c r="AF488" s="43"/>
    </row>
    <row r="489" ht="15.75" customHeight="1">
      <c r="AF489" s="43"/>
    </row>
    <row r="490" ht="15.75" customHeight="1">
      <c r="AF490" s="43"/>
    </row>
    <row r="491" ht="15.75" customHeight="1">
      <c r="AF491" s="43"/>
    </row>
    <row r="492" ht="15.75" customHeight="1">
      <c r="AF492" s="43"/>
    </row>
    <row r="493" ht="15.75" customHeight="1">
      <c r="AF493" s="43"/>
    </row>
    <row r="494" ht="15.75" customHeight="1">
      <c r="AF494" s="43"/>
    </row>
    <row r="495" ht="15.75" customHeight="1">
      <c r="AF495" s="43"/>
    </row>
    <row r="496" ht="15.75" customHeight="1">
      <c r="AF496" s="43"/>
    </row>
    <row r="497" ht="15.75" customHeight="1">
      <c r="AF497" s="43"/>
    </row>
    <row r="498" ht="15.75" customHeight="1">
      <c r="AF498" s="43"/>
    </row>
    <row r="499" ht="15.75" customHeight="1">
      <c r="AF499" s="43"/>
    </row>
    <row r="500" ht="15.75" customHeight="1">
      <c r="AF500" s="43"/>
    </row>
    <row r="501" ht="15.75" customHeight="1">
      <c r="AF501" s="43"/>
    </row>
    <row r="502" ht="15.75" customHeight="1">
      <c r="AF502" s="43"/>
    </row>
    <row r="503" ht="15.75" customHeight="1">
      <c r="AF503" s="43"/>
    </row>
    <row r="504" ht="15.75" customHeight="1">
      <c r="AF504" s="43"/>
    </row>
    <row r="505" ht="15.75" customHeight="1">
      <c r="AF505" s="43"/>
    </row>
    <row r="506" ht="15.75" customHeight="1">
      <c r="AF506" s="43"/>
    </row>
    <row r="507" ht="15.75" customHeight="1">
      <c r="AF507" s="43"/>
    </row>
    <row r="508" ht="15.75" customHeight="1">
      <c r="AF508" s="43"/>
    </row>
    <row r="509" ht="15.75" customHeight="1">
      <c r="AF509" s="43"/>
    </row>
    <row r="510" ht="15.75" customHeight="1">
      <c r="AF510" s="43"/>
    </row>
    <row r="511" ht="15.75" customHeight="1">
      <c r="AF511" s="43"/>
    </row>
    <row r="512" ht="15.75" customHeight="1">
      <c r="AF512" s="43"/>
    </row>
    <row r="513" ht="15.75" customHeight="1">
      <c r="AF513" s="43"/>
    </row>
    <row r="514" ht="15.75" customHeight="1">
      <c r="AF514" s="43"/>
    </row>
    <row r="515" ht="15.75" customHeight="1">
      <c r="AF515" s="43"/>
    </row>
    <row r="516" ht="15.75" customHeight="1">
      <c r="AF516" s="43"/>
    </row>
    <row r="517" ht="15.75" customHeight="1">
      <c r="AF517" s="43"/>
    </row>
    <row r="518" ht="15.75" customHeight="1">
      <c r="AF518" s="43"/>
    </row>
    <row r="519" ht="15.75" customHeight="1">
      <c r="AF519" s="43"/>
    </row>
    <row r="520" ht="15.75" customHeight="1">
      <c r="AF520" s="43"/>
    </row>
    <row r="521" ht="15.75" customHeight="1">
      <c r="AF521" s="43"/>
    </row>
    <row r="522" ht="15.75" customHeight="1">
      <c r="AF522" s="43"/>
    </row>
    <row r="523" ht="15.75" customHeight="1">
      <c r="AF523" s="43"/>
    </row>
    <row r="524" ht="15.75" customHeight="1">
      <c r="AF524" s="43"/>
    </row>
    <row r="525" ht="15.75" customHeight="1">
      <c r="AF525" s="43"/>
    </row>
    <row r="526" ht="15.75" customHeight="1">
      <c r="AF526" s="43"/>
    </row>
    <row r="527" ht="15.75" customHeight="1">
      <c r="AF527" s="43"/>
    </row>
    <row r="528" ht="15.75" customHeight="1">
      <c r="AF528" s="43"/>
    </row>
    <row r="529" ht="15.75" customHeight="1">
      <c r="AF529" s="43"/>
    </row>
    <row r="530" ht="15.75" customHeight="1">
      <c r="AF530" s="43"/>
    </row>
    <row r="531" ht="15.75" customHeight="1">
      <c r="AF531" s="43"/>
    </row>
    <row r="532" ht="15.75" customHeight="1">
      <c r="AF532" s="43"/>
    </row>
    <row r="533" ht="15.75" customHeight="1">
      <c r="AF533" s="43"/>
    </row>
    <row r="534" ht="15.75" customHeight="1">
      <c r="AF534" s="43"/>
    </row>
    <row r="535" ht="15.75" customHeight="1">
      <c r="AF535" s="43"/>
    </row>
    <row r="536" ht="15.75" customHeight="1">
      <c r="AF536" s="43"/>
    </row>
    <row r="537" ht="15.75" customHeight="1">
      <c r="AF537" s="43"/>
    </row>
    <row r="538" ht="15.75" customHeight="1">
      <c r="AF538" s="43"/>
    </row>
    <row r="539" ht="15.75" customHeight="1">
      <c r="AF539" s="43"/>
    </row>
    <row r="540" ht="15.75" customHeight="1">
      <c r="AF540" s="43"/>
    </row>
    <row r="541" ht="15.75" customHeight="1">
      <c r="AF541" s="43"/>
    </row>
    <row r="542" ht="15.75" customHeight="1">
      <c r="AF542" s="43"/>
    </row>
    <row r="543" ht="15.75" customHeight="1">
      <c r="AF543" s="43"/>
    </row>
    <row r="544" ht="15.75" customHeight="1">
      <c r="AF544" s="43"/>
    </row>
    <row r="545" ht="15.75" customHeight="1">
      <c r="AF545" s="43"/>
    </row>
    <row r="546" ht="15.75" customHeight="1">
      <c r="AF546" s="43"/>
    </row>
    <row r="547" ht="15.75" customHeight="1">
      <c r="AF547" s="43"/>
    </row>
    <row r="548" ht="15.75" customHeight="1">
      <c r="AF548" s="43"/>
    </row>
    <row r="549" ht="15.75" customHeight="1">
      <c r="AF549" s="43"/>
    </row>
    <row r="550" ht="15.75" customHeight="1">
      <c r="AF550" s="43"/>
    </row>
    <row r="551" ht="15.75" customHeight="1">
      <c r="AF551" s="43"/>
    </row>
    <row r="552" ht="15.75" customHeight="1">
      <c r="AF552" s="43"/>
    </row>
    <row r="553" ht="15.75" customHeight="1">
      <c r="AF553" s="43"/>
    </row>
    <row r="554" ht="15.75" customHeight="1">
      <c r="AF554" s="43"/>
    </row>
    <row r="555" ht="15.75" customHeight="1">
      <c r="AF555" s="43"/>
    </row>
    <row r="556" ht="15.75" customHeight="1">
      <c r="AF556" s="43"/>
    </row>
    <row r="557" ht="15.75" customHeight="1">
      <c r="AF557" s="43"/>
    </row>
    <row r="558" ht="15.75" customHeight="1">
      <c r="AF558" s="43"/>
    </row>
    <row r="559" ht="15.75" customHeight="1">
      <c r="AF559" s="43"/>
    </row>
    <row r="560" ht="15.75" customHeight="1">
      <c r="AF560" s="43"/>
    </row>
    <row r="561" ht="15.75" customHeight="1">
      <c r="AF561" s="43"/>
    </row>
    <row r="562" ht="15.75" customHeight="1">
      <c r="AF562" s="43"/>
    </row>
    <row r="563" ht="15.75" customHeight="1">
      <c r="AF563" s="43"/>
    </row>
    <row r="564" ht="15.75" customHeight="1">
      <c r="AF564" s="43"/>
    </row>
    <row r="565" ht="15.75" customHeight="1">
      <c r="AF565" s="43"/>
    </row>
    <row r="566" ht="15.75" customHeight="1">
      <c r="AF566" s="43"/>
    </row>
    <row r="567" ht="15.75" customHeight="1">
      <c r="AF567" s="43"/>
    </row>
    <row r="568" ht="15.75" customHeight="1">
      <c r="AF568" s="43"/>
    </row>
    <row r="569" ht="15.75" customHeight="1">
      <c r="AF569" s="43"/>
    </row>
    <row r="570" ht="15.75" customHeight="1">
      <c r="AF570" s="43"/>
    </row>
    <row r="571" ht="15.75" customHeight="1">
      <c r="AF571" s="43"/>
    </row>
    <row r="572" ht="15.75" customHeight="1">
      <c r="AF572" s="43"/>
    </row>
    <row r="573" ht="15.75" customHeight="1">
      <c r="AF573" s="43"/>
    </row>
    <row r="574" ht="15.75" customHeight="1">
      <c r="AF574" s="43"/>
    </row>
    <row r="575" ht="15.75" customHeight="1">
      <c r="AF575" s="43"/>
    </row>
    <row r="576" ht="15.75" customHeight="1">
      <c r="AF576" s="43"/>
    </row>
    <row r="577" ht="15.75" customHeight="1">
      <c r="AF577" s="43"/>
    </row>
    <row r="578" ht="15.75" customHeight="1">
      <c r="AF578" s="43"/>
    </row>
    <row r="579" ht="15.75" customHeight="1">
      <c r="AF579" s="43"/>
    </row>
    <row r="580" ht="15.75" customHeight="1">
      <c r="AF580" s="43"/>
    </row>
    <row r="581" ht="15.75" customHeight="1">
      <c r="AF581" s="43"/>
    </row>
    <row r="582" ht="15.75" customHeight="1">
      <c r="AF582" s="43"/>
    </row>
    <row r="583" ht="15.75" customHeight="1">
      <c r="AF583" s="43"/>
    </row>
    <row r="584" ht="15.75" customHeight="1">
      <c r="AF584" s="43"/>
    </row>
    <row r="585" ht="15.75" customHeight="1">
      <c r="AF585" s="43"/>
    </row>
    <row r="586" ht="15.75" customHeight="1">
      <c r="AF586" s="43"/>
    </row>
    <row r="587" ht="15.75" customHeight="1">
      <c r="AF587" s="43"/>
    </row>
    <row r="588" ht="15.75" customHeight="1">
      <c r="AF588" s="43"/>
    </row>
    <row r="589" ht="15.75" customHeight="1">
      <c r="AF589" s="43"/>
    </row>
    <row r="590" ht="15.75" customHeight="1">
      <c r="AF590" s="43"/>
    </row>
    <row r="591" ht="15.75" customHeight="1">
      <c r="AF591" s="43"/>
    </row>
    <row r="592" ht="15.75" customHeight="1">
      <c r="AF592" s="43"/>
    </row>
    <row r="593" ht="15.75" customHeight="1">
      <c r="AF593" s="43"/>
    </row>
    <row r="594" ht="15.75" customHeight="1">
      <c r="AF594" s="43"/>
    </row>
    <row r="595" ht="15.75" customHeight="1">
      <c r="AF595" s="43"/>
    </row>
    <row r="596" ht="15.75" customHeight="1">
      <c r="AF596" s="43"/>
    </row>
    <row r="597" ht="15.75" customHeight="1">
      <c r="AF597" s="43"/>
    </row>
    <row r="598" ht="15.75" customHeight="1">
      <c r="AF598" s="43"/>
    </row>
    <row r="599" ht="15.75" customHeight="1">
      <c r="AF599" s="43"/>
    </row>
    <row r="600" ht="15.75" customHeight="1">
      <c r="AF600" s="43"/>
    </row>
    <row r="601" ht="15.75" customHeight="1">
      <c r="AF601" s="43"/>
    </row>
    <row r="602" ht="15.75" customHeight="1">
      <c r="AF602" s="43"/>
    </row>
    <row r="603" ht="15.75" customHeight="1">
      <c r="AF603" s="43"/>
    </row>
    <row r="604" ht="15.75" customHeight="1">
      <c r="AF604" s="43"/>
    </row>
    <row r="605" ht="15.75" customHeight="1">
      <c r="AF605" s="43"/>
    </row>
    <row r="606" ht="15.75" customHeight="1">
      <c r="AF606" s="43"/>
    </row>
    <row r="607" ht="15.75" customHeight="1">
      <c r="AF607" s="43"/>
    </row>
    <row r="608" ht="15.75" customHeight="1">
      <c r="AF608" s="43"/>
    </row>
    <row r="609" ht="15.75" customHeight="1">
      <c r="AF609" s="43"/>
    </row>
    <row r="610" ht="15.75" customHeight="1">
      <c r="AF610" s="43"/>
    </row>
    <row r="611" ht="15.75" customHeight="1">
      <c r="AF611" s="43"/>
    </row>
    <row r="612" ht="15.75" customHeight="1">
      <c r="AF612" s="43"/>
    </row>
    <row r="613" ht="15.75" customHeight="1">
      <c r="AF613" s="43"/>
    </row>
    <row r="614" ht="15.75" customHeight="1">
      <c r="AF614" s="43"/>
    </row>
    <row r="615" ht="15.75" customHeight="1">
      <c r="AF615" s="43"/>
    </row>
    <row r="616" ht="15.75" customHeight="1">
      <c r="AF616" s="43"/>
    </row>
    <row r="617" ht="15.75" customHeight="1">
      <c r="AF617" s="43"/>
    </row>
    <row r="618" ht="15.75" customHeight="1">
      <c r="AF618" s="43"/>
    </row>
    <row r="619" ht="15.75" customHeight="1">
      <c r="AF619" s="43"/>
    </row>
    <row r="620" ht="15.75" customHeight="1">
      <c r="AF620" s="43"/>
    </row>
    <row r="621" ht="15.75" customHeight="1">
      <c r="AF621" s="43"/>
    </row>
    <row r="622" ht="15.75" customHeight="1">
      <c r="AF622" s="43"/>
    </row>
    <row r="623" ht="15.75" customHeight="1">
      <c r="AF623" s="43"/>
    </row>
    <row r="624" ht="15.75" customHeight="1">
      <c r="AF624" s="43"/>
    </row>
    <row r="625" ht="15.75" customHeight="1">
      <c r="AF625" s="43"/>
    </row>
    <row r="626" ht="15.75" customHeight="1">
      <c r="AF626" s="43"/>
    </row>
    <row r="627" ht="15.75" customHeight="1">
      <c r="AF627" s="43"/>
    </row>
    <row r="628" ht="15.75" customHeight="1">
      <c r="AF628" s="43"/>
    </row>
    <row r="629" ht="15.75" customHeight="1">
      <c r="AF629" s="43"/>
    </row>
    <row r="630" ht="15.75" customHeight="1">
      <c r="AF630" s="43"/>
    </row>
    <row r="631" ht="15.75" customHeight="1">
      <c r="AF631" s="43"/>
    </row>
    <row r="632" ht="15.75" customHeight="1">
      <c r="AF632" s="43"/>
    </row>
    <row r="633" ht="15.75" customHeight="1">
      <c r="AF633" s="43"/>
    </row>
    <row r="634" ht="15.75" customHeight="1">
      <c r="AF634" s="43"/>
    </row>
    <row r="635" ht="15.75" customHeight="1">
      <c r="AF635" s="43"/>
    </row>
    <row r="636" ht="15.75" customHeight="1">
      <c r="AF636" s="43"/>
    </row>
    <row r="637" ht="15.75" customHeight="1">
      <c r="AF637" s="43"/>
    </row>
    <row r="638" ht="15.75" customHeight="1">
      <c r="AF638" s="43"/>
    </row>
    <row r="639" ht="15.75" customHeight="1">
      <c r="AF639" s="43"/>
    </row>
    <row r="640" ht="15.75" customHeight="1">
      <c r="AF640" s="43"/>
    </row>
    <row r="641" ht="15.75" customHeight="1">
      <c r="AF641" s="43"/>
    </row>
    <row r="642" ht="15.75" customHeight="1">
      <c r="AF642" s="43"/>
    </row>
    <row r="643" ht="15.75" customHeight="1">
      <c r="AF643" s="43"/>
    </row>
    <row r="644" ht="15.75" customHeight="1">
      <c r="AF644" s="43"/>
    </row>
    <row r="645" ht="15.75" customHeight="1">
      <c r="AF645" s="43"/>
    </row>
    <row r="646" ht="15.75" customHeight="1">
      <c r="AF646" s="43"/>
    </row>
    <row r="647" ht="15.75" customHeight="1">
      <c r="AF647" s="43"/>
    </row>
    <row r="648" ht="15.75" customHeight="1">
      <c r="AF648" s="43"/>
    </row>
    <row r="649" ht="15.75" customHeight="1">
      <c r="AF649" s="43"/>
    </row>
    <row r="650" ht="15.75" customHeight="1">
      <c r="AF650" s="43"/>
    </row>
    <row r="651" ht="15.75" customHeight="1">
      <c r="AF651" s="43"/>
    </row>
    <row r="652" ht="15.75" customHeight="1">
      <c r="AF652" s="43"/>
    </row>
    <row r="653" ht="15.75" customHeight="1">
      <c r="AF653" s="43"/>
    </row>
    <row r="654" ht="15.75" customHeight="1">
      <c r="AF654" s="43"/>
    </row>
    <row r="655" ht="15.75" customHeight="1">
      <c r="AF655" s="43"/>
    </row>
    <row r="656" ht="15.75" customHeight="1">
      <c r="AF656" s="43"/>
    </row>
    <row r="657" ht="15.75" customHeight="1">
      <c r="AF657" s="43"/>
    </row>
    <row r="658" ht="15.75" customHeight="1">
      <c r="AF658" s="43"/>
    </row>
    <row r="659" ht="15.75" customHeight="1">
      <c r="AF659" s="43"/>
    </row>
    <row r="660" ht="15.75" customHeight="1">
      <c r="AF660" s="43"/>
    </row>
    <row r="661" ht="15.75" customHeight="1">
      <c r="AF661" s="43"/>
    </row>
    <row r="662" ht="15.75" customHeight="1">
      <c r="AF662" s="43"/>
    </row>
    <row r="663" ht="15.75" customHeight="1">
      <c r="AF663" s="43"/>
    </row>
    <row r="664" ht="15.75" customHeight="1">
      <c r="AF664" s="43"/>
    </row>
    <row r="665" ht="15.75" customHeight="1">
      <c r="AF665" s="43"/>
    </row>
    <row r="666" ht="15.75" customHeight="1">
      <c r="AF666" s="43"/>
    </row>
    <row r="667" ht="15.75" customHeight="1">
      <c r="AF667" s="43"/>
    </row>
    <row r="668" ht="15.75" customHeight="1">
      <c r="AF668" s="43"/>
    </row>
    <row r="669" ht="15.75" customHeight="1">
      <c r="AF669" s="43"/>
    </row>
    <row r="670" ht="15.75" customHeight="1">
      <c r="AF670" s="43"/>
    </row>
    <row r="671" ht="15.75" customHeight="1">
      <c r="AF671" s="43"/>
    </row>
    <row r="672" ht="15.75" customHeight="1">
      <c r="AF672" s="43"/>
    </row>
    <row r="673" ht="15.75" customHeight="1">
      <c r="AF673" s="43"/>
    </row>
    <row r="674" ht="15.75" customHeight="1">
      <c r="AF674" s="43"/>
    </row>
    <row r="675" ht="15.75" customHeight="1">
      <c r="AF675" s="43"/>
    </row>
    <row r="676" ht="15.75" customHeight="1">
      <c r="AF676" s="43"/>
    </row>
    <row r="677" ht="15.75" customHeight="1">
      <c r="AF677" s="43"/>
    </row>
    <row r="678" ht="15.75" customHeight="1">
      <c r="AF678" s="43"/>
    </row>
    <row r="679" ht="15.75" customHeight="1">
      <c r="AF679" s="43"/>
    </row>
    <row r="680" ht="15.75" customHeight="1">
      <c r="AF680" s="43"/>
    </row>
    <row r="681" ht="15.75" customHeight="1">
      <c r="AF681" s="43"/>
    </row>
    <row r="682" ht="15.75" customHeight="1">
      <c r="AF682" s="43"/>
    </row>
    <row r="683" ht="15.75" customHeight="1">
      <c r="AF683" s="43"/>
    </row>
    <row r="684" ht="15.75" customHeight="1">
      <c r="AF684" s="43"/>
    </row>
    <row r="685" ht="15.75" customHeight="1">
      <c r="AF685" s="43"/>
    </row>
    <row r="686" ht="15.75" customHeight="1">
      <c r="AF686" s="43"/>
    </row>
    <row r="687" ht="15.75" customHeight="1">
      <c r="AF687" s="43"/>
    </row>
    <row r="688" ht="15.75" customHeight="1">
      <c r="AF688" s="43"/>
    </row>
    <row r="689" ht="15.75" customHeight="1">
      <c r="AF689" s="43"/>
    </row>
    <row r="690" ht="15.75" customHeight="1">
      <c r="AF690" s="43"/>
    </row>
    <row r="691" ht="15.75" customHeight="1">
      <c r="AF691" s="43"/>
    </row>
    <row r="692" ht="15.75" customHeight="1">
      <c r="AF692" s="43"/>
    </row>
    <row r="693" ht="15.75" customHeight="1">
      <c r="AF693" s="43"/>
    </row>
    <row r="694" ht="15.75" customHeight="1">
      <c r="AF694" s="43"/>
    </row>
    <row r="695" ht="15.75" customHeight="1">
      <c r="AF695" s="43"/>
    </row>
    <row r="696" ht="15.75" customHeight="1">
      <c r="AF696" s="43"/>
    </row>
    <row r="697" ht="15.75" customHeight="1">
      <c r="AF697" s="43"/>
    </row>
    <row r="698" ht="15.75" customHeight="1">
      <c r="AF698" s="43"/>
    </row>
    <row r="699" ht="15.75" customHeight="1">
      <c r="AF699" s="43"/>
    </row>
    <row r="700" ht="15.75" customHeight="1">
      <c r="AF700" s="43"/>
    </row>
    <row r="701" ht="15.75" customHeight="1">
      <c r="AF701" s="43"/>
    </row>
    <row r="702" ht="15.75" customHeight="1">
      <c r="AF702" s="43"/>
    </row>
    <row r="703" ht="15.75" customHeight="1">
      <c r="AF703" s="43"/>
    </row>
    <row r="704" ht="15.75" customHeight="1">
      <c r="AF704" s="43"/>
    </row>
    <row r="705" ht="15.75" customHeight="1">
      <c r="AF705" s="43"/>
    </row>
    <row r="706" ht="15.75" customHeight="1">
      <c r="AF706" s="43"/>
    </row>
    <row r="707" ht="15.75" customHeight="1">
      <c r="AF707" s="43"/>
    </row>
    <row r="708" ht="15.75" customHeight="1">
      <c r="AF708" s="43"/>
    </row>
    <row r="709" ht="15.75" customHeight="1">
      <c r="AF709" s="43"/>
    </row>
    <row r="710" ht="15.75" customHeight="1">
      <c r="AF710" s="43"/>
    </row>
    <row r="711" ht="15.75" customHeight="1">
      <c r="AF711" s="43"/>
    </row>
    <row r="712" ht="15.75" customHeight="1">
      <c r="AF712" s="43"/>
    </row>
    <row r="713" ht="15.75" customHeight="1">
      <c r="AF713" s="43"/>
    </row>
    <row r="714" ht="15.75" customHeight="1">
      <c r="AF714" s="43"/>
    </row>
    <row r="715" ht="15.75" customHeight="1">
      <c r="AF715" s="43"/>
    </row>
    <row r="716" ht="15.75" customHeight="1">
      <c r="AF716" s="43"/>
    </row>
    <row r="717" ht="15.75" customHeight="1">
      <c r="AF717" s="43"/>
    </row>
    <row r="718" ht="15.75" customHeight="1">
      <c r="AF718" s="43"/>
    </row>
    <row r="719" ht="15.75" customHeight="1">
      <c r="AF719" s="43"/>
    </row>
    <row r="720" ht="15.75" customHeight="1">
      <c r="AF720" s="43"/>
    </row>
    <row r="721" ht="15.75" customHeight="1">
      <c r="AF721" s="43"/>
    </row>
    <row r="722" ht="15.75" customHeight="1">
      <c r="AF722" s="43"/>
    </row>
    <row r="723" ht="15.75" customHeight="1">
      <c r="AF723" s="43"/>
    </row>
    <row r="724" ht="15.75" customHeight="1">
      <c r="AF724" s="43"/>
    </row>
    <row r="725" ht="15.75" customHeight="1">
      <c r="AF725" s="43"/>
    </row>
    <row r="726" ht="15.75" customHeight="1">
      <c r="AF726" s="43"/>
    </row>
    <row r="727" ht="15.75" customHeight="1">
      <c r="AF727" s="43"/>
    </row>
    <row r="728" ht="15.75" customHeight="1">
      <c r="AF728" s="43"/>
    </row>
    <row r="729" ht="15.75" customHeight="1">
      <c r="AF729" s="43"/>
    </row>
    <row r="730" ht="15.75" customHeight="1">
      <c r="AF730" s="43"/>
    </row>
    <row r="731" ht="15.75" customHeight="1">
      <c r="AF731" s="43"/>
    </row>
    <row r="732" ht="15.75" customHeight="1">
      <c r="AF732" s="43"/>
    </row>
    <row r="733" ht="15.75" customHeight="1">
      <c r="AF733" s="43"/>
    </row>
    <row r="734" ht="15.75" customHeight="1">
      <c r="AF734" s="43"/>
    </row>
    <row r="735" ht="15.75" customHeight="1">
      <c r="AF735" s="43"/>
    </row>
    <row r="736" ht="15.75" customHeight="1">
      <c r="AF736" s="43"/>
    </row>
    <row r="737" ht="15.75" customHeight="1">
      <c r="AF737" s="43"/>
    </row>
    <row r="738" ht="15.75" customHeight="1">
      <c r="AF738" s="43"/>
    </row>
    <row r="739" ht="15.75" customHeight="1">
      <c r="AF739" s="43"/>
    </row>
    <row r="740" ht="15.75" customHeight="1">
      <c r="AF740" s="43"/>
    </row>
    <row r="741" ht="15.75" customHeight="1">
      <c r="AF741" s="43"/>
    </row>
    <row r="742" ht="15.75" customHeight="1">
      <c r="AF742" s="43"/>
    </row>
    <row r="743" ht="15.75" customHeight="1">
      <c r="AF743" s="43"/>
    </row>
    <row r="744" ht="15.75" customHeight="1">
      <c r="AF744" s="43"/>
    </row>
    <row r="745" ht="15.75" customHeight="1">
      <c r="AF745" s="43"/>
    </row>
    <row r="746" ht="15.75" customHeight="1">
      <c r="AF746" s="43"/>
    </row>
    <row r="747" ht="15.75" customHeight="1">
      <c r="AF747" s="43"/>
    </row>
    <row r="748" ht="15.75" customHeight="1">
      <c r="AF748" s="43"/>
    </row>
    <row r="749" ht="15.75" customHeight="1">
      <c r="AF749" s="43"/>
    </row>
    <row r="750" ht="15.75" customHeight="1">
      <c r="AF750" s="43"/>
    </row>
    <row r="751" ht="15.75" customHeight="1">
      <c r="AF751" s="43"/>
    </row>
    <row r="752" ht="15.75" customHeight="1">
      <c r="AF752" s="43"/>
    </row>
    <row r="753" ht="15.75" customHeight="1">
      <c r="AF753" s="43"/>
    </row>
    <row r="754" ht="15.75" customHeight="1">
      <c r="AF754" s="43"/>
    </row>
    <row r="755" ht="15.75" customHeight="1">
      <c r="AF755" s="43"/>
    </row>
    <row r="756" ht="15.75" customHeight="1">
      <c r="AF756" s="43"/>
    </row>
    <row r="757" ht="15.75" customHeight="1">
      <c r="AF757" s="43"/>
    </row>
    <row r="758" ht="15.75" customHeight="1">
      <c r="AF758" s="43"/>
    </row>
    <row r="759" ht="15.75" customHeight="1">
      <c r="AF759" s="43"/>
    </row>
    <row r="760" ht="15.75" customHeight="1">
      <c r="AF760" s="43"/>
    </row>
    <row r="761" ht="15.75" customHeight="1">
      <c r="AF761" s="43"/>
    </row>
    <row r="762" ht="15.75" customHeight="1">
      <c r="AF762" s="43"/>
    </row>
    <row r="763" ht="15.75" customHeight="1">
      <c r="AF763" s="43"/>
    </row>
    <row r="764" ht="15.75" customHeight="1">
      <c r="AF764" s="43"/>
    </row>
    <row r="765" ht="15.75" customHeight="1">
      <c r="AF765" s="43"/>
    </row>
    <row r="766" ht="15.75" customHeight="1">
      <c r="AF766" s="43"/>
    </row>
    <row r="767" ht="15.75" customHeight="1">
      <c r="AF767" s="43"/>
    </row>
    <row r="768" ht="15.75" customHeight="1">
      <c r="AF768" s="43"/>
    </row>
    <row r="769" ht="15.75" customHeight="1">
      <c r="AF769" s="43"/>
    </row>
    <row r="770" ht="15.75" customHeight="1">
      <c r="AF770" s="43"/>
    </row>
    <row r="771" ht="15.75" customHeight="1">
      <c r="AF771" s="43"/>
    </row>
    <row r="772" ht="15.75" customHeight="1">
      <c r="AF772" s="43"/>
    </row>
    <row r="773" ht="15.75" customHeight="1">
      <c r="AF773" s="43"/>
    </row>
    <row r="774" ht="15.75" customHeight="1">
      <c r="AF774" s="43"/>
    </row>
    <row r="775" ht="15.75" customHeight="1">
      <c r="AF775" s="43"/>
    </row>
    <row r="776" ht="15.75" customHeight="1">
      <c r="AF776" s="43"/>
    </row>
    <row r="777" ht="15.75" customHeight="1">
      <c r="AF777" s="43"/>
    </row>
    <row r="778" ht="15.75" customHeight="1">
      <c r="AF778" s="43"/>
    </row>
    <row r="779" ht="15.75" customHeight="1">
      <c r="AF779" s="43"/>
    </row>
    <row r="780" ht="15.75" customHeight="1">
      <c r="AF780" s="43"/>
    </row>
    <row r="781" ht="15.75" customHeight="1">
      <c r="AF781" s="43"/>
    </row>
    <row r="782" ht="15.75" customHeight="1">
      <c r="AF782" s="43"/>
    </row>
    <row r="783" ht="15.75" customHeight="1">
      <c r="AF783" s="43"/>
    </row>
    <row r="784" ht="15.75" customHeight="1">
      <c r="AF784" s="43"/>
    </row>
    <row r="785" ht="15.75" customHeight="1">
      <c r="AF785" s="43"/>
    </row>
    <row r="786" ht="15.75" customHeight="1">
      <c r="AF786" s="43"/>
    </row>
    <row r="787" ht="15.75" customHeight="1">
      <c r="AF787" s="43"/>
    </row>
    <row r="788" ht="15.75" customHeight="1">
      <c r="AF788" s="43"/>
    </row>
    <row r="789" ht="15.75" customHeight="1">
      <c r="AF789" s="43"/>
    </row>
    <row r="790" ht="15.75" customHeight="1">
      <c r="AF790" s="43"/>
    </row>
    <row r="791" ht="15.75" customHeight="1">
      <c r="AF791" s="43"/>
    </row>
    <row r="792" ht="15.75" customHeight="1">
      <c r="AF792" s="43"/>
    </row>
    <row r="793" ht="15.75" customHeight="1">
      <c r="AF793" s="43"/>
    </row>
    <row r="794" ht="15.75" customHeight="1">
      <c r="AF794" s="43"/>
    </row>
    <row r="795" ht="15.75" customHeight="1">
      <c r="AF795" s="43"/>
    </row>
    <row r="796" ht="15.75" customHeight="1">
      <c r="AF796" s="43"/>
    </row>
    <row r="797" ht="15.75" customHeight="1">
      <c r="AF797" s="43"/>
    </row>
    <row r="798" ht="15.75" customHeight="1">
      <c r="AF798" s="43"/>
    </row>
    <row r="799" ht="15.75" customHeight="1">
      <c r="AF799" s="43"/>
    </row>
    <row r="800" ht="15.75" customHeight="1">
      <c r="AF800" s="43"/>
    </row>
    <row r="801" ht="15.75" customHeight="1">
      <c r="AF801" s="43"/>
    </row>
    <row r="802" ht="15.75" customHeight="1">
      <c r="AF802" s="43"/>
    </row>
    <row r="803" ht="15.75" customHeight="1">
      <c r="AF803" s="43"/>
    </row>
    <row r="804" ht="15.75" customHeight="1">
      <c r="AF804" s="43"/>
    </row>
    <row r="805" ht="15.75" customHeight="1">
      <c r="AF805" s="43"/>
    </row>
    <row r="806" ht="15.75" customHeight="1">
      <c r="AF806" s="43"/>
    </row>
    <row r="807" ht="15.75" customHeight="1">
      <c r="AF807" s="43"/>
    </row>
    <row r="808" ht="15.75" customHeight="1">
      <c r="AF808" s="43"/>
    </row>
    <row r="809" ht="15.75" customHeight="1">
      <c r="AF809" s="43"/>
    </row>
    <row r="810" ht="15.75" customHeight="1">
      <c r="AF810" s="43"/>
    </row>
    <row r="811" ht="15.75" customHeight="1">
      <c r="AF811" s="43"/>
    </row>
    <row r="812" ht="15.75" customHeight="1">
      <c r="AF812" s="43"/>
    </row>
    <row r="813" ht="15.75" customHeight="1">
      <c r="AF813" s="43"/>
    </row>
    <row r="814" ht="15.75" customHeight="1">
      <c r="AF814" s="43"/>
    </row>
    <row r="815" ht="15.75" customHeight="1">
      <c r="AF815" s="43"/>
    </row>
    <row r="816" ht="15.75" customHeight="1">
      <c r="AF816" s="43"/>
    </row>
    <row r="817" ht="15.75" customHeight="1">
      <c r="AF817" s="43"/>
    </row>
    <row r="818" ht="15.75" customHeight="1">
      <c r="AF818" s="43"/>
    </row>
    <row r="819" ht="15.75" customHeight="1">
      <c r="AF819" s="43"/>
    </row>
    <row r="820" ht="15.75" customHeight="1">
      <c r="AF820" s="43"/>
    </row>
    <row r="821" ht="15.75" customHeight="1">
      <c r="AF821" s="43"/>
    </row>
    <row r="822" ht="15.75" customHeight="1">
      <c r="AF822" s="43"/>
    </row>
    <row r="823" ht="15.75" customHeight="1">
      <c r="AF823" s="43"/>
    </row>
    <row r="824" ht="15.75" customHeight="1">
      <c r="AF824" s="43"/>
    </row>
    <row r="825" ht="15.75" customHeight="1">
      <c r="AF825" s="43"/>
    </row>
    <row r="826" ht="15.75" customHeight="1">
      <c r="AF826" s="43"/>
    </row>
    <row r="827" ht="15.75" customHeight="1">
      <c r="AF827" s="43"/>
    </row>
    <row r="828" ht="15.75" customHeight="1">
      <c r="AF828" s="43"/>
    </row>
    <row r="829" ht="15.75" customHeight="1">
      <c r="AF829" s="43"/>
    </row>
    <row r="830" ht="15.75" customHeight="1">
      <c r="AF830" s="43"/>
    </row>
    <row r="831" ht="15.75" customHeight="1">
      <c r="AF831" s="43"/>
    </row>
    <row r="832" ht="15.75" customHeight="1">
      <c r="AF832" s="43"/>
    </row>
    <row r="833" ht="15.75" customHeight="1">
      <c r="AF833" s="43"/>
    </row>
    <row r="834" ht="15.75" customHeight="1">
      <c r="AF834" s="43"/>
    </row>
    <row r="835" ht="15.75" customHeight="1">
      <c r="AF835" s="43"/>
    </row>
    <row r="836" ht="15.75" customHeight="1">
      <c r="AF836" s="43"/>
    </row>
    <row r="837" ht="15.75" customHeight="1">
      <c r="AF837" s="43"/>
    </row>
    <row r="838" ht="15.75" customHeight="1">
      <c r="AF838" s="43"/>
    </row>
    <row r="839" ht="15.75" customHeight="1">
      <c r="AF839" s="43"/>
    </row>
    <row r="840" ht="15.75" customHeight="1">
      <c r="AF840" s="43"/>
    </row>
    <row r="841" ht="15.75" customHeight="1">
      <c r="AF841" s="43"/>
    </row>
    <row r="842" ht="15.75" customHeight="1">
      <c r="AF842" s="43"/>
    </row>
    <row r="843" ht="15.75" customHeight="1">
      <c r="AF843" s="43"/>
    </row>
    <row r="844" ht="15.75" customHeight="1">
      <c r="AF844" s="43"/>
    </row>
    <row r="845" ht="15.75" customHeight="1">
      <c r="AF845" s="43"/>
    </row>
    <row r="846" ht="15.75" customHeight="1">
      <c r="AF846" s="43"/>
    </row>
    <row r="847" ht="15.75" customHeight="1">
      <c r="AF847" s="43"/>
    </row>
    <row r="848" ht="15.75" customHeight="1">
      <c r="AF848" s="43"/>
    </row>
    <row r="849" ht="15.75" customHeight="1">
      <c r="AF849" s="43"/>
    </row>
    <row r="850" ht="15.75" customHeight="1">
      <c r="AF850" s="43"/>
    </row>
    <row r="851" ht="15.75" customHeight="1">
      <c r="AF851" s="43"/>
    </row>
    <row r="852" ht="15.75" customHeight="1">
      <c r="AF852" s="43"/>
    </row>
    <row r="853" ht="15.75" customHeight="1">
      <c r="AF853" s="43"/>
    </row>
    <row r="854" ht="15.75" customHeight="1">
      <c r="AF854" s="43"/>
    </row>
    <row r="855" ht="15.75" customHeight="1">
      <c r="AF855" s="43"/>
    </row>
    <row r="856" ht="15.75" customHeight="1">
      <c r="AF856" s="43"/>
    </row>
    <row r="857" ht="15.75" customHeight="1">
      <c r="AF857" s="43"/>
    </row>
    <row r="858" ht="15.75" customHeight="1">
      <c r="AF858" s="43"/>
    </row>
    <row r="859" ht="15.75" customHeight="1">
      <c r="AF859" s="43"/>
    </row>
    <row r="860" ht="15.75" customHeight="1">
      <c r="AF860" s="43"/>
    </row>
    <row r="861" ht="15.75" customHeight="1">
      <c r="AF861" s="43"/>
    </row>
    <row r="862" ht="15.75" customHeight="1">
      <c r="AF862" s="43"/>
    </row>
    <row r="863" ht="15.75" customHeight="1">
      <c r="AF863" s="43"/>
    </row>
    <row r="864" ht="15.75" customHeight="1">
      <c r="AF864" s="43"/>
    </row>
    <row r="865" ht="15.75" customHeight="1">
      <c r="AF865" s="43"/>
    </row>
    <row r="866" ht="15.75" customHeight="1">
      <c r="AF866" s="43"/>
    </row>
    <row r="867" ht="15.75" customHeight="1">
      <c r="AF867" s="43"/>
    </row>
    <row r="868" ht="15.75" customHeight="1">
      <c r="AF868" s="43"/>
    </row>
    <row r="869" ht="15.75" customHeight="1">
      <c r="AF869" s="43"/>
    </row>
    <row r="870" ht="15.75" customHeight="1">
      <c r="AF870" s="43"/>
    </row>
    <row r="871" ht="15.75" customHeight="1">
      <c r="AF871" s="43"/>
    </row>
    <row r="872" ht="15.75" customHeight="1">
      <c r="AF872" s="43"/>
    </row>
    <row r="873" ht="15.75" customHeight="1">
      <c r="AF873" s="43"/>
    </row>
    <row r="874" ht="15.75" customHeight="1">
      <c r="AF874" s="43"/>
    </row>
    <row r="875" ht="15.75" customHeight="1">
      <c r="AF875" s="43"/>
    </row>
    <row r="876" ht="15.75" customHeight="1">
      <c r="AF876" s="43"/>
    </row>
    <row r="877" ht="15.75" customHeight="1">
      <c r="AF877" s="43"/>
    </row>
    <row r="878" ht="15.75" customHeight="1">
      <c r="AF878" s="43"/>
    </row>
    <row r="879" ht="15.75" customHeight="1">
      <c r="AF879" s="43"/>
    </row>
    <row r="880" ht="15.75" customHeight="1">
      <c r="AF880" s="43"/>
    </row>
    <row r="881" ht="15.75" customHeight="1">
      <c r="AF881" s="43"/>
    </row>
    <row r="882" ht="15.75" customHeight="1">
      <c r="AF882" s="43"/>
    </row>
    <row r="883" ht="15.75" customHeight="1">
      <c r="AF883" s="43"/>
    </row>
    <row r="884" ht="15.75" customHeight="1">
      <c r="AF884" s="43"/>
    </row>
    <row r="885" ht="15.75" customHeight="1">
      <c r="AF885" s="43"/>
    </row>
    <row r="886" ht="15.75" customHeight="1">
      <c r="AF886" s="43"/>
    </row>
    <row r="887" ht="15.75" customHeight="1">
      <c r="AF887" s="43"/>
    </row>
    <row r="888" ht="15.75" customHeight="1">
      <c r="AF888" s="43"/>
    </row>
    <row r="889" ht="15.75" customHeight="1">
      <c r="AF889" s="43"/>
    </row>
    <row r="890" ht="15.75" customHeight="1">
      <c r="AF890" s="43"/>
    </row>
    <row r="891" ht="15.75" customHeight="1">
      <c r="AF891" s="43"/>
    </row>
    <row r="892" ht="15.75" customHeight="1">
      <c r="AF892" s="43"/>
    </row>
    <row r="893" ht="15.75" customHeight="1">
      <c r="AF893" s="43"/>
    </row>
    <row r="894" ht="15.75" customHeight="1">
      <c r="AF894" s="43"/>
    </row>
    <row r="895" ht="15.75" customHeight="1">
      <c r="AF895" s="43"/>
    </row>
    <row r="896" ht="15.75" customHeight="1">
      <c r="AF896" s="43"/>
    </row>
    <row r="897" ht="15.75" customHeight="1">
      <c r="AF897" s="43"/>
    </row>
    <row r="898" ht="15.75" customHeight="1">
      <c r="AF898" s="43"/>
    </row>
    <row r="899" ht="15.75" customHeight="1">
      <c r="AF899" s="43"/>
    </row>
    <row r="900" ht="15.75" customHeight="1">
      <c r="AF900" s="43"/>
    </row>
    <row r="901" ht="15.75" customHeight="1">
      <c r="AF901" s="43"/>
    </row>
    <row r="902" ht="15.75" customHeight="1">
      <c r="AF902" s="43"/>
    </row>
    <row r="903" ht="15.75" customHeight="1">
      <c r="AF903" s="43"/>
    </row>
    <row r="904" ht="15.75" customHeight="1">
      <c r="AF904" s="43"/>
    </row>
    <row r="905" ht="15.75" customHeight="1">
      <c r="AF905" s="43"/>
    </row>
    <row r="906" ht="15.75" customHeight="1">
      <c r="AF906" s="43"/>
    </row>
    <row r="907" ht="15.75" customHeight="1">
      <c r="AF907" s="43"/>
    </row>
    <row r="908" ht="15.75" customHeight="1">
      <c r="AF908" s="43"/>
    </row>
    <row r="909" ht="15.75" customHeight="1">
      <c r="AF909" s="43"/>
    </row>
    <row r="910" ht="15.75" customHeight="1">
      <c r="AF910" s="43"/>
    </row>
    <row r="911" ht="15.75" customHeight="1">
      <c r="AF911" s="43"/>
    </row>
    <row r="912" ht="15.75" customHeight="1">
      <c r="AF912" s="43"/>
    </row>
    <row r="913" ht="15.75" customHeight="1">
      <c r="AF913" s="43"/>
    </row>
    <row r="914" ht="15.75" customHeight="1">
      <c r="AF914" s="43"/>
    </row>
    <row r="915" ht="15.75" customHeight="1">
      <c r="AF915" s="43"/>
    </row>
    <row r="916" ht="15.75" customHeight="1">
      <c r="AF916" s="43"/>
    </row>
    <row r="917" ht="15.75" customHeight="1">
      <c r="AF917" s="43"/>
    </row>
    <row r="918" ht="15.75" customHeight="1">
      <c r="AF918" s="43"/>
    </row>
    <row r="919" ht="15.75" customHeight="1">
      <c r="AF919" s="43"/>
    </row>
    <row r="920" ht="15.75" customHeight="1">
      <c r="AF920" s="43"/>
    </row>
    <row r="921" ht="15.75" customHeight="1">
      <c r="AF921" s="43"/>
    </row>
    <row r="922" ht="15.75" customHeight="1">
      <c r="AF922" s="43"/>
    </row>
    <row r="923" ht="15.75" customHeight="1">
      <c r="AF923" s="43"/>
    </row>
    <row r="924" ht="15.75" customHeight="1">
      <c r="AF924" s="43"/>
    </row>
    <row r="925" ht="15.75" customHeight="1">
      <c r="AF925" s="43"/>
    </row>
    <row r="926" ht="15.75" customHeight="1">
      <c r="AF926" s="43"/>
    </row>
    <row r="927" ht="15.75" customHeight="1">
      <c r="AF927" s="43"/>
    </row>
    <row r="928" ht="15.75" customHeight="1">
      <c r="AF928" s="43"/>
    </row>
    <row r="929" ht="15.75" customHeight="1">
      <c r="AF929" s="43"/>
    </row>
    <row r="930" ht="15.75" customHeight="1">
      <c r="AF930" s="43"/>
    </row>
    <row r="931" ht="15.75" customHeight="1">
      <c r="AF931" s="43"/>
    </row>
    <row r="932" ht="15.75" customHeight="1">
      <c r="AF932" s="43"/>
    </row>
    <row r="933" ht="15.75" customHeight="1">
      <c r="AF933" s="43"/>
    </row>
    <row r="934" ht="15.75" customHeight="1">
      <c r="AF934" s="43"/>
    </row>
    <row r="935" ht="15.75" customHeight="1">
      <c r="AF935" s="43"/>
    </row>
    <row r="936" ht="15.75" customHeight="1">
      <c r="AF936" s="4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20.0"/>
    <col customWidth="1" min="10" max="10" width="20.75"/>
    <col customWidth="1" min="12" max="12" width="27.0"/>
    <col customWidth="1" min="14" max="14" width="36.88"/>
  </cols>
  <sheetData>
    <row r="1" ht="40.5" customHeight="1">
      <c r="A1" s="44" t="s">
        <v>0</v>
      </c>
      <c r="B1" s="44" t="s">
        <v>1</v>
      </c>
      <c r="C1" s="44" t="s">
        <v>2</v>
      </c>
      <c r="D1" s="44" t="s">
        <v>482</v>
      </c>
      <c r="E1" s="44" t="s">
        <v>483</v>
      </c>
      <c r="F1" s="44" t="s">
        <v>484</v>
      </c>
      <c r="G1" s="2" t="s">
        <v>485</v>
      </c>
      <c r="H1" s="45" t="s">
        <v>486</v>
      </c>
      <c r="I1" s="46" t="s">
        <v>487</v>
      </c>
      <c r="J1" s="45" t="s">
        <v>488</v>
      </c>
      <c r="K1" s="46" t="s">
        <v>489</v>
      </c>
      <c r="L1" s="45" t="s">
        <v>490</v>
      </c>
      <c r="M1" s="46" t="s">
        <v>491</v>
      </c>
      <c r="N1" s="47" t="s">
        <v>492</v>
      </c>
      <c r="O1" s="48" t="s">
        <v>13</v>
      </c>
    </row>
    <row r="2" ht="15.75" customHeight="1">
      <c r="A2" s="8">
        <v>1412.0</v>
      </c>
      <c r="B2" s="8" t="s">
        <v>48</v>
      </c>
      <c r="C2" s="9" t="str">
        <f t="shared" ref="C2:C25" si="1">CONCATENATE(D2,"_",E2,"_",G2)</f>
        <v>ADTV-PMP-01_TURBOHSD_DISPATCH</v>
      </c>
      <c r="D2" s="18" t="s">
        <v>493</v>
      </c>
      <c r="E2" s="18" t="s">
        <v>494</v>
      </c>
      <c r="F2" s="18" t="s">
        <v>495</v>
      </c>
      <c r="G2" s="12" t="s">
        <v>496</v>
      </c>
      <c r="H2" s="21" t="s">
        <v>497</v>
      </c>
      <c r="I2" s="19">
        <v>0.0</v>
      </c>
      <c r="J2" s="21" t="s">
        <v>498</v>
      </c>
      <c r="K2" s="19">
        <v>0.0</v>
      </c>
      <c r="L2" s="21" t="s">
        <v>499</v>
      </c>
      <c r="M2" s="19">
        <v>1.0</v>
      </c>
      <c r="N2" s="21" t="s">
        <v>500</v>
      </c>
      <c r="O2" s="19">
        <v>0.0</v>
      </c>
    </row>
    <row r="3" ht="15.75" customHeight="1">
      <c r="A3" s="8">
        <v>1412.0</v>
      </c>
      <c r="B3" s="8" t="s">
        <v>48</v>
      </c>
      <c r="C3" s="9" t="str">
        <f t="shared" si="1"/>
        <v>ADTV-PMP-02_TURBOHSD_DISPATCH</v>
      </c>
      <c r="D3" s="18" t="s">
        <v>501</v>
      </c>
      <c r="E3" s="18" t="s">
        <v>494</v>
      </c>
      <c r="F3" s="18" t="s">
        <v>495</v>
      </c>
      <c r="G3" s="12" t="s">
        <v>496</v>
      </c>
      <c r="H3" s="21" t="s">
        <v>502</v>
      </c>
      <c r="I3" s="19">
        <v>0.0</v>
      </c>
      <c r="J3" s="21" t="s">
        <v>503</v>
      </c>
      <c r="K3" s="19">
        <v>0.0</v>
      </c>
      <c r="L3" s="21" t="s">
        <v>504</v>
      </c>
      <c r="M3" s="19">
        <v>1.0</v>
      </c>
      <c r="N3" s="49" t="s">
        <v>505</v>
      </c>
      <c r="O3" s="19">
        <v>0.0</v>
      </c>
    </row>
    <row r="4" ht="15.75" customHeight="1">
      <c r="A4" s="8">
        <v>1412.0</v>
      </c>
      <c r="B4" s="8" t="s">
        <v>48</v>
      </c>
      <c r="C4" s="9" t="str">
        <f t="shared" si="1"/>
        <v>ADTV-PMP-03_POWERMS_DISPATCH</v>
      </c>
      <c r="D4" s="18" t="s">
        <v>506</v>
      </c>
      <c r="E4" s="18" t="s">
        <v>507</v>
      </c>
      <c r="F4" s="18" t="s">
        <v>495</v>
      </c>
      <c r="G4" s="12" t="s">
        <v>496</v>
      </c>
      <c r="H4" s="21" t="s">
        <v>508</v>
      </c>
      <c r="I4" s="19">
        <v>0.0</v>
      </c>
      <c r="J4" s="21" t="s">
        <v>509</v>
      </c>
      <c r="K4" s="19">
        <v>0.0</v>
      </c>
      <c r="L4" s="21" t="s">
        <v>510</v>
      </c>
      <c r="M4" s="19">
        <v>1.0</v>
      </c>
      <c r="N4" s="49" t="s">
        <v>511</v>
      </c>
      <c r="O4" s="19">
        <v>0.0</v>
      </c>
    </row>
    <row r="5" ht="15.75" customHeight="1">
      <c r="A5" s="8">
        <v>1412.0</v>
      </c>
      <c r="B5" s="8" t="s">
        <v>48</v>
      </c>
      <c r="C5" s="9" t="str">
        <f t="shared" si="1"/>
        <v>ADTV-PMP-04_POWERMS_DISPATCH</v>
      </c>
      <c r="D5" s="18" t="s">
        <v>512</v>
      </c>
      <c r="E5" s="18" t="s">
        <v>507</v>
      </c>
      <c r="F5" s="18" t="s">
        <v>495</v>
      </c>
      <c r="G5" s="12" t="s">
        <v>496</v>
      </c>
      <c r="H5" s="21" t="s">
        <v>513</v>
      </c>
      <c r="I5" s="19">
        <v>0.0</v>
      </c>
      <c r="J5" s="21" t="s">
        <v>514</v>
      </c>
      <c r="K5" s="19">
        <v>0.0</v>
      </c>
      <c r="L5" s="21" t="s">
        <v>515</v>
      </c>
      <c r="M5" s="19">
        <v>1.0</v>
      </c>
      <c r="N5" s="49" t="s">
        <v>516</v>
      </c>
      <c r="O5" s="19">
        <v>0.0</v>
      </c>
    </row>
    <row r="6" ht="15.75" customHeight="1">
      <c r="A6" s="8">
        <v>1412.0</v>
      </c>
      <c r="B6" s="8" t="s">
        <v>48</v>
      </c>
      <c r="C6" s="9" t="str">
        <f t="shared" si="1"/>
        <v>PMP-01_BS VI MS_DISPATCH</v>
      </c>
      <c r="D6" s="18" t="s">
        <v>517</v>
      </c>
      <c r="E6" s="18" t="s">
        <v>227</v>
      </c>
      <c r="F6" s="18" t="s">
        <v>495</v>
      </c>
      <c r="G6" s="12" t="s">
        <v>496</v>
      </c>
      <c r="H6" s="21" t="s">
        <v>518</v>
      </c>
      <c r="I6" s="19">
        <v>0.0</v>
      </c>
      <c r="J6" s="21" t="s">
        <v>519</v>
      </c>
      <c r="K6" s="19">
        <v>0.0</v>
      </c>
      <c r="L6" s="21" t="s">
        <v>520</v>
      </c>
      <c r="M6" s="19">
        <v>1.0</v>
      </c>
      <c r="N6" s="49" t="s">
        <v>521</v>
      </c>
      <c r="O6" s="19">
        <v>0.0</v>
      </c>
    </row>
    <row r="7" ht="15.75" customHeight="1">
      <c r="A7" s="8">
        <v>1412.0</v>
      </c>
      <c r="B7" s="8" t="s">
        <v>48</v>
      </c>
      <c r="C7" s="9" t="str">
        <f t="shared" si="1"/>
        <v>PMP-02_BS VI MS_DISPATCH</v>
      </c>
      <c r="D7" s="18" t="s">
        <v>522</v>
      </c>
      <c r="E7" s="18" t="s">
        <v>227</v>
      </c>
      <c r="F7" s="18" t="s">
        <v>495</v>
      </c>
      <c r="G7" s="12" t="s">
        <v>496</v>
      </c>
      <c r="H7" s="21" t="s">
        <v>523</v>
      </c>
      <c r="I7" s="19">
        <v>0.0</v>
      </c>
      <c r="J7" s="21" t="s">
        <v>524</v>
      </c>
      <c r="K7" s="19">
        <v>0.0</v>
      </c>
      <c r="L7" s="21" t="s">
        <v>525</v>
      </c>
      <c r="M7" s="19">
        <v>1.0</v>
      </c>
      <c r="N7" s="49" t="s">
        <v>526</v>
      </c>
      <c r="O7" s="19">
        <v>0.0</v>
      </c>
    </row>
    <row r="8" ht="15.75" customHeight="1">
      <c r="A8" s="8">
        <v>1412.0</v>
      </c>
      <c r="B8" s="8" t="s">
        <v>48</v>
      </c>
      <c r="C8" s="9" t="str">
        <f t="shared" si="1"/>
        <v>PMP-03_ETHANOL_Both</v>
      </c>
      <c r="D8" s="18" t="s">
        <v>527</v>
      </c>
      <c r="E8" s="18" t="s">
        <v>140</v>
      </c>
      <c r="F8" s="18" t="s">
        <v>528</v>
      </c>
      <c r="G8" s="12" t="s">
        <v>528</v>
      </c>
      <c r="H8" s="21" t="s">
        <v>529</v>
      </c>
      <c r="I8" s="19">
        <v>0.0</v>
      </c>
      <c r="J8" s="21" t="s">
        <v>530</v>
      </c>
      <c r="K8" s="19">
        <v>0.0</v>
      </c>
      <c r="L8" s="21" t="s">
        <v>531</v>
      </c>
      <c r="M8" s="19">
        <v>1.0</v>
      </c>
      <c r="N8" s="49" t="s">
        <v>532</v>
      </c>
      <c r="O8" s="19">
        <v>0.0</v>
      </c>
    </row>
    <row r="9" ht="15.75" customHeight="1">
      <c r="A9" s="8">
        <v>1412.0</v>
      </c>
      <c r="B9" s="8" t="s">
        <v>48</v>
      </c>
      <c r="C9" s="9" t="str">
        <f t="shared" si="1"/>
        <v>PMP-04_BS VI MS_DISPATCH</v>
      </c>
      <c r="D9" s="18" t="s">
        <v>533</v>
      </c>
      <c r="E9" s="18" t="s">
        <v>227</v>
      </c>
      <c r="F9" s="18" t="s">
        <v>495</v>
      </c>
      <c r="G9" s="12" t="s">
        <v>496</v>
      </c>
      <c r="H9" s="21" t="s">
        <v>534</v>
      </c>
      <c r="I9" s="19">
        <v>0.0</v>
      </c>
      <c r="J9" s="21" t="s">
        <v>535</v>
      </c>
      <c r="K9" s="19">
        <v>0.0</v>
      </c>
      <c r="L9" s="21" t="s">
        <v>536</v>
      </c>
      <c r="M9" s="19">
        <v>1.0</v>
      </c>
      <c r="N9" s="49" t="s">
        <v>537</v>
      </c>
      <c r="O9" s="19">
        <v>0.0</v>
      </c>
    </row>
    <row r="10" ht="15.75" customHeight="1">
      <c r="A10" s="8">
        <v>1412.0</v>
      </c>
      <c r="B10" s="8" t="s">
        <v>48</v>
      </c>
      <c r="C10" s="9" t="str">
        <f t="shared" si="1"/>
        <v>PMP-05_BS VI MS_DISPATCH</v>
      </c>
      <c r="D10" s="18" t="s">
        <v>538</v>
      </c>
      <c r="E10" s="18" t="s">
        <v>227</v>
      </c>
      <c r="F10" s="18" t="s">
        <v>495</v>
      </c>
      <c r="G10" s="12" t="s">
        <v>496</v>
      </c>
      <c r="H10" s="21" t="s">
        <v>539</v>
      </c>
      <c r="I10" s="19">
        <v>0.0</v>
      </c>
      <c r="J10" s="21" t="s">
        <v>540</v>
      </c>
      <c r="K10" s="19">
        <v>0.0</v>
      </c>
      <c r="L10" s="21" t="s">
        <v>541</v>
      </c>
      <c r="M10" s="19">
        <v>1.0</v>
      </c>
      <c r="N10" s="49" t="s">
        <v>542</v>
      </c>
      <c r="O10" s="19">
        <v>0.0</v>
      </c>
    </row>
    <row r="11" ht="15.75" customHeight="1">
      <c r="A11" s="8">
        <v>1412.0</v>
      </c>
      <c r="B11" s="8" t="s">
        <v>48</v>
      </c>
      <c r="C11" s="9" t="str">
        <f t="shared" si="1"/>
        <v>PMP-06_BS VI HSD_DISPATCH</v>
      </c>
      <c r="D11" s="18" t="s">
        <v>543</v>
      </c>
      <c r="E11" s="18" t="s">
        <v>51</v>
      </c>
      <c r="F11" s="18" t="s">
        <v>495</v>
      </c>
      <c r="G11" s="12" t="s">
        <v>496</v>
      </c>
      <c r="H11" s="21" t="s">
        <v>544</v>
      </c>
      <c r="I11" s="19">
        <v>0.0</v>
      </c>
      <c r="J11" s="21" t="s">
        <v>545</v>
      </c>
      <c r="K11" s="19">
        <v>0.0</v>
      </c>
      <c r="L11" s="21" t="s">
        <v>546</v>
      </c>
      <c r="M11" s="19">
        <v>1.0</v>
      </c>
      <c r="N11" s="49" t="s">
        <v>547</v>
      </c>
      <c r="O11" s="19">
        <v>0.0</v>
      </c>
    </row>
    <row r="12" ht="15.75" customHeight="1">
      <c r="A12" s="8">
        <v>1412.0</v>
      </c>
      <c r="B12" s="8" t="s">
        <v>48</v>
      </c>
      <c r="C12" s="9" t="str">
        <f t="shared" si="1"/>
        <v>PMP-07_BS VI HSD_DISPATCH</v>
      </c>
      <c r="D12" s="18" t="s">
        <v>548</v>
      </c>
      <c r="E12" s="18" t="s">
        <v>51</v>
      </c>
      <c r="F12" s="18" t="s">
        <v>495</v>
      </c>
      <c r="G12" s="12" t="s">
        <v>496</v>
      </c>
      <c r="H12" s="21" t="s">
        <v>549</v>
      </c>
      <c r="I12" s="19">
        <v>0.0</v>
      </c>
      <c r="J12" s="21" t="s">
        <v>550</v>
      </c>
      <c r="K12" s="19">
        <v>0.0</v>
      </c>
      <c r="L12" s="21" t="s">
        <v>551</v>
      </c>
      <c r="M12" s="19">
        <v>1.0</v>
      </c>
      <c r="N12" s="49" t="s">
        <v>552</v>
      </c>
      <c r="O12" s="19">
        <v>0.0</v>
      </c>
    </row>
    <row r="13" ht="15.75" customHeight="1">
      <c r="A13" s="8">
        <v>1412.0</v>
      </c>
      <c r="B13" s="8" t="s">
        <v>48</v>
      </c>
      <c r="C13" s="9" t="str">
        <f t="shared" si="1"/>
        <v>PMP-08_BS VI HSD_DISPATCH</v>
      </c>
      <c r="D13" s="18" t="s">
        <v>553</v>
      </c>
      <c r="E13" s="18" t="s">
        <v>51</v>
      </c>
      <c r="F13" s="18" t="s">
        <v>495</v>
      </c>
      <c r="G13" s="12" t="s">
        <v>496</v>
      </c>
      <c r="H13" s="21" t="s">
        <v>554</v>
      </c>
      <c r="I13" s="19">
        <v>0.0</v>
      </c>
      <c r="J13" s="21" t="s">
        <v>555</v>
      </c>
      <c r="K13" s="19">
        <v>0.0</v>
      </c>
      <c r="L13" s="21" t="s">
        <v>556</v>
      </c>
      <c r="M13" s="19">
        <v>1.0</v>
      </c>
      <c r="N13" s="49" t="s">
        <v>557</v>
      </c>
      <c r="O13" s="19">
        <v>0.0</v>
      </c>
    </row>
    <row r="14" ht="15.75" customHeight="1">
      <c r="A14" s="8">
        <v>1412.0</v>
      </c>
      <c r="B14" s="8" t="s">
        <v>48</v>
      </c>
      <c r="C14" s="9" t="str">
        <f t="shared" si="1"/>
        <v>PMP-09_BS VI HSD_DISPATCH</v>
      </c>
      <c r="D14" s="18" t="s">
        <v>558</v>
      </c>
      <c r="E14" s="18" t="s">
        <v>51</v>
      </c>
      <c r="F14" s="18" t="s">
        <v>495</v>
      </c>
      <c r="G14" s="12" t="s">
        <v>496</v>
      </c>
      <c r="H14" s="21" t="s">
        <v>559</v>
      </c>
      <c r="I14" s="19">
        <v>0.0</v>
      </c>
      <c r="J14" s="21" t="s">
        <v>560</v>
      </c>
      <c r="K14" s="19">
        <v>0.0</v>
      </c>
      <c r="L14" s="21" t="s">
        <v>561</v>
      </c>
      <c r="M14" s="19">
        <v>1.0</v>
      </c>
      <c r="N14" s="49" t="s">
        <v>562</v>
      </c>
      <c r="O14" s="19">
        <v>0.0</v>
      </c>
    </row>
    <row r="15" ht="15.75" customHeight="1">
      <c r="A15" s="8">
        <v>1412.0</v>
      </c>
      <c r="B15" s="8" t="s">
        <v>48</v>
      </c>
      <c r="C15" s="9" t="str">
        <f t="shared" si="1"/>
        <v>PMP-10_ETHANOL_Both</v>
      </c>
      <c r="D15" s="18" t="s">
        <v>563</v>
      </c>
      <c r="E15" s="18" t="s">
        <v>140</v>
      </c>
      <c r="F15" s="18" t="s">
        <v>528</v>
      </c>
      <c r="G15" s="12" t="s">
        <v>528</v>
      </c>
      <c r="H15" s="21" t="s">
        <v>564</v>
      </c>
      <c r="I15" s="19">
        <v>0.0</v>
      </c>
      <c r="J15" s="21" t="s">
        <v>565</v>
      </c>
      <c r="K15" s="19">
        <v>0.0</v>
      </c>
      <c r="L15" s="21" t="s">
        <v>566</v>
      </c>
      <c r="M15" s="19">
        <v>1.0</v>
      </c>
      <c r="N15" s="49" t="s">
        <v>567</v>
      </c>
      <c r="O15" s="19">
        <v>0.0</v>
      </c>
    </row>
    <row r="16" ht="15.75" customHeight="1">
      <c r="A16" s="8">
        <v>1412.0</v>
      </c>
      <c r="B16" s="8" t="s">
        <v>48</v>
      </c>
      <c r="C16" s="9" t="str">
        <f t="shared" si="1"/>
        <v>PMP-11_ETHANOL_DISPATCH</v>
      </c>
      <c r="D16" s="18" t="s">
        <v>568</v>
      </c>
      <c r="E16" s="18" t="s">
        <v>140</v>
      </c>
      <c r="F16" s="18" t="s">
        <v>495</v>
      </c>
      <c r="G16" s="12" t="s">
        <v>496</v>
      </c>
      <c r="H16" s="21" t="s">
        <v>569</v>
      </c>
      <c r="I16" s="19">
        <v>0.0</v>
      </c>
      <c r="J16" s="21" t="s">
        <v>570</v>
      </c>
      <c r="K16" s="19">
        <v>0.0</v>
      </c>
      <c r="L16" s="21" t="s">
        <v>571</v>
      </c>
      <c r="M16" s="19">
        <v>1.0</v>
      </c>
      <c r="N16" s="49" t="s">
        <v>572</v>
      </c>
      <c r="O16" s="19">
        <v>0.0</v>
      </c>
    </row>
    <row r="17" ht="15.75" customHeight="1">
      <c r="A17" s="8">
        <v>1412.0</v>
      </c>
      <c r="B17" s="8" t="s">
        <v>48</v>
      </c>
      <c r="C17" s="9" t="str">
        <f t="shared" si="1"/>
        <v>PMP-12_ETHANOL_DISPATCH</v>
      </c>
      <c r="D17" s="18" t="s">
        <v>573</v>
      </c>
      <c r="E17" s="18" t="s">
        <v>140</v>
      </c>
      <c r="F17" s="18" t="s">
        <v>495</v>
      </c>
      <c r="G17" s="12" t="s">
        <v>496</v>
      </c>
      <c r="H17" s="21" t="s">
        <v>574</v>
      </c>
      <c r="I17" s="19">
        <v>0.0</v>
      </c>
      <c r="J17" s="21" t="s">
        <v>575</v>
      </c>
      <c r="K17" s="19">
        <v>0.0</v>
      </c>
      <c r="L17" s="21" t="s">
        <v>576</v>
      </c>
      <c r="M17" s="19">
        <v>1.0</v>
      </c>
      <c r="N17" s="49" t="s">
        <v>577</v>
      </c>
      <c r="O17" s="19">
        <v>0.0</v>
      </c>
    </row>
    <row r="18" ht="15.75" customHeight="1">
      <c r="A18" s="8">
        <v>1412.0</v>
      </c>
      <c r="B18" s="8" t="s">
        <v>48</v>
      </c>
      <c r="C18" s="9" t="str">
        <f t="shared" si="1"/>
        <v>TWD-01_BS VI MS_RECEIPT</v>
      </c>
      <c r="D18" s="18" t="s">
        <v>578</v>
      </c>
      <c r="E18" s="18" t="s">
        <v>227</v>
      </c>
      <c r="F18" s="18" t="s">
        <v>579</v>
      </c>
      <c r="G18" s="12" t="s">
        <v>580</v>
      </c>
      <c r="H18" s="21" t="s">
        <v>581</v>
      </c>
      <c r="I18" s="19">
        <v>0.0</v>
      </c>
      <c r="J18" s="21" t="s">
        <v>582</v>
      </c>
      <c r="K18" s="19">
        <v>0.0</v>
      </c>
      <c r="L18" s="21" t="s">
        <v>583</v>
      </c>
      <c r="M18" s="19">
        <v>1.0</v>
      </c>
      <c r="N18" s="49" t="s">
        <v>584</v>
      </c>
      <c r="O18" s="19">
        <v>0.0</v>
      </c>
    </row>
    <row r="19" ht="15.75" customHeight="1">
      <c r="A19" s="8">
        <v>1412.0</v>
      </c>
      <c r="B19" s="8" t="s">
        <v>48</v>
      </c>
      <c r="C19" s="9" t="str">
        <f t="shared" si="1"/>
        <v>TWD-02_BS VI MS_RECEIPT</v>
      </c>
      <c r="D19" s="18" t="s">
        <v>585</v>
      </c>
      <c r="E19" s="18" t="s">
        <v>227</v>
      </c>
      <c r="F19" s="18" t="s">
        <v>579</v>
      </c>
      <c r="G19" s="12" t="s">
        <v>580</v>
      </c>
      <c r="H19" s="21" t="s">
        <v>586</v>
      </c>
      <c r="I19" s="19">
        <v>0.0</v>
      </c>
      <c r="J19" s="21" t="s">
        <v>587</v>
      </c>
      <c r="K19" s="19">
        <v>0.0</v>
      </c>
      <c r="L19" s="21" t="s">
        <v>588</v>
      </c>
      <c r="M19" s="19">
        <v>1.0</v>
      </c>
      <c r="N19" s="49" t="s">
        <v>589</v>
      </c>
      <c r="O19" s="19">
        <v>0.0</v>
      </c>
    </row>
    <row r="20" ht="15.75" customHeight="1">
      <c r="A20" s="8">
        <v>1412.0</v>
      </c>
      <c r="B20" s="8" t="s">
        <v>48</v>
      </c>
      <c r="C20" s="9" t="str">
        <f t="shared" si="1"/>
        <v>TWD-03_BS VI MS_RECEIPT</v>
      </c>
      <c r="D20" s="18" t="s">
        <v>590</v>
      </c>
      <c r="E20" s="18" t="s">
        <v>227</v>
      </c>
      <c r="F20" s="18" t="s">
        <v>579</v>
      </c>
      <c r="G20" s="12" t="s">
        <v>580</v>
      </c>
      <c r="H20" s="21" t="s">
        <v>591</v>
      </c>
      <c r="I20" s="19">
        <v>0.0</v>
      </c>
      <c r="J20" s="21" t="s">
        <v>592</v>
      </c>
      <c r="K20" s="19">
        <v>0.0</v>
      </c>
      <c r="L20" s="21" t="s">
        <v>593</v>
      </c>
      <c r="M20" s="19">
        <v>1.0</v>
      </c>
      <c r="N20" s="49" t="s">
        <v>594</v>
      </c>
      <c r="O20" s="19">
        <v>0.0</v>
      </c>
    </row>
    <row r="21" ht="15.75" customHeight="1">
      <c r="A21" s="8">
        <v>1412.0</v>
      </c>
      <c r="B21" s="8" t="s">
        <v>48</v>
      </c>
      <c r="C21" s="9" t="str">
        <f t="shared" si="1"/>
        <v>TWD-04_BS VI MS_RECEIPT</v>
      </c>
      <c r="D21" s="18" t="s">
        <v>595</v>
      </c>
      <c r="E21" s="18" t="s">
        <v>227</v>
      </c>
      <c r="F21" s="18" t="s">
        <v>579</v>
      </c>
      <c r="G21" s="12" t="s">
        <v>580</v>
      </c>
      <c r="H21" s="21" t="s">
        <v>596</v>
      </c>
      <c r="I21" s="19">
        <v>0.0</v>
      </c>
      <c r="J21" s="21" t="s">
        <v>597</v>
      </c>
      <c r="K21" s="19">
        <v>0.0</v>
      </c>
      <c r="L21" s="21" t="s">
        <v>598</v>
      </c>
      <c r="M21" s="19">
        <v>1.0</v>
      </c>
      <c r="N21" s="49" t="s">
        <v>599</v>
      </c>
      <c r="O21" s="19">
        <v>0.0</v>
      </c>
    </row>
    <row r="22" ht="15.75" customHeight="1">
      <c r="A22" s="8">
        <v>1412.0</v>
      </c>
      <c r="B22" s="8" t="s">
        <v>48</v>
      </c>
      <c r="C22" s="9" t="str">
        <f t="shared" si="1"/>
        <v>TWD-05_BS VI HSD_RECEIPT</v>
      </c>
      <c r="D22" s="18" t="s">
        <v>600</v>
      </c>
      <c r="E22" s="18" t="s">
        <v>51</v>
      </c>
      <c r="F22" s="18" t="s">
        <v>579</v>
      </c>
      <c r="G22" s="12" t="s">
        <v>580</v>
      </c>
      <c r="H22" s="21" t="s">
        <v>601</v>
      </c>
      <c r="I22" s="19">
        <v>0.0</v>
      </c>
      <c r="J22" s="21" t="s">
        <v>602</v>
      </c>
      <c r="K22" s="19">
        <v>0.0</v>
      </c>
      <c r="L22" s="21" t="s">
        <v>603</v>
      </c>
      <c r="M22" s="19">
        <v>1.0</v>
      </c>
      <c r="N22" s="49" t="s">
        <v>604</v>
      </c>
      <c r="O22" s="19">
        <v>0.0</v>
      </c>
    </row>
    <row r="23" ht="15.75" customHeight="1">
      <c r="A23" s="8">
        <v>1412.0</v>
      </c>
      <c r="B23" s="8" t="s">
        <v>48</v>
      </c>
      <c r="C23" s="9" t="str">
        <f t="shared" si="1"/>
        <v>TWD-06_BS VI HSD_RECEIPT</v>
      </c>
      <c r="D23" s="18" t="s">
        <v>605</v>
      </c>
      <c r="E23" s="18" t="s">
        <v>51</v>
      </c>
      <c r="F23" s="18" t="s">
        <v>579</v>
      </c>
      <c r="G23" s="12" t="s">
        <v>580</v>
      </c>
      <c r="H23" s="21" t="s">
        <v>606</v>
      </c>
      <c r="I23" s="19">
        <v>0.0</v>
      </c>
      <c r="J23" s="21" t="s">
        <v>607</v>
      </c>
      <c r="K23" s="19">
        <v>0.0</v>
      </c>
      <c r="L23" s="21" t="s">
        <v>608</v>
      </c>
      <c r="M23" s="19">
        <v>1.0</v>
      </c>
      <c r="N23" s="49" t="s">
        <v>609</v>
      </c>
      <c r="O23" s="19">
        <v>0.0</v>
      </c>
    </row>
    <row r="24" ht="15.75" customHeight="1">
      <c r="A24" s="8">
        <v>1412.0</v>
      </c>
      <c r="B24" s="8" t="s">
        <v>48</v>
      </c>
      <c r="C24" s="9" t="str">
        <f t="shared" si="1"/>
        <v>TWD-07_BS VI HSD_RECEIPT</v>
      </c>
      <c r="D24" s="18" t="s">
        <v>610</v>
      </c>
      <c r="E24" s="18" t="s">
        <v>51</v>
      </c>
      <c r="F24" s="18" t="s">
        <v>579</v>
      </c>
      <c r="G24" s="12" t="s">
        <v>580</v>
      </c>
      <c r="H24" s="21" t="s">
        <v>611</v>
      </c>
      <c r="I24" s="19">
        <v>0.0</v>
      </c>
      <c r="J24" s="21" t="s">
        <v>612</v>
      </c>
      <c r="K24" s="19">
        <v>0.0</v>
      </c>
      <c r="L24" s="21" t="s">
        <v>613</v>
      </c>
      <c r="M24" s="19">
        <v>1.0</v>
      </c>
      <c r="N24" s="49" t="s">
        <v>614</v>
      </c>
      <c r="O24" s="19">
        <v>0.0</v>
      </c>
    </row>
    <row r="25" ht="15.75" customHeight="1">
      <c r="A25" s="8">
        <v>1412.0</v>
      </c>
      <c r="B25" s="8" t="s">
        <v>48</v>
      </c>
      <c r="C25" s="9" t="str">
        <f t="shared" si="1"/>
        <v>TWD-08_BS VI HSD_RECEIPT</v>
      </c>
      <c r="D25" s="18" t="s">
        <v>615</v>
      </c>
      <c r="E25" s="18" t="s">
        <v>51</v>
      </c>
      <c r="F25" s="18" t="s">
        <v>579</v>
      </c>
      <c r="G25" s="12" t="s">
        <v>580</v>
      </c>
      <c r="H25" s="21" t="s">
        <v>616</v>
      </c>
      <c r="I25" s="19">
        <v>0.0</v>
      </c>
      <c r="J25" s="21" t="s">
        <v>617</v>
      </c>
      <c r="K25" s="19">
        <v>0.0</v>
      </c>
      <c r="L25" s="21" t="s">
        <v>618</v>
      </c>
      <c r="M25" s="19">
        <v>1.0</v>
      </c>
      <c r="N25" s="49" t="s">
        <v>619</v>
      </c>
      <c r="O25" s="19">
        <v>0.0</v>
      </c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1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15.38"/>
    <col customWidth="1" min="13" max="13" width="21.63"/>
    <col customWidth="1" min="14" max="14" width="41.75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9" width="20.75"/>
  </cols>
  <sheetData>
    <row r="1">
      <c r="A1" s="50" t="s">
        <v>0</v>
      </c>
      <c r="B1" s="50" t="s">
        <v>1</v>
      </c>
      <c r="C1" s="50" t="s">
        <v>2</v>
      </c>
      <c r="D1" s="50" t="s">
        <v>482</v>
      </c>
      <c r="E1" s="50" t="s">
        <v>483</v>
      </c>
      <c r="F1" s="50" t="s">
        <v>484</v>
      </c>
      <c r="G1" s="50" t="s">
        <v>485</v>
      </c>
      <c r="H1" s="51" t="s">
        <v>486</v>
      </c>
      <c r="I1" s="51" t="s">
        <v>487</v>
      </c>
      <c r="J1" s="51" t="s">
        <v>488</v>
      </c>
      <c r="K1" s="51" t="s">
        <v>489</v>
      </c>
      <c r="L1" s="51" t="s">
        <v>490</v>
      </c>
      <c r="M1" s="51" t="s">
        <v>491</v>
      </c>
      <c r="N1" s="51" t="s">
        <v>620</v>
      </c>
      <c r="O1" s="51" t="s">
        <v>7</v>
      </c>
      <c r="P1" s="51" t="s">
        <v>621</v>
      </c>
      <c r="Q1" s="51" t="s">
        <v>622</v>
      </c>
      <c r="R1" s="51" t="s">
        <v>623</v>
      </c>
      <c r="S1" s="51" t="s">
        <v>624</v>
      </c>
      <c r="T1" s="51" t="s">
        <v>625</v>
      </c>
      <c r="U1" s="51" t="s">
        <v>626</v>
      </c>
      <c r="V1" s="51" t="s">
        <v>627</v>
      </c>
      <c r="W1" s="51" t="s">
        <v>628</v>
      </c>
      <c r="X1" s="51" t="s">
        <v>629</v>
      </c>
      <c r="Y1" s="51" t="s">
        <v>630</v>
      </c>
      <c r="Z1" s="51" t="s">
        <v>631</v>
      </c>
      <c r="AA1" s="51" t="s">
        <v>632</v>
      </c>
      <c r="AB1" s="51" t="s">
        <v>633</v>
      </c>
      <c r="AC1" s="51" t="s">
        <v>634</v>
      </c>
    </row>
    <row r="2" ht="15.75" customHeight="1">
      <c r="A2" s="8">
        <v>1412.0</v>
      </c>
      <c r="B2" s="8" t="s">
        <v>48</v>
      </c>
      <c r="C2" s="9" t="str">
        <f t="shared" ref="C2:C8" si="1">CONCATENATE(D2,"_",E2,"_",G2)</f>
        <v>FWP-01_Water_DISPATCH</v>
      </c>
      <c r="D2" s="18" t="s">
        <v>635</v>
      </c>
      <c r="E2" s="18" t="s">
        <v>636</v>
      </c>
      <c r="F2" s="9" t="s">
        <v>637</v>
      </c>
      <c r="G2" s="52" t="s">
        <v>496</v>
      </c>
      <c r="H2" s="21" t="s">
        <v>638</v>
      </c>
      <c r="I2" s="19">
        <v>0.0</v>
      </c>
      <c r="J2" s="21" t="s">
        <v>639</v>
      </c>
      <c r="K2" s="19">
        <v>0.0</v>
      </c>
      <c r="L2" s="21" t="s">
        <v>640</v>
      </c>
      <c r="M2" s="19">
        <v>1.0</v>
      </c>
      <c r="N2" s="21" t="s">
        <v>641</v>
      </c>
      <c r="O2" s="19">
        <v>0.0</v>
      </c>
      <c r="P2" s="21" t="s">
        <v>642</v>
      </c>
      <c r="Q2" s="19">
        <v>0.0</v>
      </c>
      <c r="R2" s="21" t="s">
        <v>643</v>
      </c>
      <c r="S2" s="19">
        <v>0.0</v>
      </c>
      <c r="T2" s="9"/>
      <c r="U2" s="9"/>
      <c r="V2" s="21" t="s">
        <v>644</v>
      </c>
      <c r="W2" s="19">
        <v>0.0</v>
      </c>
      <c r="X2" s="21" t="s">
        <v>645</v>
      </c>
      <c r="Y2" s="19">
        <v>0.0</v>
      </c>
      <c r="Z2" s="9"/>
      <c r="AA2" s="9"/>
      <c r="AB2" s="21" t="s">
        <v>646</v>
      </c>
      <c r="AC2" s="19">
        <v>0.0</v>
      </c>
    </row>
    <row r="3" ht="15.75" customHeight="1">
      <c r="A3" s="8">
        <v>1412.0</v>
      </c>
      <c r="B3" s="8" t="s">
        <v>48</v>
      </c>
      <c r="C3" s="9" t="str">
        <f t="shared" si="1"/>
        <v>FWP-02_Water_DISPATCH</v>
      </c>
      <c r="D3" s="53" t="s">
        <v>647</v>
      </c>
      <c r="E3" s="53" t="s">
        <v>636</v>
      </c>
      <c r="F3" s="9" t="s">
        <v>637</v>
      </c>
      <c r="G3" s="52" t="s">
        <v>496</v>
      </c>
      <c r="H3" s="49" t="s">
        <v>648</v>
      </c>
      <c r="I3" s="19">
        <v>0.0</v>
      </c>
      <c r="J3" s="49" t="s">
        <v>649</v>
      </c>
      <c r="K3" s="19">
        <v>0.0</v>
      </c>
      <c r="L3" s="49" t="s">
        <v>650</v>
      </c>
      <c r="M3" s="19">
        <v>1.0</v>
      </c>
      <c r="N3" s="49" t="s">
        <v>651</v>
      </c>
      <c r="O3" s="19">
        <v>0.0</v>
      </c>
      <c r="P3" s="49" t="s">
        <v>652</v>
      </c>
      <c r="Q3" s="19">
        <v>0.0</v>
      </c>
      <c r="R3" s="49" t="s">
        <v>653</v>
      </c>
      <c r="S3" s="19">
        <v>0.0</v>
      </c>
      <c r="T3" s="41"/>
      <c r="U3" s="41"/>
      <c r="V3" s="49" t="s">
        <v>654</v>
      </c>
      <c r="W3" s="19">
        <v>0.0</v>
      </c>
      <c r="X3" s="49" t="s">
        <v>655</v>
      </c>
      <c r="Y3" s="19">
        <v>0.0</v>
      </c>
      <c r="Z3" s="41"/>
      <c r="AA3" s="41"/>
      <c r="AB3" s="49" t="s">
        <v>656</v>
      </c>
      <c r="AC3" s="19">
        <v>0.0</v>
      </c>
    </row>
    <row r="4" ht="15.75" customHeight="1">
      <c r="A4" s="8">
        <v>1412.0</v>
      </c>
      <c r="B4" s="8" t="s">
        <v>48</v>
      </c>
      <c r="C4" s="9" t="str">
        <f t="shared" si="1"/>
        <v>FWP-03_Water_DISPATCH</v>
      </c>
      <c r="D4" s="53" t="s">
        <v>657</v>
      </c>
      <c r="E4" s="53" t="s">
        <v>636</v>
      </c>
      <c r="F4" s="9" t="s">
        <v>637</v>
      </c>
      <c r="G4" s="52" t="s">
        <v>496</v>
      </c>
      <c r="H4" s="49" t="s">
        <v>658</v>
      </c>
      <c r="I4" s="19">
        <v>0.0</v>
      </c>
      <c r="J4" s="49" t="s">
        <v>659</v>
      </c>
      <c r="K4" s="19">
        <v>0.0</v>
      </c>
      <c r="L4" s="49" t="s">
        <v>660</v>
      </c>
      <c r="M4" s="19">
        <v>1.0</v>
      </c>
      <c r="N4" s="49" t="s">
        <v>661</v>
      </c>
      <c r="O4" s="19">
        <v>0.0</v>
      </c>
      <c r="P4" s="49" t="s">
        <v>662</v>
      </c>
      <c r="Q4" s="19">
        <v>0.0</v>
      </c>
      <c r="R4" s="49" t="s">
        <v>663</v>
      </c>
      <c r="S4" s="19">
        <v>0.0</v>
      </c>
      <c r="T4" s="41"/>
      <c r="U4" s="41"/>
      <c r="V4" s="49" t="s">
        <v>664</v>
      </c>
      <c r="W4" s="19">
        <v>0.0</v>
      </c>
      <c r="X4" s="49" t="s">
        <v>665</v>
      </c>
      <c r="Y4" s="19">
        <v>0.0</v>
      </c>
      <c r="Z4" s="41"/>
      <c r="AA4" s="41"/>
      <c r="AB4" s="49" t="s">
        <v>666</v>
      </c>
      <c r="AC4" s="19">
        <v>0.0</v>
      </c>
    </row>
    <row r="5" ht="15.75" customHeight="1">
      <c r="A5" s="8">
        <v>1412.0</v>
      </c>
      <c r="B5" s="8" t="s">
        <v>48</v>
      </c>
      <c r="C5" s="9" t="str">
        <f t="shared" si="1"/>
        <v>JCY-01_Jockey_DISPATCH</v>
      </c>
      <c r="D5" s="53" t="s">
        <v>667</v>
      </c>
      <c r="E5" s="53" t="s">
        <v>668</v>
      </c>
      <c r="F5" s="9" t="s">
        <v>637</v>
      </c>
      <c r="G5" s="52" t="s">
        <v>496</v>
      </c>
      <c r="H5" s="49" t="s">
        <v>669</v>
      </c>
      <c r="I5" s="19">
        <v>0.0</v>
      </c>
      <c r="J5" s="49" t="s">
        <v>670</v>
      </c>
      <c r="K5" s="19">
        <v>0.0</v>
      </c>
      <c r="L5" s="49" t="s">
        <v>671</v>
      </c>
      <c r="M5" s="19">
        <v>1.0</v>
      </c>
      <c r="N5" s="49" t="s">
        <v>672</v>
      </c>
      <c r="O5" s="19">
        <v>0.0</v>
      </c>
      <c r="P5" s="49" t="s">
        <v>673</v>
      </c>
      <c r="Q5" s="19">
        <v>0.0</v>
      </c>
      <c r="R5" s="41"/>
      <c r="S5" s="41"/>
      <c r="T5" s="41"/>
      <c r="U5" s="41"/>
      <c r="V5" s="49" t="s">
        <v>674</v>
      </c>
      <c r="W5" s="19">
        <v>0.0</v>
      </c>
      <c r="X5" s="41"/>
      <c r="Y5" s="41"/>
      <c r="Z5" s="41"/>
      <c r="AA5" s="41"/>
      <c r="AB5" s="41"/>
      <c r="AC5" s="41"/>
    </row>
    <row r="6" ht="15.75" customHeight="1">
      <c r="A6" s="8">
        <v>1412.0</v>
      </c>
      <c r="B6" s="8" t="s">
        <v>48</v>
      </c>
      <c r="C6" s="9" t="str">
        <f t="shared" si="1"/>
        <v>JCY-02_Jockey_DISPATCH</v>
      </c>
      <c r="D6" s="53" t="s">
        <v>675</v>
      </c>
      <c r="E6" s="53" t="s">
        <v>668</v>
      </c>
      <c r="F6" s="9" t="s">
        <v>637</v>
      </c>
      <c r="G6" s="52" t="s">
        <v>496</v>
      </c>
      <c r="H6" s="49" t="s">
        <v>676</v>
      </c>
      <c r="I6" s="19">
        <v>0.0</v>
      </c>
      <c r="J6" s="49" t="s">
        <v>677</v>
      </c>
      <c r="K6" s="19">
        <v>0.0</v>
      </c>
      <c r="L6" s="49" t="s">
        <v>678</v>
      </c>
      <c r="M6" s="19">
        <v>1.0</v>
      </c>
      <c r="N6" s="49" t="s">
        <v>679</v>
      </c>
      <c r="O6" s="19">
        <v>0.0</v>
      </c>
      <c r="P6" s="49" t="s">
        <v>680</v>
      </c>
      <c r="Q6" s="19">
        <v>0.0</v>
      </c>
      <c r="R6" s="41"/>
      <c r="S6" s="41"/>
      <c r="T6" s="41"/>
      <c r="U6" s="41"/>
      <c r="V6" s="49" t="s">
        <v>681</v>
      </c>
      <c r="W6" s="19">
        <v>0.0</v>
      </c>
      <c r="X6" s="41"/>
      <c r="Y6" s="41"/>
      <c r="Z6" s="41"/>
      <c r="AA6" s="41"/>
      <c r="AB6" s="41"/>
      <c r="AC6" s="41"/>
    </row>
    <row r="7" ht="15.75" customHeight="1">
      <c r="A7" s="8">
        <v>1412.0</v>
      </c>
      <c r="B7" s="8" t="s">
        <v>48</v>
      </c>
      <c r="C7" s="9" t="str">
        <f t="shared" si="1"/>
        <v>Farthest Point PT_WATER Pressure_FIRE HYDRANT</v>
      </c>
      <c r="D7" s="54" t="s">
        <v>682</v>
      </c>
      <c r="E7" s="54" t="s">
        <v>683</v>
      </c>
      <c r="F7" s="55" t="s">
        <v>684</v>
      </c>
      <c r="G7" s="56" t="s">
        <v>685</v>
      </c>
      <c r="H7" s="41"/>
      <c r="I7" s="41"/>
      <c r="J7" s="41"/>
      <c r="K7" s="41"/>
      <c r="L7" s="41"/>
      <c r="M7" s="41"/>
      <c r="N7" s="11" t="s">
        <v>686</v>
      </c>
      <c r="O7" s="19">
        <v>0.0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ht="15.75" customHeight="1">
      <c r="A8" s="8">
        <v>1412.0</v>
      </c>
      <c r="B8" s="8" t="s">
        <v>48</v>
      </c>
      <c r="C8" s="9" t="str">
        <f t="shared" si="1"/>
        <v>Nearest Point PT_WATER Pressure_FIRE HYDRANT</v>
      </c>
      <c r="D8" s="54" t="s">
        <v>687</v>
      </c>
      <c r="E8" s="54" t="s">
        <v>683</v>
      </c>
      <c r="F8" s="55" t="s">
        <v>684</v>
      </c>
      <c r="G8" s="56" t="s">
        <v>685</v>
      </c>
      <c r="H8" s="41"/>
      <c r="I8" s="41"/>
      <c r="J8" s="41"/>
      <c r="K8" s="41"/>
      <c r="L8" s="41"/>
      <c r="M8" s="41"/>
      <c r="N8" s="11" t="s">
        <v>688</v>
      </c>
      <c r="O8" s="19">
        <v>0.0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ht="15.75" customHeight="1">
      <c r="F9" s="57"/>
    </row>
    <row r="10" ht="15.75" customHeight="1">
      <c r="F10" s="57"/>
    </row>
    <row r="11" ht="15.75" customHeight="1">
      <c r="F11" s="57"/>
    </row>
    <row r="12" ht="15.75" customHeight="1">
      <c r="F12" s="57"/>
    </row>
    <row r="13" ht="15.75" customHeight="1">
      <c r="F13" s="57"/>
    </row>
    <row r="14" ht="15.75" customHeight="1">
      <c r="F14" s="57"/>
    </row>
    <row r="15" ht="15.75" customHeight="1">
      <c r="F15" s="57"/>
    </row>
    <row r="16" ht="15.75" customHeight="1">
      <c r="F16" s="57"/>
    </row>
    <row r="17" ht="15.75" customHeight="1">
      <c r="F17" s="57"/>
    </row>
    <row r="18" ht="15.75" customHeight="1">
      <c r="F18" s="57"/>
    </row>
    <row r="19" ht="15.75" customHeight="1">
      <c r="F19" s="57"/>
    </row>
    <row r="20" ht="15.75" customHeight="1">
      <c r="F20" s="57"/>
    </row>
    <row r="21" ht="15.75" customHeight="1">
      <c r="F21" s="57"/>
    </row>
    <row r="22" ht="15.75" customHeight="1">
      <c r="F22" s="57"/>
    </row>
    <row r="23" ht="15.75" customHeight="1">
      <c r="F23" s="57"/>
    </row>
    <row r="24" ht="15.75" customHeight="1">
      <c r="F24" s="57"/>
    </row>
    <row r="25" ht="15.75" customHeight="1">
      <c r="F25" s="57"/>
    </row>
    <row r="26" ht="15.75" customHeight="1">
      <c r="F26" s="57"/>
    </row>
    <row r="27" ht="15.75" customHeight="1">
      <c r="F27" s="57"/>
    </row>
    <row r="28" ht="15.75" customHeight="1">
      <c r="F28" s="57"/>
    </row>
    <row r="29" ht="15.75" customHeight="1">
      <c r="F29" s="57"/>
    </row>
    <row r="30" ht="15.75" customHeight="1">
      <c r="F30" s="57"/>
    </row>
    <row r="31" ht="15.75" customHeight="1">
      <c r="F31" s="57"/>
    </row>
    <row r="32" ht="15.75" customHeight="1">
      <c r="F32" s="57"/>
    </row>
    <row r="33" ht="15.75" customHeight="1">
      <c r="F33" s="57"/>
    </row>
    <row r="34" ht="15.75" customHeight="1">
      <c r="F34" s="57"/>
    </row>
    <row r="35" ht="15.75" customHeight="1">
      <c r="F35" s="57"/>
    </row>
    <row r="36" ht="15.75" customHeight="1">
      <c r="F36" s="57"/>
    </row>
    <row r="37" ht="15.75" customHeight="1">
      <c r="F37" s="57"/>
    </row>
    <row r="38" ht="15.75" customHeight="1">
      <c r="F38" s="57"/>
    </row>
    <row r="39" ht="15.75" customHeight="1">
      <c r="F39" s="57"/>
    </row>
    <row r="40" ht="15.75" customHeight="1">
      <c r="F40" s="57"/>
    </row>
    <row r="41" ht="15.75" customHeight="1">
      <c r="F41" s="57"/>
    </row>
    <row r="42" ht="15.75" customHeight="1">
      <c r="F42" s="57"/>
    </row>
    <row r="43" ht="15.75" customHeight="1">
      <c r="F43" s="57"/>
    </row>
    <row r="44" ht="15.75" customHeight="1">
      <c r="F44" s="57"/>
    </row>
    <row r="45" ht="15.75" customHeight="1">
      <c r="F45" s="57"/>
    </row>
    <row r="46" ht="15.75" customHeight="1">
      <c r="F46" s="57"/>
    </row>
    <row r="47" ht="15.75" customHeight="1">
      <c r="F47" s="57"/>
    </row>
    <row r="48" ht="15.75" customHeight="1">
      <c r="F48" s="57"/>
    </row>
    <row r="49" ht="15.75" customHeight="1">
      <c r="F49" s="57"/>
    </row>
    <row r="50" ht="15.75" customHeight="1">
      <c r="F50" s="57"/>
    </row>
    <row r="51" ht="15.75" customHeight="1">
      <c r="F51" s="57"/>
    </row>
    <row r="52" ht="15.75" customHeight="1">
      <c r="F52" s="57"/>
    </row>
    <row r="53" ht="15.75" customHeight="1">
      <c r="F53" s="57"/>
    </row>
    <row r="54" ht="15.75" customHeight="1">
      <c r="F54" s="57"/>
    </row>
    <row r="55" ht="15.75" customHeight="1">
      <c r="F55" s="57"/>
    </row>
    <row r="56" ht="15.75" customHeight="1">
      <c r="F56" s="57"/>
    </row>
    <row r="57" ht="15.75" customHeight="1">
      <c r="F57" s="57"/>
    </row>
    <row r="58" ht="15.75" customHeight="1">
      <c r="F58" s="57"/>
    </row>
    <row r="59" ht="15.75" customHeight="1">
      <c r="F59" s="57"/>
    </row>
    <row r="60" ht="15.75" customHeight="1">
      <c r="F60" s="57"/>
    </row>
    <row r="61" ht="15.75" customHeight="1">
      <c r="F61" s="57"/>
    </row>
    <row r="62" ht="15.75" customHeight="1">
      <c r="F62" s="57"/>
    </row>
    <row r="63" ht="15.75" customHeight="1">
      <c r="F63" s="57"/>
    </row>
    <row r="64" ht="15.75" customHeight="1">
      <c r="F64" s="57"/>
    </row>
    <row r="65" ht="15.75" customHeight="1">
      <c r="F65" s="57"/>
    </row>
    <row r="66" ht="15.75" customHeight="1">
      <c r="F66" s="57"/>
    </row>
    <row r="67" ht="15.75" customHeight="1">
      <c r="F67" s="57"/>
    </row>
    <row r="68" ht="15.75" customHeight="1">
      <c r="F68" s="57"/>
    </row>
    <row r="69" ht="15.75" customHeight="1">
      <c r="F69" s="57"/>
    </row>
    <row r="70" ht="15.75" customHeight="1">
      <c r="F70" s="57"/>
    </row>
    <row r="71" ht="15.75" customHeight="1">
      <c r="F71" s="57"/>
    </row>
    <row r="72" ht="15.75" customHeight="1">
      <c r="F72" s="57"/>
    </row>
    <row r="73" ht="15.75" customHeight="1">
      <c r="F73" s="57"/>
    </row>
    <row r="74" ht="15.75" customHeight="1">
      <c r="F74" s="57"/>
    </row>
    <row r="75" ht="15.75" customHeight="1">
      <c r="F75" s="57"/>
    </row>
    <row r="76" ht="15.75" customHeight="1">
      <c r="F76" s="57"/>
    </row>
    <row r="77" ht="15.75" customHeight="1">
      <c r="F77" s="57"/>
    </row>
    <row r="78" ht="15.75" customHeight="1">
      <c r="F78" s="57"/>
    </row>
    <row r="79" ht="15.75" customHeight="1">
      <c r="F79" s="57"/>
    </row>
    <row r="80" ht="15.75" customHeight="1">
      <c r="F80" s="57"/>
    </row>
    <row r="81" ht="15.75" customHeight="1">
      <c r="F81" s="57"/>
    </row>
    <row r="82" ht="15.75" customHeight="1">
      <c r="F82" s="57"/>
    </row>
    <row r="83" ht="15.75" customHeight="1">
      <c r="F83" s="57"/>
    </row>
    <row r="84" ht="15.75" customHeight="1">
      <c r="F84" s="57"/>
    </row>
    <row r="85" ht="15.75" customHeight="1">
      <c r="F85" s="57"/>
    </row>
    <row r="86" ht="15.75" customHeight="1">
      <c r="F86" s="57"/>
    </row>
    <row r="87" ht="15.75" customHeight="1">
      <c r="F87" s="57"/>
    </row>
    <row r="88" ht="15.75" customHeight="1">
      <c r="F88" s="57"/>
    </row>
    <row r="89" ht="15.75" customHeight="1">
      <c r="F89" s="57"/>
    </row>
    <row r="90" ht="15.75" customHeight="1">
      <c r="F90" s="57"/>
    </row>
    <row r="91" ht="15.75" customHeight="1">
      <c r="F91" s="57"/>
    </row>
    <row r="92" ht="15.75" customHeight="1">
      <c r="F92" s="57"/>
    </row>
    <row r="93" ht="15.75" customHeight="1">
      <c r="F93" s="57"/>
    </row>
    <row r="94" ht="15.75" customHeight="1">
      <c r="F94" s="57"/>
    </row>
    <row r="95" ht="15.75" customHeight="1">
      <c r="F95" s="57"/>
    </row>
    <row r="96" ht="15.75" customHeight="1">
      <c r="F96" s="57"/>
    </row>
    <row r="97" ht="15.75" customHeight="1">
      <c r="F97" s="57"/>
    </row>
    <row r="98" ht="15.75" customHeight="1">
      <c r="F98" s="57"/>
    </row>
    <row r="99" ht="15.75" customHeight="1">
      <c r="F99" s="57"/>
    </row>
    <row r="100" ht="15.75" customHeight="1">
      <c r="F100" s="57"/>
    </row>
    <row r="101" ht="15.75" customHeight="1">
      <c r="F101" s="57"/>
    </row>
    <row r="102" ht="15.75" customHeight="1">
      <c r="F102" s="57"/>
    </row>
    <row r="103" ht="15.75" customHeight="1">
      <c r="F103" s="57"/>
    </row>
    <row r="104" ht="15.75" customHeight="1">
      <c r="F104" s="57"/>
    </row>
    <row r="105" ht="15.75" customHeight="1">
      <c r="F105" s="57"/>
    </row>
    <row r="106" ht="15.75" customHeight="1">
      <c r="F106" s="57"/>
    </row>
    <row r="107" ht="15.75" customHeight="1">
      <c r="F107" s="57"/>
    </row>
    <row r="108" ht="15.75" customHeight="1">
      <c r="F108" s="57"/>
    </row>
    <row r="109" ht="15.75" customHeight="1">
      <c r="F109" s="57"/>
    </row>
    <row r="110" ht="15.75" customHeight="1">
      <c r="F110" s="57"/>
    </row>
    <row r="111" ht="15.75" customHeight="1">
      <c r="F111" s="57"/>
    </row>
    <row r="112" ht="15.75" customHeight="1">
      <c r="F112" s="57"/>
    </row>
    <row r="113" ht="15.75" customHeight="1">
      <c r="F113" s="57"/>
    </row>
    <row r="114" ht="15.75" customHeight="1">
      <c r="F114" s="57"/>
    </row>
    <row r="115" ht="15.75" customHeight="1">
      <c r="F115" s="57"/>
    </row>
    <row r="116" ht="15.75" customHeight="1">
      <c r="F116" s="57"/>
    </row>
    <row r="117" ht="15.75" customHeight="1">
      <c r="F117" s="57"/>
    </row>
    <row r="118" ht="15.75" customHeight="1">
      <c r="F118" s="57"/>
    </row>
    <row r="119" ht="15.75" customHeight="1">
      <c r="F119" s="57"/>
    </row>
    <row r="120" ht="15.75" customHeight="1">
      <c r="F120" s="57"/>
    </row>
    <row r="121" ht="15.75" customHeight="1">
      <c r="F121" s="57"/>
    </row>
    <row r="122" ht="15.75" customHeight="1">
      <c r="F122" s="57"/>
    </row>
    <row r="123" ht="15.75" customHeight="1">
      <c r="F123" s="57"/>
    </row>
    <row r="124" ht="15.75" customHeight="1">
      <c r="F124" s="57"/>
    </row>
    <row r="125" ht="15.75" customHeight="1">
      <c r="F125" s="57"/>
    </row>
    <row r="126" ht="15.75" customHeight="1">
      <c r="F126" s="57"/>
    </row>
    <row r="127" ht="15.75" customHeight="1">
      <c r="F127" s="57"/>
    </row>
    <row r="128" ht="15.75" customHeight="1">
      <c r="F128" s="57"/>
    </row>
    <row r="129" ht="15.75" customHeight="1">
      <c r="F129" s="57"/>
    </row>
    <row r="130" ht="15.75" customHeight="1">
      <c r="F130" s="57"/>
    </row>
    <row r="131" ht="15.75" customHeight="1">
      <c r="F131" s="57"/>
    </row>
    <row r="132" ht="15.75" customHeight="1">
      <c r="F132" s="57"/>
    </row>
    <row r="133" ht="15.75" customHeight="1">
      <c r="F133" s="57"/>
    </row>
    <row r="134" ht="15.75" customHeight="1">
      <c r="F134" s="57"/>
    </row>
    <row r="135" ht="15.75" customHeight="1">
      <c r="F135" s="57"/>
    </row>
    <row r="136" ht="15.75" customHeight="1">
      <c r="F136" s="57"/>
    </row>
    <row r="137" ht="15.75" customHeight="1">
      <c r="F137" s="57"/>
    </row>
    <row r="138" ht="15.75" customHeight="1">
      <c r="F138" s="57"/>
    </row>
    <row r="139" ht="15.75" customHeight="1">
      <c r="F139" s="57"/>
    </row>
    <row r="140" ht="15.75" customHeight="1">
      <c r="F140" s="57"/>
    </row>
    <row r="141" ht="15.75" customHeight="1">
      <c r="F141" s="57"/>
    </row>
    <row r="142" ht="15.75" customHeight="1">
      <c r="F142" s="57"/>
    </row>
    <row r="143" ht="15.75" customHeight="1">
      <c r="F143" s="57"/>
    </row>
    <row r="144" ht="15.75" customHeight="1">
      <c r="F144" s="57"/>
    </row>
    <row r="145" ht="15.75" customHeight="1">
      <c r="F145" s="57"/>
    </row>
    <row r="146" ht="15.75" customHeight="1">
      <c r="F146" s="57"/>
    </row>
    <row r="147" ht="15.75" customHeight="1">
      <c r="F147" s="57"/>
    </row>
    <row r="148" ht="15.75" customHeight="1">
      <c r="F148" s="57"/>
    </row>
    <row r="149" ht="15.75" customHeight="1">
      <c r="F149" s="57"/>
    </row>
    <row r="150" ht="15.75" customHeight="1">
      <c r="F150" s="57"/>
    </row>
    <row r="151" ht="15.75" customHeight="1">
      <c r="F151" s="57"/>
    </row>
    <row r="152" ht="15.75" customHeight="1">
      <c r="F152" s="57"/>
    </row>
    <row r="153" ht="15.75" customHeight="1">
      <c r="F153" s="57"/>
    </row>
    <row r="154" ht="15.75" customHeight="1">
      <c r="F154" s="57"/>
    </row>
    <row r="155" ht="15.75" customHeight="1">
      <c r="F155" s="57"/>
    </row>
    <row r="156" ht="15.75" customHeight="1">
      <c r="F156" s="57"/>
    </row>
    <row r="157" ht="15.75" customHeight="1">
      <c r="F157" s="57"/>
    </row>
    <row r="158" ht="15.75" customHeight="1">
      <c r="F158" s="57"/>
    </row>
    <row r="159" ht="15.75" customHeight="1">
      <c r="F159" s="57"/>
    </row>
    <row r="160" ht="15.75" customHeight="1">
      <c r="F160" s="57"/>
    </row>
    <row r="161" ht="15.75" customHeight="1">
      <c r="F161" s="57"/>
    </row>
    <row r="162" ht="15.75" customHeight="1">
      <c r="F162" s="57"/>
    </row>
    <row r="163" ht="15.75" customHeight="1">
      <c r="F163" s="57"/>
    </row>
    <row r="164" ht="15.75" customHeight="1">
      <c r="F164" s="57"/>
    </row>
    <row r="165" ht="15.75" customHeight="1">
      <c r="F165" s="57"/>
    </row>
    <row r="166" ht="15.75" customHeight="1">
      <c r="F166" s="57"/>
    </row>
    <row r="167" ht="15.75" customHeight="1">
      <c r="F167" s="57"/>
    </row>
    <row r="168" ht="15.75" customHeight="1">
      <c r="F168" s="57"/>
    </row>
    <row r="169" ht="15.75" customHeight="1">
      <c r="F169" s="57"/>
    </row>
    <row r="170" ht="15.75" customHeight="1">
      <c r="F170" s="57"/>
    </row>
    <row r="171" ht="15.75" customHeight="1">
      <c r="F171" s="57"/>
    </row>
    <row r="172" ht="15.75" customHeight="1">
      <c r="F172" s="57"/>
    </row>
    <row r="173" ht="15.75" customHeight="1">
      <c r="F173" s="57"/>
    </row>
    <row r="174" ht="15.75" customHeight="1">
      <c r="F174" s="57"/>
    </row>
    <row r="175" ht="15.75" customHeight="1">
      <c r="F175" s="57"/>
    </row>
    <row r="176" ht="15.75" customHeight="1">
      <c r="F176" s="57"/>
    </row>
    <row r="177" ht="15.75" customHeight="1">
      <c r="F177" s="57"/>
    </row>
    <row r="178" ht="15.75" customHeight="1">
      <c r="F178" s="57"/>
    </row>
    <row r="179" ht="15.75" customHeight="1">
      <c r="F179" s="57"/>
    </row>
    <row r="180" ht="15.75" customHeight="1">
      <c r="F180" s="57"/>
    </row>
    <row r="181" ht="15.75" customHeight="1">
      <c r="F181" s="57"/>
    </row>
    <row r="182" ht="15.75" customHeight="1">
      <c r="F182" s="57"/>
    </row>
    <row r="183" ht="15.75" customHeight="1">
      <c r="F183" s="57"/>
    </row>
    <row r="184" ht="15.75" customHeight="1">
      <c r="F184" s="57"/>
    </row>
    <row r="185" ht="15.75" customHeight="1">
      <c r="F185" s="57"/>
    </row>
    <row r="186" ht="15.75" customHeight="1">
      <c r="F186" s="57"/>
    </row>
    <row r="187" ht="15.75" customHeight="1">
      <c r="F187" s="57"/>
    </row>
    <row r="188" ht="15.75" customHeight="1">
      <c r="F188" s="57"/>
    </row>
    <row r="189" ht="15.75" customHeight="1">
      <c r="F189" s="57"/>
    </row>
    <row r="190" ht="15.75" customHeight="1">
      <c r="F190" s="57"/>
    </row>
    <row r="191" ht="15.75" customHeight="1">
      <c r="F191" s="57"/>
    </row>
    <row r="192" ht="15.75" customHeight="1">
      <c r="F192" s="57"/>
    </row>
    <row r="193" ht="15.75" customHeight="1">
      <c r="F193" s="57"/>
    </row>
    <row r="194" ht="15.75" customHeight="1">
      <c r="F194" s="57"/>
    </row>
    <row r="195" ht="15.75" customHeight="1">
      <c r="F195" s="57"/>
    </row>
    <row r="196" ht="15.75" customHeight="1">
      <c r="F196" s="57"/>
    </row>
    <row r="197" ht="15.75" customHeight="1">
      <c r="F197" s="57"/>
    </row>
    <row r="198" ht="15.75" customHeight="1">
      <c r="F198" s="57"/>
    </row>
    <row r="199" ht="15.75" customHeight="1">
      <c r="F199" s="57"/>
    </row>
    <row r="200" ht="15.75" customHeight="1">
      <c r="F200" s="57"/>
    </row>
    <row r="201" ht="15.75" customHeight="1">
      <c r="F201" s="57"/>
    </row>
    <row r="202" ht="15.75" customHeight="1">
      <c r="F202" s="57"/>
    </row>
    <row r="203" ht="15.75" customHeight="1">
      <c r="F203" s="57"/>
    </row>
    <row r="204" ht="15.75" customHeight="1">
      <c r="F204" s="57"/>
    </row>
    <row r="205" ht="15.75" customHeight="1">
      <c r="F205" s="57"/>
    </row>
    <row r="206" ht="15.75" customHeight="1">
      <c r="F206" s="57"/>
    </row>
    <row r="207" ht="15.75" customHeight="1">
      <c r="F207" s="57"/>
    </row>
    <row r="208" ht="15.75" customHeight="1">
      <c r="F208" s="57"/>
    </row>
    <row r="209" ht="15.75" customHeight="1">
      <c r="F209" s="57"/>
    </row>
    <row r="210" ht="15.75" customHeight="1">
      <c r="F210" s="57"/>
    </row>
    <row r="211" ht="15.75" customHeight="1">
      <c r="F211" s="5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24.38"/>
    <col customWidth="1" min="11" max="11" width="11.5"/>
    <col customWidth="1" min="12" max="12" width="23.0"/>
  </cols>
  <sheetData>
    <row r="1" ht="69.75" customHeight="1">
      <c r="A1" s="58" t="s">
        <v>0</v>
      </c>
      <c r="B1" s="58" t="s">
        <v>1</v>
      </c>
      <c r="C1" s="44" t="s">
        <v>2</v>
      </c>
      <c r="D1" s="44" t="s">
        <v>689</v>
      </c>
      <c r="E1" s="44" t="s">
        <v>1</v>
      </c>
      <c r="F1" s="45" t="s">
        <v>690</v>
      </c>
      <c r="G1" s="46" t="s">
        <v>691</v>
      </c>
      <c r="H1" s="45" t="s">
        <v>692</v>
      </c>
      <c r="I1" s="46" t="s">
        <v>693</v>
      </c>
      <c r="J1" s="45" t="s">
        <v>694</v>
      </c>
      <c r="K1" s="46" t="s">
        <v>695</v>
      </c>
      <c r="L1" s="45" t="s">
        <v>696</v>
      </c>
      <c r="M1" s="46" t="s">
        <v>697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8">
        <v>1412.0</v>
      </c>
      <c r="B2" s="8" t="s">
        <v>48</v>
      </c>
      <c r="C2" s="9" t="str">
        <f t="shared" ref="C2:C3" si="1">CONCATENATE(D2,"_",E2)</f>
        <v>UPS-01_Control Room</v>
      </c>
      <c r="D2" s="59" t="s">
        <v>698</v>
      </c>
      <c r="E2" s="60" t="s">
        <v>699</v>
      </c>
      <c r="F2" s="9"/>
      <c r="G2" s="9"/>
      <c r="H2" s="61" t="s">
        <v>700</v>
      </c>
      <c r="I2" s="62">
        <v>0.0</v>
      </c>
      <c r="J2" s="61" t="s">
        <v>701</v>
      </c>
      <c r="K2" s="62">
        <v>0.0</v>
      </c>
      <c r="L2" s="61" t="s">
        <v>702</v>
      </c>
      <c r="M2" s="62">
        <v>0.0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5.75" customHeight="1">
      <c r="A3" s="8">
        <v>1412.0</v>
      </c>
      <c r="B3" s="8" t="s">
        <v>48</v>
      </c>
      <c r="C3" s="9" t="str">
        <f t="shared" si="1"/>
        <v>UPS-02_Control Room</v>
      </c>
      <c r="D3" s="59" t="s">
        <v>703</v>
      </c>
      <c r="E3" s="60" t="s">
        <v>699</v>
      </c>
      <c r="F3" s="5"/>
      <c r="G3" s="5"/>
      <c r="H3" s="61" t="s">
        <v>704</v>
      </c>
      <c r="I3" s="62">
        <v>0.0</v>
      </c>
      <c r="J3" s="61" t="s">
        <v>705</v>
      </c>
      <c r="K3" s="62">
        <v>0.0</v>
      </c>
      <c r="L3" s="61" t="s">
        <v>706</v>
      </c>
      <c r="M3" s="62">
        <v>0.0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36.63"/>
    <col customWidth="1" min="27" max="27" width="12.38"/>
    <col customWidth="1" min="28" max="28" width="9.0"/>
    <col customWidth="1" min="29" max="29" width="11.38"/>
  </cols>
  <sheetData>
    <row r="1">
      <c r="A1" s="58" t="s">
        <v>0</v>
      </c>
      <c r="B1" s="58" t="s">
        <v>1</v>
      </c>
      <c r="C1" s="44" t="s">
        <v>2</v>
      </c>
      <c r="D1" s="44" t="s">
        <v>707</v>
      </c>
      <c r="E1" s="44" t="s">
        <v>1</v>
      </c>
      <c r="F1" s="45" t="s">
        <v>708</v>
      </c>
      <c r="G1" s="46" t="s">
        <v>13</v>
      </c>
      <c r="H1" s="45" t="s">
        <v>9</v>
      </c>
      <c r="I1" s="45" t="s">
        <v>371</v>
      </c>
      <c r="J1" s="45" t="s">
        <v>709</v>
      </c>
      <c r="K1" s="46" t="s">
        <v>13</v>
      </c>
      <c r="L1" s="45" t="s">
        <v>9</v>
      </c>
      <c r="M1" s="45" t="s">
        <v>10</v>
      </c>
      <c r="N1" s="45" t="s">
        <v>710</v>
      </c>
      <c r="O1" s="46" t="s">
        <v>13</v>
      </c>
      <c r="P1" s="45" t="s">
        <v>370</v>
      </c>
      <c r="Q1" s="45" t="s">
        <v>10</v>
      </c>
      <c r="R1" s="45" t="s">
        <v>711</v>
      </c>
      <c r="S1" s="46" t="s">
        <v>13</v>
      </c>
      <c r="T1" s="45" t="s">
        <v>9</v>
      </c>
      <c r="U1" s="45" t="s">
        <v>712</v>
      </c>
      <c r="V1" s="45" t="s">
        <v>713</v>
      </c>
      <c r="W1" s="46" t="s">
        <v>13</v>
      </c>
      <c r="X1" s="45" t="s">
        <v>370</v>
      </c>
      <c r="Y1" s="45" t="s">
        <v>10</v>
      </c>
      <c r="Z1" s="45" t="s">
        <v>714</v>
      </c>
      <c r="AA1" s="46" t="s">
        <v>13</v>
      </c>
      <c r="AB1" s="45" t="s">
        <v>9</v>
      </c>
      <c r="AC1" s="45" t="s">
        <v>10</v>
      </c>
    </row>
    <row r="2" ht="15.75" customHeight="1">
      <c r="A2" s="8">
        <v>1412.0</v>
      </c>
      <c r="B2" s="8" t="s">
        <v>48</v>
      </c>
      <c r="C2" s="9" t="str">
        <f t="shared" ref="C2:C3" si="1">CONCATENATE(D2,"_",E2)</f>
        <v>GEPLC_Process PLC</v>
      </c>
      <c r="D2" s="9" t="s">
        <v>715</v>
      </c>
      <c r="E2" s="60" t="s">
        <v>716</v>
      </c>
      <c r="F2" s="63" t="s">
        <v>717</v>
      </c>
      <c r="G2" s="64">
        <v>1.0</v>
      </c>
      <c r="H2" s="8" t="s">
        <v>718</v>
      </c>
      <c r="I2" s="8" t="s">
        <v>719</v>
      </c>
      <c r="J2" s="63" t="s">
        <v>720</v>
      </c>
      <c r="K2" s="64">
        <v>1.0</v>
      </c>
      <c r="L2" s="8" t="s">
        <v>718</v>
      </c>
      <c r="M2" s="8" t="s">
        <v>721</v>
      </c>
      <c r="N2" s="52"/>
      <c r="O2" s="52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8">
        <v>1412.0</v>
      </c>
      <c r="B3" s="8" t="s">
        <v>48</v>
      </c>
      <c r="C3" s="9" t="str">
        <f t="shared" si="1"/>
        <v>SFT PLC_Safety PLC</v>
      </c>
      <c r="D3" s="55" t="s">
        <v>722</v>
      </c>
      <c r="E3" s="65" t="s">
        <v>723</v>
      </c>
      <c r="F3" s="63" t="s">
        <v>724</v>
      </c>
      <c r="G3" s="64">
        <v>1.0</v>
      </c>
      <c r="H3" s="8" t="s">
        <v>725</v>
      </c>
      <c r="I3" s="8" t="s">
        <v>719</v>
      </c>
      <c r="J3" s="63" t="s">
        <v>726</v>
      </c>
      <c r="K3" s="64">
        <v>1.0</v>
      </c>
      <c r="L3" s="8" t="s">
        <v>725</v>
      </c>
      <c r="M3" s="8" t="s">
        <v>721</v>
      </c>
      <c r="N3" s="52"/>
      <c r="O3" s="52"/>
      <c r="P3" s="9"/>
      <c r="Q3" s="9"/>
      <c r="R3" s="9"/>
      <c r="S3" s="9"/>
      <c r="T3" s="9"/>
      <c r="U3" s="9"/>
      <c r="V3" s="63" t="s">
        <v>727</v>
      </c>
      <c r="W3" s="64">
        <v>0.0</v>
      </c>
      <c r="X3" s="9"/>
      <c r="Y3" s="9"/>
      <c r="Z3" s="63" t="s">
        <v>728</v>
      </c>
      <c r="AA3" s="64">
        <v>0.0</v>
      </c>
      <c r="AB3" s="9"/>
      <c r="AC3" s="9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6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8" t="s">
        <v>0</v>
      </c>
      <c r="B1" s="58" t="s">
        <v>1</v>
      </c>
      <c r="C1" s="44" t="s">
        <v>2</v>
      </c>
      <c r="D1" s="44" t="s">
        <v>729</v>
      </c>
      <c r="E1" s="44" t="s">
        <v>730</v>
      </c>
      <c r="F1" s="44" t="s">
        <v>1</v>
      </c>
      <c r="G1" s="45" t="s">
        <v>731</v>
      </c>
      <c r="H1" s="46" t="s">
        <v>732</v>
      </c>
      <c r="I1" s="45" t="s">
        <v>733</v>
      </c>
      <c r="J1" s="46" t="s">
        <v>734</v>
      </c>
      <c r="K1" s="45" t="s">
        <v>735</v>
      </c>
      <c r="L1" s="46" t="s">
        <v>736</v>
      </c>
      <c r="M1" s="45" t="s">
        <v>737</v>
      </c>
      <c r="N1" s="46" t="s">
        <v>738</v>
      </c>
      <c r="O1" s="45" t="s">
        <v>739</v>
      </c>
      <c r="P1" s="46" t="s">
        <v>740</v>
      </c>
      <c r="Q1" s="66" t="s">
        <v>741</v>
      </c>
      <c r="R1" s="55" t="s">
        <v>7</v>
      </c>
    </row>
    <row r="2">
      <c r="A2" s="8">
        <v>1412.0</v>
      </c>
      <c r="B2" s="8" t="s">
        <v>48</v>
      </c>
      <c r="C2" s="21" t="str">
        <f t="shared" ref="C2:C13" si="1">CONCATENATE(D2,"_",E2,"_",F2)</f>
        <v>HCD-01_OPEN-HCD-101_OPD TK24</v>
      </c>
      <c r="D2" s="67" t="s">
        <v>742</v>
      </c>
      <c r="E2" s="67" t="s">
        <v>743</v>
      </c>
      <c r="F2" s="67" t="s">
        <v>744</v>
      </c>
      <c r="G2" s="52" t="s">
        <v>745</v>
      </c>
      <c r="H2" s="68">
        <v>0.0</v>
      </c>
      <c r="I2" s="52" t="s">
        <v>746</v>
      </c>
      <c r="J2" s="68">
        <v>0.0</v>
      </c>
      <c r="K2" s="52" t="s">
        <v>747</v>
      </c>
      <c r="L2" s="68">
        <v>0.0</v>
      </c>
      <c r="M2" s="52" t="s">
        <v>748</v>
      </c>
      <c r="N2" s="68">
        <v>0.0</v>
      </c>
      <c r="O2" s="52" t="s">
        <v>749</v>
      </c>
      <c r="P2" s="68">
        <v>0.0</v>
      </c>
      <c r="Q2" s="11" t="s">
        <v>750</v>
      </c>
      <c r="R2" s="68">
        <v>0.0</v>
      </c>
    </row>
    <row r="3">
      <c r="A3" s="8">
        <v>1412.0</v>
      </c>
      <c r="B3" s="8" t="s">
        <v>48</v>
      </c>
      <c r="C3" s="21" t="str">
        <f t="shared" si="1"/>
        <v>HCD-02_OPEN-HCD-102_OPD TLF PH</v>
      </c>
      <c r="D3" s="69" t="s">
        <v>751</v>
      </c>
      <c r="E3" s="69" t="s">
        <v>752</v>
      </c>
      <c r="F3" s="69" t="s">
        <v>753</v>
      </c>
      <c r="G3" s="24" t="s">
        <v>754</v>
      </c>
      <c r="H3" s="68">
        <v>0.0</v>
      </c>
      <c r="I3" s="24" t="s">
        <v>755</v>
      </c>
      <c r="J3" s="68">
        <v>0.0</v>
      </c>
      <c r="K3" s="24" t="s">
        <v>756</v>
      </c>
      <c r="L3" s="68">
        <v>0.0</v>
      </c>
      <c r="M3" s="24" t="s">
        <v>757</v>
      </c>
      <c r="N3" s="68">
        <v>0.0</v>
      </c>
      <c r="O3" s="24" t="s">
        <v>758</v>
      </c>
      <c r="P3" s="68">
        <v>0.0</v>
      </c>
      <c r="Q3" s="11" t="s">
        <v>750</v>
      </c>
      <c r="R3" s="68">
        <v>0.0</v>
      </c>
    </row>
    <row r="4">
      <c r="A4" s="8">
        <v>1412.0</v>
      </c>
      <c r="B4" s="8" t="s">
        <v>48</v>
      </c>
      <c r="C4" s="21" t="str">
        <f t="shared" si="1"/>
        <v>HCD-03_OPEN-HCD-103_OPD TK5</v>
      </c>
      <c r="D4" s="69" t="s">
        <v>759</v>
      </c>
      <c r="E4" s="69" t="s">
        <v>760</v>
      </c>
      <c r="F4" s="69" t="s">
        <v>761</v>
      </c>
      <c r="G4" s="24" t="s">
        <v>762</v>
      </c>
      <c r="H4" s="68">
        <v>0.0</v>
      </c>
      <c r="I4" s="24" t="s">
        <v>763</v>
      </c>
      <c r="J4" s="68">
        <v>0.0</v>
      </c>
      <c r="K4" s="24" t="s">
        <v>764</v>
      </c>
      <c r="L4" s="68">
        <v>0.0</v>
      </c>
      <c r="M4" s="24" t="s">
        <v>765</v>
      </c>
      <c r="N4" s="68">
        <v>0.0</v>
      </c>
      <c r="O4" s="24" t="s">
        <v>766</v>
      </c>
      <c r="P4" s="68">
        <v>0.0</v>
      </c>
      <c r="Q4" s="11" t="s">
        <v>750</v>
      </c>
      <c r="R4" s="68">
        <v>0.0</v>
      </c>
    </row>
    <row r="5">
      <c r="A5" s="8">
        <v>1412.0</v>
      </c>
      <c r="B5" s="8" t="s">
        <v>48</v>
      </c>
      <c r="C5" s="21" t="str">
        <f t="shared" si="1"/>
        <v>HCD-04_OPEN-HCD-104_FIXED TWD PH NEAR TK15</v>
      </c>
      <c r="D5" s="69" t="s">
        <v>767</v>
      </c>
      <c r="E5" s="69" t="s">
        <v>768</v>
      </c>
      <c r="F5" s="69" t="s">
        <v>769</v>
      </c>
      <c r="G5" s="24" t="s">
        <v>770</v>
      </c>
      <c r="H5" s="68">
        <v>0.0</v>
      </c>
      <c r="I5" s="24" t="s">
        <v>771</v>
      </c>
      <c r="J5" s="68">
        <v>0.0</v>
      </c>
      <c r="K5" s="24" t="s">
        <v>772</v>
      </c>
      <c r="L5" s="68">
        <v>0.0</v>
      </c>
      <c r="M5" s="24" t="s">
        <v>773</v>
      </c>
      <c r="N5" s="68">
        <v>0.0</v>
      </c>
      <c r="O5" s="24" t="s">
        <v>774</v>
      </c>
      <c r="P5" s="68">
        <v>0.0</v>
      </c>
      <c r="Q5" s="11" t="s">
        <v>750</v>
      </c>
      <c r="R5" s="68">
        <v>0.0</v>
      </c>
    </row>
    <row r="6">
      <c r="A6" s="8">
        <v>1412.0</v>
      </c>
      <c r="B6" s="8" t="s">
        <v>48</v>
      </c>
      <c r="C6" s="21" t="str">
        <f t="shared" si="1"/>
        <v>HCD-05_OPEN-HCD-105_OPD TWD</v>
      </c>
      <c r="D6" s="69" t="s">
        <v>775</v>
      </c>
      <c r="E6" s="69" t="s">
        <v>776</v>
      </c>
      <c r="F6" s="69" t="s">
        <v>777</v>
      </c>
      <c r="G6" s="24" t="s">
        <v>778</v>
      </c>
      <c r="H6" s="68">
        <v>0.0</v>
      </c>
      <c r="I6" s="24" t="s">
        <v>779</v>
      </c>
      <c r="J6" s="68">
        <v>0.0</v>
      </c>
      <c r="K6" s="24" t="s">
        <v>780</v>
      </c>
      <c r="L6" s="68">
        <v>0.0</v>
      </c>
      <c r="M6" s="24" t="s">
        <v>781</v>
      </c>
      <c r="N6" s="68">
        <v>0.0</v>
      </c>
      <c r="O6" s="24" t="s">
        <v>782</v>
      </c>
      <c r="P6" s="68">
        <v>0.0</v>
      </c>
      <c r="Q6" s="11" t="s">
        <v>750</v>
      </c>
      <c r="R6" s="68">
        <v>0.0</v>
      </c>
    </row>
    <row r="7">
      <c r="A7" s="8">
        <v>1412.0</v>
      </c>
      <c r="B7" s="8" t="s">
        <v>48</v>
      </c>
      <c r="C7" s="21" t="str">
        <f t="shared" si="1"/>
        <v>HCD-06_POINT-HCD-101_PTD TK24</v>
      </c>
      <c r="D7" s="69" t="s">
        <v>783</v>
      </c>
      <c r="E7" s="69" t="s">
        <v>784</v>
      </c>
      <c r="F7" s="69" t="s">
        <v>785</v>
      </c>
      <c r="G7" s="24" t="s">
        <v>786</v>
      </c>
      <c r="H7" s="68">
        <v>0.0</v>
      </c>
      <c r="I7" s="24" t="s">
        <v>787</v>
      </c>
      <c r="J7" s="68">
        <v>0.0</v>
      </c>
      <c r="K7" s="24" t="s">
        <v>788</v>
      </c>
      <c r="L7" s="68">
        <v>0.0</v>
      </c>
      <c r="M7" s="24" t="s">
        <v>789</v>
      </c>
      <c r="N7" s="68">
        <v>0.0</v>
      </c>
      <c r="O7" s="24" t="s">
        <v>790</v>
      </c>
      <c r="P7" s="68">
        <v>0.0</v>
      </c>
      <c r="Q7" s="11" t="s">
        <v>750</v>
      </c>
      <c r="R7" s="68">
        <v>0.0</v>
      </c>
    </row>
    <row r="8">
      <c r="A8" s="8">
        <v>1412.0</v>
      </c>
      <c r="B8" s="8" t="s">
        <v>48</v>
      </c>
      <c r="C8" s="21" t="str">
        <f t="shared" si="1"/>
        <v>HCD-07_POINT-HCD-102_PTD TK05</v>
      </c>
      <c r="D8" s="69" t="s">
        <v>791</v>
      </c>
      <c r="E8" s="69" t="s">
        <v>792</v>
      </c>
      <c r="F8" s="69" t="s">
        <v>793</v>
      </c>
      <c r="G8" s="24" t="s">
        <v>794</v>
      </c>
      <c r="H8" s="68">
        <v>0.0</v>
      </c>
      <c r="I8" s="24" t="s">
        <v>795</v>
      </c>
      <c r="J8" s="68">
        <v>0.0</v>
      </c>
      <c r="K8" s="24" t="s">
        <v>796</v>
      </c>
      <c r="L8" s="68">
        <v>0.0</v>
      </c>
      <c r="M8" s="24" t="s">
        <v>797</v>
      </c>
      <c r="N8" s="68">
        <v>0.0</v>
      </c>
      <c r="O8" s="24" t="s">
        <v>798</v>
      </c>
      <c r="P8" s="68">
        <v>0.0</v>
      </c>
      <c r="Q8" s="11" t="s">
        <v>750</v>
      </c>
      <c r="R8" s="68">
        <v>0.0</v>
      </c>
    </row>
    <row r="9">
      <c r="A9" s="8">
        <v>1412.0</v>
      </c>
      <c r="B9" s="8" t="s">
        <v>48</v>
      </c>
      <c r="C9" s="21" t="str">
        <f t="shared" si="1"/>
        <v>HCD-08_POINT-HCD-103_TLF PH</v>
      </c>
      <c r="D9" s="69" t="s">
        <v>799</v>
      </c>
      <c r="E9" s="69" t="s">
        <v>800</v>
      </c>
      <c r="F9" s="69" t="s">
        <v>801</v>
      </c>
      <c r="G9" s="24" t="s">
        <v>802</v>
      </c>
      <c r="H9" s="68">
        <v>0.0</v>
      </c>
      <c r="I9" s="24" t="s">
        <v>803</v>
      </c>
      <c r="J9" s="68">
        <v>0.0</v>
      </c>
      <c r="K9" s="24" t="s">
        <v>804</v>
      </c>
      <c r="L9" s="68">
        <v>0.0</v>
      </c>
      <c r="M9" s="24" t="s">
        <v>805</v>
      </c>
      <c r="N9" s="68">
        <v>0.0</v>
      </c>
      <c r="O9" s="24" t="s">
        <v>806</v>
      </c>
      <c r="P9" s="68">
        <v>0.0</v>
      </c>
      <c r="Q9" s="11" t="s">
        <v>750</v>
      </c>
      <c r="R9" s="68">
        <v>0.0</v>
      </c>
    </row>
    <row r="10">
      <c r="A10" s="8">
        <v>1412.0</v>
      </c>
      <c r="B10" s="8" t="s">
        <v>48</v>
      </c>
      <c r="C10" s="21" t="str">
        <f t="shared" si="1"/>
        <v>HCD-09_POINT-HCD-104_OPD TLF PH NEAR TK4</v>
      </c>
      <c r="D10" s="69" t="s">
        <v>807</v>
      </c>
      <c r="E10" s="69" t="s">
        <v>808</v>
      </c>
      <c r="F10" s="69" t="s">
        <v>809</v>
      </c>
      <c r="G10" s="24" t="s">
        <v>810</v>
      </c>
      <c r="H10" s="68">
        <v>0.0</v>
      </c>
      <c r="I10" s="24" t="s">
        <v>811</v>
      </c>
      <c r="J10" s="68">
        <v>0.0</v>
      </c>
      <c r="K10" s="24" t="s">
        <v>812</v>
      </c>
      <c r="L10" s="68">
        <v>0.0</v>
      </c>
      <c r="M10" s="24" t="s">
        <v>813</v>
      </c>
      <c r="N10" s="68">
        <v>0.0</v>
      </c>
      <c r="O10" s="24" t="s">
        <v>814</v>
      </c>
      <c r="P10" s="68">
        <v>0.0</v>
      </c>
      <c r="Q10" s="11" t="s">
        <v>750</v>
      </c>
      <c r="R10" s="68">
        <v>0.0</v>
      </c>
    </row>
    <row r="11">
      <c r="A11" s="8">
        <v>1412.0</v>
      </c>
      <c r="B11" s="8" t="s">
        <v>48</v>
      </c>
      <c r="C11" s="21" t="str">
        <f t="shared" si="1"/>
        <v>HCD-10_POINT-HCD-105_OPD TK15</v>
      </c>
      <c r="D11" s="69" t="s">
        <v>815</v>
      </c>
      <c r="E11" s="69" t="s">
        <v>816</v>
      </c>
      <c r="F11" s="69" t="s">
        <v>817</v>
      </c>
      <c r="G11" s="24" t="s">
        <v>818</v>
      </c>
      <c r="H11" s="68">
        <v>0.0</v>
      </c>
      <c r="I11" s="24" t="s">
        <v>819</v>
      </c>
      <c r="J11" s="68">
        <v>0.0</v>
      </c>
      <c r="K11" s="24" t="s">
        <v>820</v>
      </c>
      <c r="L11" s="68">
        <v>0.0</v>
      </c>
      <c r="M11" s="24" t="s">
        <v>821</v>
      </c>
      <c r="N11" s="68">
        <v>0.0</v>
      </c>
      <c r="O11" s="24" t="s">
        <v>822</v>
      </c>
      <c r="P11" s="68">
        <v>0.0</v>
      </c>
      <c r="Q11" s="11" t="s">
        <v>750</v>
      </c>
      <c r="R11" s="68">
        <v>0.0</v>
      </c>
    </row>
    <row r="12">
      <c r="A12" s="8">
        <v>1412.0</v>
      </c>
      <c r="B12" s="8" t="s">
        <v>48</v>
      </c>
      <c r="C12" s="21" t="str">
        <f t="shared" si="1"/>
        <v>HCD-11_FIXED-HCD-TK01_FIXED-HCD-TK01</v>
      </c>
      <c r="D12" s="69" t="s">
        <v>823</v>
      </c>
      <c r="E12" s="69" t="s">
        <v>824</v>
      </c>
      <c r="F12" s="69" t="s">
        <v>824</v>
      </c>
      <c r="G12" s="24" t="s">
        <v>825</v>
      </c>
      <c r="H12" s="68">
        <v>0.0</v>
      </c>
      <c r="I12" s="24" t="s">
        <v>826</v>
      </c>
      <c r="J12" s="68">
        <v>0.0</v>
      </c>
      <c r="K12" s="24" t="s">
        <v>827</v>
      </c>
      <c r="L12" s="68">
        <v>0.0</v>
      </c>
      <c r="M12" s="24" t="s">
        <v>828</v>
      </c>
      <c r="N12" s="68">
        <v>0.0</v>
      </c>
      <c r="O12" s="24" t="s">
        <v>829</v>
      </c>
      <c r="P12" s="68">
        <v>0.0</v>
      </c>
      <c r="Q12" s="11" t="s">
        <v>750</v>
      </c>
      <c r="R12" s="68">
        <v>0.0</v>
      </c>
    </row>
    <row r="13">
      <c r="A13" s="8">
        <v>1412.0</v>
      </c>
      <c r="B13" s="8" t="s">
        <v>48</v>
      </c>
      <c r="C13" s="21" t="str">
        <f t="shared" si="1"/>
        <v>HCD-12_FIXED-HCD-TK15_FIXED-HCD-TK15</v>
      </c>
      <c r="D13" s="69" t="s">
        <v>830</v>
      </c>
      <c r="E13" s="69" t="s">
        <v>831</v>
      </c>
      <c r="F13" s="69" t="s">
        <v>831</v>
      </c>
      <c r="G13" s="24" t="s">
        <v>832</v>
      </c>
      <c r="H13" s="68">
        <v>0.0</v>
      </c>
      <c r="I13" s="24" t="s">
        <v>833</v>
      </c>
      <c r="J13" s="68">
        <v>0.0</v>
      </c>
      <c r="K13" s="24" t="s">
        <v>834</v>
      </c>
      <c r="L13" s="68">
        <v>0.0</v>
      </c>
      <c r="M13" s="24" t="s">
        <v>835</v>
      </c>
      <c r="N13" s="68">
        <v>0.0</v>
      </c>
      <c r="O13" s="24" t="s">
        <v>836</v>
      </c>
      <c r="P13" s="68">
        <v>0.0</v>
      </c>
      <c r="Q13" s="11" t="s">
        <v>750</v>
      </c>
      <c r="R13" s="68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44" t="s">
        <v>0</v>
      </c>
      <c r="B1" s="44" t="s">
        <v>1</v>
      </c>
      <c r="C1" s="44" t="s">
        <v>837</v>
      </c>
      <c r="D1" s="45" t="s">
        <v>838</v>
      </c>
      <c r="E1" s="46" t="s">
        <v>839</v>
      </c>
      <c r="F1" s="70" t="s">
        <v>840</v>
      </c>
      <c r="G1" s="5" t="s">
        <v>7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8">
        <v>1412.0</v>
      </c>
      <c r="B2" s="8" t="s">
        <v>48</v>
      </c>
      <c r="C2" s="71" t="s">
        <v>841</v>
      </c>
      <c r="D2" s="52" t="s">
        <v>842</v>
      </c>
      <c r="E2" s="68">
        <v>0.0</v>
      </c>
      <c r="F2" s="11" t="s">
        <v>843</v>
      </c>
      <c r="G2" s="68">
        <v>0.0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8">
        <v>1412.0</v>
      </c>
      <c r="B3" s="8" t="s">
        <v>48</v>
      </c>
      <c r="C3" s="71" t="s">
        <v>844</v>
      </c>
      <c r="D3" s="52" t="s">
        <v>845</v>
      </c>
      <c r="E3" s="68">
        <v>0.0</v>
      </c>
      <c r="F3" s="11" t="s">
        <v>843</v>
      </c>
      <c r="G3" s="68">
        <v>0.0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8">
        <v>1412.0</v>
      </c>
      <c r="B4" s="8" t="s">
        <v>48</v>
      </c>
      <c r="C4" s="71" t="s">
        <v>846</v>
      </c>
      <c r="D4" s="52" t="s">
        <v>847</v>
      </c>
      <c r="E4" s="68">
        <v>0.0</v>
      </c>
      <c r="F4" s="11" t="s">
        <v>843</v>
      </c>
      <c r="G4" s="68">
        <v>0.0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8">
        <v>1412.0</v>
      </c>
      <c r="B5" s="8" t="s">
        <v>48</v>
      </c>
      <c r="C5" s="71" t="s">
        <v>848</v>
      </c>
      <c r="D5" s="52" t="s">
        <v>849</v>
      </c>
      <c r="E5" s="68">
        <v>0.0</v>
      </c>
      <c r="F5" s="11" t="s">
        <v>843</v>
      </c>
      <c r="G5" s="68">
        <v>0.0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8">
        <v>1412.0</v>
      </c>
      <c r="B6" s="8" t="s">
        <v>48</v>
      </c>
      <c r="C6" s="71" t="s">
        <v>850</v>
      </c>
      <c r="D6" s="52" t="s">
        <v>851</v>
      </c>
      <c r="E6" s="68">
        <v>0.0</v>
      </c>
      <c r="F6" s="11" t="s">
        <v>843</v>
      </c>
      <c r="G6" s="6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44" t="s">
        <v>0</v>
      </c>
      <c r="B1" s="44" t="s">
        <v>1</v>
      </c>
      <c r="C1" s="44" t="s">
        <v>852</v>
      </c>
      <c r="D1" s="45" t="s">
        <v>853</v>
      </c>
      <c r="E1" s="46" t="s">
        <v>854</v>
      </c>
      <c r="F1" s="45" t="s">
        <v>855</v>
      </c>
      <c r="G1" s="46" t="s">
        <v>856</v>
      </c>
      <c r="H1" s="45" t="s">
        <v>857</v>
      </c>
      <c r="I1" s="46" t="s">
        <v>7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5.75" customHeight="1">
      <c r="A2" s="8">
        <v>1412.0</v>
      </c>
      <c r="B2" s="8" t="s">
        <v>48</v>
      </c>
      <c r="C2" s="52" t="s">
        <v>858</v>
      </c>
      <c r="D2" s="52" t="s">
        <v>859</v>
      </c>
      <c r="E2" s="68">
        <v>0.0</v>
      </c>
      <c r="F2" s="52" t="s">
        <v>860</v>
      </c>
      <c r="G2" s="68">
        <v>0.0</v>
      </c>
      <c r="H2" s="52" t="s">
        <v>861</v>
      </c>
      <c r="I2" s="68">
        <v>1.0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5.75" customHeight="1">
      <c r="A3" s="8">
        <v>1412.0</v>
      </c>
      <c r="B3" s="8" t="s">
        <v>48</v>
      </c>
      <c r="C3" s="52" t="s">
        <v>862</v>
      </c>
      <c r="D3" s="52" t="s">
        <v>863</v>
      </c>
      <c r="E3" s="68">
        <v>0.0</v>
      </c>
      <c r="F3" s="52" t="s">
        <v>864</v>
      </c>
      <c r="G3" s="68">
        <v>0.0</v>
      </c>
      <c r="H3" s="52" t="s">
        <v>865</v>
      </c>
      <c r="I3" s="68">
        <v>1.0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4" t="s">
        <v>0</v>
      </c>
      <c r="B1" s="44" t="s">
        <v>1</v>
      </c>
      <c r="C1" s="44" t="s">
        <v>2</v>
      </c>
      <c r="D1" s="44" t="s">
        <v>866</v>
      </c>
      <c r="E1" s="44" t="s">
        <v>867</v>
      </c>
      <c r="F1" s="45" t="s">
        <v>868</v>
      </c>
      <c r="G1" s="46" t="s">
        <v>869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8">
        <v>1412.0</v>
      </c>
      <c r="B2" s="8" t="s">
        <v>48</v>
      </c>
      <c r="C2" s="9" t="str">
        <f t="shared" ref="C2:C7" si="1">CONCATENATE(D2,"_",E2)</f>
        <v>HOOTER 1_HOOTER_FIELD_1</v>
      </c>
      <c r="D2" s="68" t="s">
        <v>870</v>
      </c>
      <c r="E2" s="72" t="s">
        <v>871</v>
      </c>
      <c r="F2" s="21" t="s">
        <v>872</v>
      </c>
      <c r="G2" s="68">
        <v>0.0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5.75" customHeight="1">
      <c r="A3" s="8">
        <v>1412.0</v>
      </c>
      <c r="B3" s="8" t="s">
        <v>48</v>
      </c>
      <c r="C3" s="9" t="str">
        <f t="shared" si="1"/>
        <v>HOOTER 2_HOOTER_FIELD_2</v>
      </c>
      <c r="D3" s="68" t="s">
        <v>873</v>
      </c>
      <c r="E3" s="72" t="s">
        <v>874</v>
      </c>
      <c r="F3" s="21" t="s">
        <v>875</v>
      </c>
      <c r="G3" s="68">
        <v>0.0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>
      <c r="A4" s="8">
        <v>1412.0</v>
      </c>
      <c r="B4" s="8" t="s">
        <v>48</v>
      </c>
      <c r="C4" s="9" t="str">
        <f t="shared" si="1"/>
        <v>HOOTER 3_HOOTER_FIELD_3</v>
      </c>
      <c r="D4" s="68" t="s">
        <v>876</v>
      </c>
      <c r="E4" s="72" t="s">
        <v>877</v>
      </c>
      <c r="F4" s="21" t="s">
        <v>878</v>
      </c>
      <c r="G4" s="68">
        <v>0.0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5.75" customHeight="1">
      <c r="A5" s="8">
        <v>1412.0</v>
      </c>
      <c r="B5" s="8" t="s">
        <v>48</v>
      </c>
      <c r="C5" s="9" t="str">
        <f t="shared" si="1"/>
        <v>HOOTER 4_HOOTER_FIELD_4</v>
      </c>
      <c r="D5" s="68" t="s">
        <v>879</v>
      </c>
      <c r="E5" s="72" t="s">
        <v>880</v>
      </c>
      <c r="F5" s="21" t="s">
        <v>881</v>
      </c>
      <c r="G5" s="68">
        <v>0.0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5.75" customHeight="1">
      <c r="A6" s="8">
        <v>1412.0</v>
      </c>
      <c r="B6" s="8" t="s">
        <v>48</v>
      </c>
      <c r="C6" s="9" t="str">
        <f t="shared" si="1"/>
        <v>HOOTER 5_HOOTER_FOR_HC_CR</v>
      </c>
      <c r="D6" s="68" t="s">
        <v>882</v>
      </c>
      <c r="E6" s="73" t="s">
        <v>883</v>
      </c>
      <c r="F6" s="21" t="s">
        <v>750</v>
      </c>
      <c r="G6" s="6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5.75" customHeight="1">
      <c r="A7" s="8">
        <v>1412.0</v>
      </c>
      <c r="B7" s="8" t="s">
        <v>48</v>
      </c>
      <c r="C7" s="9" t="str">
        <f t="shared" si="1"/>
        <v>HOOTER 6_HOOTER_FOR_RIMSEAL_CR</v>
      </c>
      <c r="D7" s="68" t="s">
        <v>884</v>
      </c>
      <c r="E7" s="73" t="s">
        <v>885</v>
      </c>
      <c r="F7" s="21" t="s">
        <v>886</v>
      </c>
      <c r="G7" s="6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5.5"/>
    <col customWidth="1" min="4" max="4" width="11.88"/>
    <col customWidth="1" min="5" max="5" width="12.75"/>
    <col customWidth="1" min="6" max="6" width="17.38"/>
    <col customWidth="1" min="7" max="7" width="27.75"/>
    <col customWidth="1" min="8" max="8" width="11.5"/>
    <col customWidth="1" min="9" max="9" width="30.63"/>
    <col customWidth="1" min="10" max="10" width="12.25"/>
    <col customWidth="1" min="11" max="11" width="36.63"/>
    <col customWidth="1" min="12" max="12" width="25.38"/>
    <col customWidth="1" min="13" max="13" width="16.5"/>
    <col customWidth="1" min="14" max="14" width="27.25"/>
    <col customWidth="1" min="15" max="15" width="25.75"/>
    <col customWidth="1" min="16" max="16" width="36.38"/>
    <col customWidth="1" min="17" max="17" width="24.63"/>
    <col customWidth="1" min="18" max="18" width="35.25"/>
    <col customWidth="1" min="19" max="19" width="21.63"/>
    <col customWidth="1" min="20" max="20" width="32.25"/>
    <col customWidth="1" min="21" max="21" width="13.75"/>
    <col customWidth="1" min="22" max="22" width="24.38"/>
    <col customWidth="1" min="23" max="23" width="23.5"/>
    <col customWidth="1" min="24" max="24" width="34.13"/>
    <col customWidth="1" min="25" max="25" width="12.5"/>
    <col customWidth="1" min="26" max="26" width="23.13"/>
    <col customWidth="1" min="27" max="27" width="29.25"/>
    <col customWidth="1" min="28" max="28" width="39.88"/>
    <col customWidth="1" min="29" max="29" width="27.63"/>
    <col customWidth="1" min="30" max="30" width="38.13"/>
    <col customWidth="1" min="31" max="31" width="41.88"/>
    <col customWidth="1" min="32" max="32" width="35.13"/>
  </cols>
  <sheetData>
    <row r="1" ht="32.25" customHeight="1">
      <c r="A1" s="44" t="s">
        <v>0</v>
      </c>
      <c r="B1" s="44" t="s">
        <v>1</v>
      </c>
      <c r="C1" s="44" t="s">
        <v>2</v>
      </c>
      <c r="D1" s="44" t="s">
        <v>887</v>
      </c>
      <c r="E1" s="44" t="s">
        <v>888</v>
      </c>
      <c r="F1" s="44" t="s">
        <v>1</v>
      </c>
      <c r="G1" s="45" t="s">
        <v>889</v>
      </c>
      <c r="H1" s="46" t="s">
        <v>890</v>
      </c>
      <c r="I1" s="45" t="s">
        <v>891</v>
      </c>
      <c r="J1" s="46" t="s">
        <v>892</v>
      </c>
      <c r="K1" s="74" t="s">
        <v>893</v>
      </c>
      <c r="L1" s="74" t="s">
        <v>894</v>
      </c>
      <c r="M1" s="74" t="s">
        <v>895</v>
      </c>
      <c r="N1" s="74" t="s">
        <v>896</v>
      </c>
      <c r="O1" s="74" t="s">
        <v>897</v>
      </c>
      <c r="P1" s="74" t="s">
        <v>898</v>
      </c>
      <c r="Q1" s="74" t="s">
        <v>899</v>
      </c>
      <c r="R1" s="74" t="s">
        <v>900</v>
      </c>
      <c r="S1" s="74" t="s">
        <v>901</v>
      </c>
      <c r="T1" s="74" t="s">
        <v>902</v>
      </c>
      <c r="U1" s="74" t="s">
        <v>903</v>
      </c>
      <c r="V1" s="74" t="s">
        <v>904</v>
      </c>
      <c r="W1" s="74" t="s">
        <v>905</v>
      </c>
      <c r="X1" s="74" t="s">
        <v>906</v>
      </c>
      <c r="Y1" s="74" t="s">
        <v>907</v>
      </c>
      <c r="Z1" s="74" t="s">
        <v>908</v>
      </c>
      <c r="AA1" s="74" t="s">
        <v>909</v>
      </c>
      <c r="AB1" s="74" t="s">
        <v>910</v>
      </c>
      <c r="AC1" s="74" t="s">
        <v>911</v>
      </c>
      <c r="AD1" s="74" t="s">
        <v>912</v>
      </c>
      <c r="AE1" s="74" t="s">
        <v>913</v>
      </c>
      <c r="AF1" s="74" t="s">
        <v>914</v>
      </c>
    </row>
    <row r="2" ht="15.75" customHeight="1">
      <c r="A2" s="8">
        <v>1412.0</v>
      </c>
      <c r="B2" s="8" t="s">
        <v>48</v>
      </c>
      <c r="C2" s="9" t="str">
        <f t="shared" ref="C2:C19" si="1">CONCATENATE(D2,"_",F2)</f>
        <v>ESD-01_NEAR TK-14</v>
      </c>
      <c r="D2" s="75" t="s">
        <v>915</v>
      </c>
      <c r="E2" s="67" t="s">
        <v>915</v>
      </c>
      <c r="F2" s="67" t="s">
        <v>916</v>
      </c>
      <c r="G2" s="21" t="s">
        <v>917</v>
      </c>
      <c r="H2" s="68">
        <v>0.0</v>
      </c>
      <c r="I2" s="21" t="s">
        <v>918</v>
      </c>
      <c r="J2" s="68">
        <v>0.0</v>
      </c>
      <c r="K2" s="11" t="s">
        <v>919</v>
      </c>
      <c r="L2" s="8">
        <v>0.0</v>
      </c>
      <c r="M2" s="11" t="s">
        <v>920</v>
      </c>
      <c r="N2" s="8">
        <v>0.0</v>
      </c>
      <c r="O2" s="11" t="s">
        <v>921</v>
      </c>
      <c r="P2" s="8">
        <v>0.0</v>
      </c>
      <c r="Q2" s="11" t="s">
        <v>922</v>
      </c>
      <c r="R2" s="8">
        <v>0.0</v>
      </c>
      <c r="S2" s="11" t="s">
        <v>923</v>
      </c>
      <c r="T2" s="8">
        <v>0.0</v>
      </c>
      <c r="U2" s="11" t="s">
        <v>924</v>
      </c>
      <c r="V2" s="8">
        <v>0.0</v>
      </c>
      <c r="W2" s="11" t="s">
        <v>925</v>
      </c>
      <c r="X2" s="8">
        <v>0.0</v>
      </c>
      <c r="Y2" s="11" t="s">
        <v>926</v>
      </c>
      <c r="Z2" s="8">
        <v>0.0</v>
      </c>
      <c r="AA2" s="11" t="s">
        <v>927</v>
      </c>
      <c r="AB2" s="8">
        <v>0.0</v>
      </c>
      <c r="AC2" s="11" t="s">
        <v>928</v>
      </c>
      <c r="AD2" s="8">
        <v>0.0</v>
      </c>
      <c r="AE2" s="55"/>
      <c r="AF2" s="8"/>
    </row>
    <row r="3" ht="15.75" customHeight="1">
      <c r="A3" s="8">
        <v>1412.0</v>
      </c>
      <c r="B3" s="8" t="s">
        <v>48</v>
      </c>
      <c r="C3" s="9" t="str">
        <f t="shared" si="1"/>
        <v>ESD-02_ADMIN BUILDING</v>
      </c>
      <c r="D3" s="75" t="s">
        <v>929</v>
      </c>
      <c r="E3" s="67" t="s">
        <v>929</v>
      </c>
      <c r="F3" s="67" t="s">
        <v>930</v>
      </c>
      <c r="G3" s="21" t="s">
        <v>931</v>
      </c>
      <c r="H3" s="68">
        <v>0.0</v>
      </c>
      <c r="I3" s="21" t="s">
        <v>932</v>
      </c>
      <c r="J3" s="68">
        <v>0.0</v>
      </c>
      <c r="K3" s="11" t="s">
        <v>919</v>
      </c>
      <c r="L3" s="8">
        <v>0.0</v>
      </c>
      <c r="M3" s="11" t="s">
        <v>920</v>
      </c>
      <c r="N3" s="8">
        <v>0.0</v>
      </c>
      <c r="O3" s="11" t="s">
        <v>921</v>
      </c>
      <c r="P3" s="8">
        <v>0.0</v>
      </c>
      <c r="Q3" s="11" t="s">
        <v>922</v>
      </c>
      <c r="R3" s="8">
        <v>0.0</v>
      </c>
      <c r="S3" s="11" t="s">
        <v>923</v>
      </c>
      <c r="T3" s="8">
        <v>0.0</v>
      </c>
      <c r="U3" s="11" t="s">
        <v>924</v>
      </c>
      <c r="V3" s="8">
        <v>0.0</v>
      </c>
      <c r="W3" s="11" t="s">
        <v>925</v>
      </c>
      <c r="X3" s="8">
        <v>0.0</v>
      </c>
      <c r="Y3" s="11" t="s">
        <v>926</v>
      </c>
      <c r="Z3" s="8">
        <v>0.0</v>
      </c>
      <c r="AA3" s="11" t="s">
        <v>927</v>
      </c>
      <c r="AB3" s="8">
        <v>0.0</v>
      </c>
      <c r="AC3" s="11" t="s">
        <v>928</v>
      </c>
      <c r="AD3" s="8">
        <v>0.0</v>
      </c>
      <c r="AE3" s="55"/>
      <c r="AF3" s="8"/>
    </row>
    <row r="4" ht="15.75" customHeight="1">
      <c r="A4" s="8">
        <v>1412.0</v>
      </c>
      <c r="B4" s="8" t="s">
        <v>48</v>
      </c>
      <c r="C4" s="9" t="str">
        <f t="shared" si="1"/>
        <v>ESD-03_TLF PUMP HOUSE-1</v>
      </c>
      <c r="D4" s="75" t="s">
        <v>933</v>
      </c>
      <c r="E4" s="67" t="s">
        <v>933</v>
      </c>
      <c r="F4" s="67" t="s">
        <v>934</v>
      </c>
      <c r="G4" s="21" t="s">
        <v>935</v>
      </c>
      <c r="H4" s="68">
        <v>0.0</v>
      </c>
      <c r="I4" s="21" t="s">
        <v>936</v>
      </c>
      <c r="J4" s="68">
        <v>0.0</v>
      </c>
      <c r="K4" s="11" t="s">
        <v>919</v>
      </c>
      <c r="L4" s="8">
        <v>0.0</v>
      </c>
      <c r="M4" s="11" t="s">
        <v>920</v>
      </c>
      <c r="N4" s="8">
        <v>0.0</v>
      </c>
      <c r="O4" s="11" t="s">
        <v>921</v>
      </c>
      <c r="P4" s="8">
        <v>0.0</v>
      </c>
      <c r="Q4" s="11" t="s">
        <v>922</v>
      </c>
      <c r="R4" s="8">
        <v>0.0</v>
      </c>
      <c r="S4" s="11" t="s">
        <v>923</v>
      </c>
      <c r="T4" s="8">
        <v>0.0</v>
      </c>
      <c r="U4" s="11" t="s">
        <v>924</v>
      </c>
      <c r="V4" s="8">
        <v>0.0</v>
      </c>
      <c r="W4" s="11" t="s">
        <v>925</v>
      </c>
      <c r="X4" s="8">
        <v>0.0</v>
      </c>
      <c r="Y4" s="11" t="s">
        <v>926</v>
      </c>
      <c r="Z4" s="8">
        <v>0.0</v>
      </c>
      <c r="AA4" s="11" t="s">
        <v>927</v>
      </c>
      <c r="AB4" s="8">
        <v>0.0</v>
      </c>
      <c r="AC4" s="11" t="s">
        <v>928</v>
      </c>
      <c r="AD4" s="8">
        <v>0.0</v>
      </c>
      <c r="AE4" s="55"/>
      <c r="AF4" s="8"/>
    </row>
    <row r="5" ht="15.75" customHeight="1">
      <c r="A5" s="8">
        <v>1412.0</v>
      </c>
      <c r="B5" s="8" t="s">
        <v>48</v>
      </c>
      <c r="C5" s="9" t="str">
        <f t="shared" si="1"/>
        <v>ESD-04_TLF GANTRY_CABIN</v>
      </c>
      <c r="D5" s="75" t="s">
        <v>937</v>
      </c>
      <c r="E5" s="67" t="s">
        <v>937</v>
      </c>
      <c r="F5" s="67" t="s">
        <v>938</v>
      </c>
      <c r="G5" s="21" t="s">
        <v>939</v>
      </c>
      <c r="H5" s="68">
        <v>0.0</v>
      </c>
      <c r="I5" s="21" t="s">
        <v>940</v>
      </c>
      <c r="J5" s="68">
        <v>0.0</v>
      </c>
      <c r="K5" s="11" t="s">
        <v>919</v>
      </c>
      <c r="L5" s="8">
        <v>0.0</v>
      </c>
      <c r="M5" s="11" t="s">
        <v>920</v>
      </c>
      <c r="N5" s="8">
        <v>0.0</v>
      </c>
      <c r="O5" s="11" t="s">
        <v>921</v>
      </c>
      <c r="P5" s="8">
        <v>0.0</v>
      </c>
      <c r="Q5" s="11" t="s">
        <v>922</v>
      </c>
      <c r="R5" s="8">
        <v>0.0</v>
      </c>
      <c r="S5" s="11" t="s">
        <v>923</v>
      </c>
      <c r="T5" s="8">
        <v>0.0</v>
      </c>
      <c r="U5" s="11" t="s">
        <v>924</v>
      </c>
      <c r="V5" s="8">
        <v>0.0</v>
      </c>
      <c r="W5" s="11" t="s">
        <v>925</v>
      </c>
      <c r="X5" s="8">
        <v>0.0</v>
      </c>
      <c r="Y5" s="11" t="s">
        <v>926</v>
      </c>
      <c r="Z5" s="8">
        <v>0.0</v>
      </c>
      <c r="AA5" s="11" t="s">
        <v>927</v>
      </c>
      <c r="AB5" s="8">
        <v>0.0</v>
      </c>
      <c r="AC5" s="11" t="s">
        <v>928</v>
      </c>
      <c r="AD5" s="8">
        <v>0.0</v>
      </c>
      <c r="AE5" s="55"/>
      <c r="AF5" s="8"/>
    </row>
    <row r="6" ht="15.75" customHeight="1">
      <c r="A6" s="8">
        <v>1412.0</v>
      </c>
      <c r="B6" s="8" t="s">
        <v>48</v>
      </c>
      <c r="C6" s="9" t="str">
        <f t="shared" si="1"/>
        <v>ESD-05_SPARE</v>
      </c>
      <c r="D6" s="75" t="s">
        <v>941</v>
      </c>
      <c r="E6" s="67" t="s">
        <v>941</v>
      </c>
      <c r="F6" s="67" t="s">
        <v>942</v>
      </c>
      <c r="G6" s="21" t="s">
        <v>943</v>
      </c>
      <c r="H6" s="68">
        <v>0.0</v>
      </c>
      <c r="I6" s="21" t="s">
        <v>944</v>
      </c>
      <c r="J6" s="68">
        <v>0.0</v>
      </c>
      <c r="K6" s="11" t="s">
        <v>919</v>
      </c>
      <c r="L6" s="8">
        <v>0.0</v>
      </c>
      <c r="M6" s="11" t="s">
        <v>920</v>
      </c>
      <c r="N6" s="8">
        <v>0.0</v>
      </c>
      <c r="O6" s="11" t="s">
        <v>921</v>
      </c>
      <c r="P6" s="8">
        <v>0.0</v>
      </c>
      <c r="Q6" s="11" t="s">
        <v>922</v>
      </c>
      <c r="R6" s="8">
        <v>0.0</v>
      </c>
      <c r="S6" s="11" t="s">
        <v>923</v>
      </c>
      <c r="T6" s="8">
        <v>0.0</v>
      </c>
      <c r="U6" s="11" t="s">
        <v>924</v>
      </c>
      <c r="V6" s="8">
        <v>0.0</v>
      </c>
      <c r="W6" s="11" t="s">
        <v>925</v>
      </c>
      <c r="X6" s="8">
        <v>0.0</v>
      </c>
      <c r="Y6" s="11" t="s">
        <v>926</v>
      </c>
      <c r="Z6" s="8">
        <v>0.0</v>
      </c>
      <c r="AA6" s="11" t="s">
        <v>927</v>
      </c>
      <c r="AB6" s="8">
        <v>0.0</v>
      </c>
      <c r="AC6" s="11" t="s">
        <v>928</v>
      </c>
      <c r="AD6" s="8">
        <v>0.0</v>
      </c>
      <c r="AE6" s="55"/>
      <c r="AF6" s="8"/>
    </row>
    <row r="7" ht="15.75" customHeight="1">
      <c r="A7" s="8">
        <v>1412.0</v>
      </c>
      <c r="B7" s="8" t="s">
        <v>48</v>
      </c>
      <c r="C7" s="9" t="str">
        <f t="shared" si="1"/>
        <v>ESD-06_TLF PUMP HOUSE-2</v>
      </c>
      <c r="D7" s="75" t="s">
        <v>945</v>
      </c>
      <c r="E7" s="67" t="s">
        <v>945</v>
      </c>
      <c r="F7" s="67" t="s">
        <v>946</v>
      </c>
      <c r="G7" s="21" t="s">
        <v>947</v>
      </c>
      <c r="H7" s="68">
        <v>0.0</v>
      </c>
      <c r="I7" s="21" t="s">
        <v>948</v>
      </c>
      <c r="J7" s="68">
        <v>0.0</v>
      </c>
      <c r="K7" s="11" t="s">
        <v>919</v>
      </c>
      <c r="L7" s="8">
        <v>0.0</v>
      </c>
      <c r="M7" s="11" t="s">
        <v>920</v>
      </c>
      <c r="N7" s="8">
        <v>0.0</v>
      </c>
      <c r="O7" s="11" t="s">
        <v>921</v>
      </c>
      <c r="P7" s="8">
        <v>0.0</v>
      </c>
      <c r="Q7" s="11" t="s">
        <v>922</v>
      </c>
      <c r="R7" s="8">
        <v>0.0</v>
      </c>
      <c r="S7" s="11" t="s">
        <v>923</v>
      </c>
      <c r="T7" s="8">
        <v>0.0</v>
      </c>
      <c r="U7" s="11" t="s">
        <v>924</v>
      </c>
      <c r="V7" s="8">
        <v>0.0</v>
      </c>
      <c r="W7" s="11" t="s">
        <v>925</v>
      </c>
      <c r="X7" s="8">
        <v>0.0</v>
      </c>
      <c r="Y7" s="11" t="s">
        <v>926</v>
      </c>
      <c r="Z7" s="8">
        <v>0.0</v>
      </c>
      <c r="AA7" s="11" t="s">
        <v>927</v>
      </c>
      <c r="AB7" s="8">
        <v>0.0</v>
      </c>
      <c r="AC7" s="11" t="s">
        <v>928</v>
      </c>
      <c r="AD7" s="8">
        <v>0.0</v>
      </c>
      <c r="AE7" s="55"/>
      <c r="AF7" s="8"/>
    </row>
    <row r="8" ht="15.75" customHeight="1">
      <c r="A8" s="8">
        <v>1412.0</v>
      </c>
      <c r="B8" s="8" t="s">
        <v>48</v>
      </c>
      <c r="C8" s="9" t="str">
        <f t="shared" si="1"/>
        <v>ESD-07_NEAR TK-03</v>
      </c>
      <c r="D8" s="75" t="s">
        <v>949</v>
      </c>
      <c r="E8" s="67" t="s">
        <v>949</v>
      </c>
      <c r="F8" s="67" t="s">
        <v>950</v>
      </c>
      <c r="G8" s="21" t="s">
        <v>951</v>
      </c>
      <c r="H8" s="68">
        <v>0.0</v>
      </c>
      <c r="I8" s="21" t="s">
        <v>952</v>
      </c>
      <c r="J8" s="68">
        <v>0.0</v>
      </c>
      <c r="K8" s="11" t="s">
        <v>919</v>
      </c>
      <c r="L8" s="8">
        <v>0.0</v>
      </c>
      <c r="M8" s="11" t="s">
        <v>920</v>
      </c>
      <c r="N8" s="8">
        <v>0.0</v>
      </c>
      <c r="O8" s="11" t="s">
        <v>921</v>
      </c>
      <c r="P8" s="8">
        <v>0.0</v>
      </c>
      <c r="Q8" s="11" t="s">
        <v>922</v>
      </c>
      <c r="R8" s="8">
        <v>0.0</v>
      </c>
      <c r="S8" s="11" t="s">
        <v>923</v>
      </c>
      <c r="T8" s="8">
        <v>0.0</v>
      </c>
      <c r="U8" s="11" t="s">
        <v>924</v>
      </c>
      <c r="V8" s="8">
        <v>0.0</v>
      </c>
      <c r="W8" s="11" t="s">
        <v>925</v>
      </c>
      <c r="X8" s="8">
        <v>0.0</v>
      </c>
      <c r="Y8" s="11" t="s">
        <v>926</v>
      </c>
      <c r="Z8" s="8">
        <v>0.0</v>
      </c>
      <c r="AA8" s="11" t="s">
        <v>927</v>
      </c>
      <c r="AB8" s="8">
        <v>0.0</v>
      </c>
      <c r="AC8" s="11" t="s">
        <v>928</v>
      </c>
      <c r="AD8" s="8">
        <v>0.0</v>
      </c>
      <c r="AE8" s="55"/>
      <c r="AF8" s="8"/>
    </row>
    <row r="9" ht="15.75" customHeight="1">
      <c r="A9" s="8">
        <v>1412.0</v>
      </c>
      <c r="B9" s="8" t="s">
        <v>48</v>
      </c>
      <c r="C9" s="9" t="str">
        <f t="shared" si="1"/>
        <v>ESD-08_NEAR TK-06</v>
      </c>
      <c r="D9" s="75" t="s">
        <v>953</v>
      </c>
      <c r="E9" s="67" t="s">
        <v>953</v>
      </c>
      <c r="F9" s="67" t="s">
        <v>954</v>
      </c>
      <c r="G9" s="21" t="s">
        <v>955</v>
      </c>
      <c r="H9" s="68">
        <v>0.0</v>
      </c>
      <c r="I9" s="21" t="s">
        <v>956</v>
      </c>
      <c r="J9" s="68">
        <v>0.0</v>
      </c>
      <c r="K9" s="11" t="s">
        <v>919</v>
      </c>
      <c r="L9" s="8">
        <v>0.0</v>
      </c>
      <c r="M9" s="11" t="s">
        <v>920</v>
      </c>
      <c r="N9" s="8">
        <v>0.0</v>
      </c>
      <c r="O9" s="11" t="s">
        <v>921</v>
      </c>
      <c r="P9" s="8">
        <v>0.0</v>
      </c>
      <c r="Q9" s="11" t="s">
        <v>922</v>
      </c>
      <c r="R9" s="8">
        <v>0.0</v>
      </c>
      <c r="S9" s="11" t="s">
        <v>923</v>
      </c>
      <c r="T9" s="8">
        <v>0.0</v>
      </c>
      <c r="U9" s="11" t="s">
        <v>924</v>
      </c>
      <c r="V9" s="8">
        <v>0.0</v>
      </c>
      <c r="W9" s="11" t="s">
        <v>925</v>
      </c>
      <c r="X9" s="8">
        <v>0.0</v>
      </c>
      <c r="Y9" s="11" t="s">
        <v>926</v>
      </c>
      <c r="Z9" s="8">
        <v>0.0</v>
      </c>
      <c r="AA9" s="11" t="s">
        <v>927</v>
      </c>
      <c r="AB9" s="8">
        <v>0.0</v>
      </c>
      <c r="AC9" s="11" t="s">
        <v>928</v>
      </c>
      <c r="AD9" s="8">
        <v>0.0</v>
      </c>
      <c r="AE9" s="55"/>
      <c r="AF9" s="8"/>
    </row>
    <row r="10" ht="15.75" customHeight="1">
      <c r="A10" s="8">
        <v>1412.0</v>
      </c>
      <c r="B10" s="8" t="s">
        <v>48</v>
      </c>
      <c r="C10" s="9" t="str">
        <f t="shared" si="1"/>
        <v>ESD-09_NEAR TK-15</v>
      </c>
      <c r="D10" s="75" t="s">
        <v>957</v>
      </c>
      <c r="E10" s="67" t="s">
        <v>957</v>
      </c>
      <c r="F10" s="67" t="s">
        <v>958</v>
      </c>
      <c r="G10" s="21" t="s">
        <v>959</v>
      </c>
      <c r="H10" s="68">
        <v>0.0</v>
      </c>
      <c r="I10" s="21" t="s">
        <v>960</v>
      </c>
      <c r="J10" s="68">
        <v>0.0</v>
      </c>
      <c r="K10" s="11" t="s">
        <v>919</v>
      </c>
      <c r="L10" s="8">
        <v>0.0</v>
      </c>
      <c r="M10" s="11" t="s">
        <v>920</v>
      </c>
      <c r="N10" s="8">
        <v>0.0</v>
      </c>
      <c r="O10" s="11" t="s">
        <v>921</v>
      </c>
      <c r="P10" s="8">
        <v>0.0</v>
      </c>
      <c r="Q10" s="11" t="s">
        <v>922</v>
      </c>
      <c r="R10" s="8">
        <v>0.0</v>
      </c>
      <c r="S10" s="11" t="s">
        <v>923</v>
      </c>
      <c r="T10" s="8">
        <v>0.0</v>
      </c>
      <c r="U10" s="11" t="s">
        <v>924</v>
      </c>
      <c r="V10" s="8">
        <v>0.0</v>
      </c>
      <c r="W10" s="11" t="s">
        <v>925</v>
      </c>
      <c r="X10" s="8">
        <v>0.0</v>
      </c>
      <c r="Y10" s="11" t="s">
        <v>926</v>
      </c>
      <c r="Z10" s="8">
        <v>0.0</v>
      </c>
      <c r="AA10" s="11" t="s">
        <v>927</v>
      </c>
      <c r="AB10" s="8">
        <v>0.0</v>
      </c>
      <c r="AC10" s="11" t="s">
        <v>928</v>
      </c>
      <c r="AD10" s="8">
        <v>0.0</v>
      </c>
      <c r="AE10" s="55"/>
      <c r="AF10" s="8"/>
    </row>
    <row r="11" ht="15.75" customHeight="1">
      <c r="A11" s="8">
        <v>1412.0</v>
      </c>
      <c r="B11" s="8" t="s">
        <v>48</v>
      </c>
      <c r="C11" s="9" t="str">
        <f t="shared" si="1"/>
        <v>ESD-10_WAGON SIDING</v>
      </c>
      <c r="D11" s="75" t="s">
        <v>961</v>
      </c>
      <c r="E11" s="67" t="s">
        <v>961</v>
      </c>
      <c r="F11" s="67" t="s">
        <v>962</v>
      </c>
      <c r="G11" s="21" t="s">
        <v>963</v>
      </c>
      <c r="H11" s="68">
        <v>0.0</v>
      </c>
      <c r="I11" s="21" t="s">
        <v>964</v>
      </c>
      <c r="J11" s="68">
        <v>0.0</v>
      </c>
      <c r="K11" s="11" t="s">
        <v>919</v>
      </c>
      <c r="L11" s="8">
        <v>0.0</v>
      </c>
      <c r="M11" s="11" t="s">
        <v>920</v>
      </c>
      <c r="N11" s="8">
        <v>0.0</v>
      </c>
      <c r="O11" s="11" t="s">
        <v>921</v>
      </c>
      <c r="P11" s="8">
        <v>0.0</v>
      </c>
      <c r="Q11" s="11" t="s">
        <v>922</v>
      </c>
      <c r="R11" s="8">
        <v>0.0</v>
      </c>
      <c r="S11" s="11" t="s">
        <v>923</v>
      </c>
      <c r="T11" s="8">
        <v>0.0</v>
      </c>
      <c r="U11" s="11" t="s">
        <v>924</v>
      </c>
      <c r="V11" s="8">
        <v>0.0</v>
      </c>
      <c r="W11" s="11" t="s">
        <v>925</v>
      </c>
      <c r="X11" s="8">
        <v>0.0</v>
      </c>
      <c r="Y11" s="11" t="s">
        <v>926</v>
      </c>
      <c r="Z11" s="8">
        <v>0.0</v>
      </c>
      <c r="AA11" s="11" t="s">
        <v>927</v>
      </c>
      <c r="AB11" s="8">
        <v>0.0</v>
      </c>
      <c r="AC11" s="11" t="s">
        <v>928</v>
      </c>
      <c r="AD11" s="8">
        <v>0.0</v>
      </c>
      <c r="AE11" s="55"/>
      <c r="AF11" s="8"/>
    </row>
    <row r="12" ht="15.75" customHeight="1">
      <c r="A12" s="8">
        <v>1412.0</v>
      </c>
      <c r="B12" s="8" t="s">
        <v>48</v>
      </c>
      <c r="C12" s="9" t="str">
        <f t="shared" si="1"/>
        <v>ESD-11_TM ROOM</v>
      </c>
      <c r="D12" s="75" t="s">
        <v>965</v>
      </c>
      <c r="E12" s="67" t="s">
        <v>965</v>
      </c>
      <c r="F12" s="67" t="s">
        <v>966</v>
      </c>
      <c r="G12" s="21" t="s">
        <v>967</v>
      </c>
      <c r="H12" s="68">
        <v>0.0</v>
      </c>
      <c r="I12" s="21" t="s">
        <v>968</v>
      </c>
      <c r="J12" s="68">
        <v>0.0</v>
      </c>
      <c r="K12" s="11" t="s">
        <v>919</v>
      </c>
      <c r="L12" s="8">
        <v>0.0</v>
      </c>
      <c r="M12" s="11" t="s">
        <v>920</v>
      </c>
      <c r="N12" s="8">
        <v>0.0</v>
      </c>
      <c r="O12" s="11" t="s">
        <v>921</v>
      </c>
      <c r="P12" s="8">
        <v>0.0</v>
      </c>
      <c r="Q12" s="11" t="s">
        <v>922</v>
      </c>
      <c r="R12" s="8">
        <v>0.0</v>
      </c>
      <c r="S12" s="11" t="s">
        <v>923</v>
      </c>
      <c r="T12" s="8">
        <v>0.0</v>
      </c>
      <c r="U12" s="11" t="s">
        <v>924</v>
      </c>
      <c r="V12" s="8">
        <v>0.0</v>
      </c>
      <c r="W12" s="11" t="s">
        <v>925</v>
      </c>
      <c r="X12" s="8">
        <v>0.0</v>
      </c>
      <c r="Y12" s="11" t="s">
        <v>926</v>
      </c>
      <c r="Z12" s="8">
        <v>0.0</v>
      </c>
      <c r="AA12" s="11" t="s">
        <v>927</v>
      </c>
      <c r="AB12" s="8">
        <v>0.0</v>
      </c>
      <c r="AC12" s="11" t="s">
        <v>928</v>
      </c>
      <c r="AD12" s="8">
        <v>0.0</v>
      </c>
      <c r="AE12" s="55"/>
      <c r="AF12" s="8"/>
    </row>
    <row r="13" ht="15.75" customHeight="1">
      <c r="A13" s="8">
        <v>1412.0</v>
      </c>
      <c r="B13" s="8" t="s">
        <v>48</v>
      </c>
      <c r="C13" s="9" t="str">
        <f t="shared" si="1"/>
        <v>ESD-12_CONTROL ROOM</v>
      </c>
      <c r="D13" s="75" t="s">
        <v>969</v>
      </c>
      <c r="E13" s="67" t="s">
        <v>969</v>
      </c>
      <c r="F13" s="67" t="s">
        <v>970</v>
      </c>
      <c r="G13" s="21" t="s">
        <v>971</v>
      </c>
      <c r="H13" s="68">
        <v>0.0</v>
      </c>
      <c r="I13" s="21" t="s">
        <v>972</v>
      </c>
      <c r="J13" s="68">
        <v>0.0</v>
      </c>
      <c r="K13" s="11" t="s">
        <v>919</v>
      </c>
      <c r="L13" s="8">
        <v>0.0</v>
      </c>
      <c r="M13" s="11" t="s">
        <v>920</v>
      </c>
      <c r="N13" s="8">
        <v>0.0</v>
      </c>
      <c r="O13" s="11" t="s">
        <v>921</v>
      </c>
      <c r="P13" s="8">
        <v>0.0</v>
      </c>
      <c r="Q13" s="11" t="s">
        <v>922</v>
      </c>
      <c r="R13" s="8">
        <v>0.0</v>
      </c>
      <c r="S13" s="11" t="s">
        <v>923</v>
      </c>
      <c r="T13" s="8">
        <v>0.0</v>
      </c>
      <c r="U13" s="11" t="s">
        <v>924</v>
      </c>
      <c r="V13" s="8">
        <v>0.0</v>
      </c>
      <c r="W13" s="11" t="s">
        <v>925</v>
      </c>
      <c r="X13" s="8">
        <v>0.0</v>
      </c>
      <c r="Y13" s="11" t="s">
        <v>926</v>
      </c>
      <c r="Z13" s="8">
        <v>0.0</v>
      </c>
      <c r="AA13" s="11" t="s">
        <v>927</v>
      </c>
      <c r="AB13" s="8">
        <v>0.0</v>
      </c>
      <c r="AC13" s="11" t="s">
        <v>928</v>
      </c>
      <c r="AD13" s="8">
        <v>0.0</v>
      </c>
      <c r="AE13" s="55"/>
      <c r="AF13" s="8"/>
    </row>
    <row r="14" ht="15.75" customHeight="1">
      <c r="A14" s="8">
        <v>1412.0</v>
      </c>
      <c r="B14" s="8" t="s">
        <v>48</v>
      </c>
      <c r="C14" s="9" t="str">
        <f t="shared" si="1"/>
        <v>ESD-13_NEAR TK-23</v>
      </c>
      <c r="D14" s="75" t="s">
        <v>973</v>
      </c>
      <c r="E14" s="67" t="s">
        <v>973</v>
      </c>
      <c r="F14" s="67" t="s">
        <v>974</v>
      </c>
      <c r="G14" s="21" t="s">
        <v>975</v>
      </c>
      <c r="H14" s="68">
        <v>0.0</v>
      </c>
      <c r="I14" s="21" t="s">
        <v>976</v>
      </c>
      <c r="J14" s="68">
        <v>0.0</v>
      </c>
      <c r="K14" s="11" t="s">
        <v>919</v>
      </c>
      <c r="L14" s="8">
        <v>0.0</v>
      </c>
      <c r="M14" s="11" t="s">
        <v>920</v>
      </c>
      <c r="N14" s="8">
        <v>0.0</v>
      </c>
      <c r="O14" s="11" t="s">
        <v>921</v>
      </c>
      <c r="P14" s="8">
        <v>0.0</v>
      </c>
      <c r="Q14" s="11" t="s">
        <v>922</v>
      </c>
      <c r="R14" s="8">
        <v>0.0</v>
      </c>
      <c r="S14" s="11" t="s">
        <v>923</v>
      </c>
      <c r="T14" s="8">
        <v>0.0</v>
      </c>
      <c r="U14" s="11" t="s">
        <v>924</v>
      </c>
      <c r="V14" s="8">
        <v>0.0</v>
      </c>
      <c r="W14" s="11" t="s">
        <v>925</v>
      </c>
      <c r="X14" s="8">
        <v>0.0</v>
      </c>
      <c r="Y14" s="11" t="s">
        <v>926</v>
      </c>
      <c r="Z14" s="8">
        <v>0.0</v>
      </c>
      <c r="AA14" s="11" t="s">
        <v>927</v>
      </c>
      <c r="AB14" s="8">
        <v>0.0</v>
      </c>
      <c r="AC14" s="11" t="s">
        <v>928</v>
      </c>
      <c r="AD14" s="8">
        <v>0.0</v>
      </c>
      <c r="AE14" s="55"/>
      <c r="AF14" s="8"/>
    </row>
    <row r="15" ht="15.75" customHeight="1">
      <c r="A15" s="8">
        <v>1412.0</v>
      </c>
      <c r="B15" s="8" t="s">
        <v>48</v>
      </c>
      <c r="C15" s="9" t="str">
        <f t="shared" si="1"/>
        <v>ESD-14_SPARE</v>
      </c>
      <c r="D15" s="75" t="s">
        <v>977</v>
      </c>
      <c r="E15" s="67" t="s">
        <v>977</v>
      </c>
      <c r="F15" s="67" t="s">
        <v>942</v>
      </c>
      <c r="G15" s="21" t="s">
        <v>978</v>
      </c>
      <c r="H15" s="68">
        <v>0.0</v>
      </c>
      <c r="I15" s="21" t="s">
        <v>979</v>
      </c>
      <c r="J15" s="68">
        <v>0.0</v>
      </c>
      <c r="K15" s="11" t="s">
        <v>919</v>
      </c>
      <c r="L15" s="8">
        <v>0.0</v>
      </c>
      <c r="M15" s="11" t="s">
        <v>920</v>
      </c>
      <c r="N15" s="8">
        <v>0.0</v>
      </c>
      <c r="O15" s="11" t="s">
        <v>921</v>
      </c>
      <c r="P15" s="8">
        <v>0.0</v>
      </c>
      <c r="Q15" s="11" t="s">
        <v>922</v>
      </c>
      <c r="R15" s="8">
        <v>0.0</v>
      </c>
      <c r="S15" s="11" t="s">
        <v>923</v>
      </c>
      <c r="T15" s="8">
        <v>0.0</v>
      </c>
      <c r="U15" s="11" t="s">
        <v>924</v>
      </c>
      <c r="V15" s="8">
        <v>0.0</v>
      </c>
      <c r="W15" s="11" t="s">
        <v>925</v>
      </c>
      <c r="X15" s="8">
        <v>0.0</v>
      </c>
      <c r="Y15" s="11" t="s">
        <v>926</v>
      </c>
      <c r="Z15" s="8">
        <v>0.0</v>
      </c>
      <c r="AA15" s="11" t="s">
        <v>927</v>
      </c>
      <c r="AB15" s="8">
        <v>0.0</v>
      </c>
      <c r="AC15" s="11" t="s">
        <v>928</v>
      </c>
      <c r="AD15" s="8">
        <v>0.0</v>
      </c>
      <c r="AE15" s="55"/>
      <c r="AF15" s="8"/>
    </row>
    <row r="16" ht="15.75" customHeight="1">
      <c r="A16" s="8">
        <v>1412.0</v>
      </c>
      <c r="B16" s="8" t="s">
        <v>48</v>
      </c>
      <c r="C16" s="9" t="str">
        <f t="shared" si="1"/>
        <v>ESD-15_WAGON PH</v>
      </c>
      <c r="D16" s="75" t="s">
        <v>980</v>
      </c>
      <c r="E16" s="67" t="s">
        <v>980</v>
      </c>
      <c r="F16" s="67" t="s">
        <v>981</v>
      </c>
      <c r="G16" s="21" t="s">
        <v>982</v>
      </c>
      <c r="H16" s="68">
        <v>0.0</v>
      </c>
      <c r="I16" s="21" t="s">
        <v>983</v>
      </c>
      <c r="J16" s="68">
        <v>0.0</v>
      </c>
      <c r="K16" s="11" t="s">
        <v>919</v>
      </c>
      <c r="L16" s="8">
        <v>0.0</v>
      </c>
      <c r="M16" s="11" t="s">
        <v>920</v>
      </c>
      <c r="N16" s="8">
        <v>0.0</v>
      </c>
      <c r="O16" s="11" t="s">
        <v>921</v>
      </c>
      <c r="P16" s="8">
        <v>0.0</v>
      </c>
      <c r="Q16" s="11" t="s">
        <v>922</v>
      </c>
      <c r="R16" s="8">
        <v>0.0</v>
      </c>
      <c r="S16" s="11" t="s">
        <v>923</v>
      </c>
      <c r="T16" s="8">
        <v>0.0</v>
      </c>
      <c r="U16" s="11" t="s">
        <v>924</v>
      </c>
      <c r="V16" s="8">
        <v>0.0</v>
      </c>
      <c r="W16" s="11" t="s">
        <v>925</v>
      </c>
      <c r="X16" s="8">
        <v>0.0</v>
      </c>
      <c r="Y16" s="11" t="s">
        <v>926</v>
      </c>
      <c r="Z16" s="8">
        <v>0.0</v>
      </c>
      <c r="AA16" s="11" t="s">
        <v>927</v>
      </c>
      <c r="AB16" s="8">
        <v>0.0</v>
      </c>
      <c r="AC16" s="11" t="s">
        <v>928</v>
      </c>
      <c r="AD16" s="8">
        <v>0.0</v>
      </c>
      <c r="AE16" s="55"/>
      <c r="AF16" s="8"/>
    </row>
    <row r="17" ht="15.75" customHeight="1">
      <c r="A17" s="8">
        <v>1412.0</v>
      </c>
      <c r="B17" s="8" t="s">
        <v>48</v>
      </c>
      <c r="C17" s="9" t="str">
        <f t="shared" si="1"/>
        <v>ESD-16_SECURITY GATE</v>
      </c>
      <c r="D17" s="75" t="s">
        <v>984</v>
      </c>
      <c r="E17" s="67" t="s">
        <v>984</v>
      </c>
      <c r="F17" s="67" t="s">
        <v>985</v>
      </c>
      <c r="G17" s="21" t="s">
        <v>986</v>
      </c>
      <c r="H17" s="68">
        <v>0.0</v>
      </c>
      <c r="I17" s="21" t="s">
        <v>987</v>
      </c>
      <c r="J17" s="68">
        <v>0.0</v>
      </c>
      <c r="K17" s="11" t="s">
        <v>919</v>
      </c>
      <c r="L17" s="8">
        <v>0.0</v>
      </c>
      <c r="M17" s="11" t="s">
        <v>920</v>
      </c>
      <c r="N17" s="8">
        <v>0.0</v>
      </c>
      <c r="O17" s="11" t="s">
        <v>921</v>
      </c>
      <c r="P17" s="8">
        <v>0.0</v>
      </c>
      <c r="Q17" s="11" t="s">
        <v>922</v>
      </c>
      <c r="R17" s="8">
        <v>0.0</v>
      </c>
      <c r="S17" s="11" t="s">
        <v>923</v>
      </c>
      <c r="T17" s="8">
        <v>0.0</v>
      </c>
      <c r="U17" s="11" t="s">
        <v>924</v>
      </c>
      <c r="V17" s="8">
        <v>0.0</v>
      </c>
      <c r="W17" s="11" t="s">
        <v>925</v>
      </c>
      <c r="X17" s="8">
        <v>0.0</v>
      </c>
      <c r="Y17" s="11" t="s">
        <v>926</v>
      </c>
      <c r="Z17" s="8">
        <v>0.0</v>
      </c>
      <c r="AA17" s="11" t="s">
        <v>927</v>
      </c>
      <c r="AB17" s="8">
        <v>0.0</v>
      </c>
      <c r="AC17" s="11" t="s">
        <v>928</v>
      </c>
      <c r="AD17" s="8">
        <v>0.0</v>
      </c>
      <c r="AE17" s="55"/>
      <c r="AF17" s="8"/>
    </row>
    <row r="18" ht="15.75" customHeight="1">
      <c r="A18" s="8">
        <v>1412.0</v>
      </c>
      <c r="B18" s="8" t="s">
        <v>48</v>
      </c>
      <c r="C18" s="9" t="str">
        <f t="shared" si="1"/>
        <v>ESD-CENTRAL_ESD-CENTRAL</v>
      </c>
      <c r="D18" s="75" t="s">
        <v>988</v>
      </c>
      <c r="E18" s="76" t="s">
        <v>989</v>
      </c>
      <c r="F18" s="67" t="s">
        <v>988</v>
      </c>
      <c r="G18" s="29" t="s">
        <v>990</v>
      </c>
      <c r="H18" s="68">
        <v>0.0</v>
      </c>
      <c r="I18" s="21"/>
      <c r="J18" s="68"/>
      <c r="K18" s="11" t="s">
        <v>919</v>
      </c>
      <c r="L18" s="8">
        <v>0.0</v>
      </c>
      <c r="M18" s="11" t="s">
        <v>920</v>
      </c>
      <c r="N18" s="8">
        <v>0.0</v>
      </c>
      <c r="O18" s="11" t="s">
        <v>921</v>
      </c>
      <c r="P18" s="8">
        <v>0.0</v>
      </c>
      <c r="Q18" s="11" t="s">
        <v>922</v>
      </c>
      <c r="R18" s="8">
        <v>0.0</v>
      </c>
      <c r="S18" s="11" t="s">
        <v>923</v>
      </c>
      <c r="T18" s="8">
        <v>0.0</v>
      </c>
      <c r="U18" s="11" t="s">
        <v>924</v>
      </c>
      <c r="V18" s="8">
        <v>0.0</v>
      </c>
      <c r="W18" s="11" t="s">
        <v>925</v>
      </c>
      <c r="X18" s="8">
        <v>0.0</v>
      </c>
      <c r="Y18" s="11" t="s">
        <v>926</v>
      </c>
      <c r="Z18" s="8">
        <v>0.0</v>
      </c>
      <c r="AA18" s="11" t="s">
        <v>927</v>
      </c>
      <c r="AB18" s="8">
        <v>0.0</v>
      </c>
      <c r="AC18" s="11" t="s">
        <v>928</v>
      </c>
      <c r="AD18" s="8">
        <v>0.0</v>
      </c>
      <c r="AE18" s="55"/>
      <c r="AF18" s="8"/>
    </row>
    <row r="19" ht="15.75" customHeight="1">
      <c r="A19" s="8">
        <v>1412.0</v>
      </c>
      <c r="B19" s="8" t="s">
        <v>48</v>
      </c>
      <c r="C19" s="9" t="str">
        <f t="shared" si="1"/>
        <v>ESD-SOFT_SOFT FROM OIC</v>
      </c>
      <c r="D19" s="75" t="s">
        <v>991</v>
      </c>
      <c r="E19" s="67" t="s">
        <v>991</v>
      </c>
      <c r="F19" s="67" t="s">
        <v>992</v>
      </c>
      <c r="G19" s="21" t="s">
        <v>993</v>
      </c>
      <c r="H19" s="68">
        <v>0.0</v>
      </c>
      <c r="I19" s="21"/>
      <c r="J19" s="68"/>
      <c r="K19" s="11" t="s">
        <v>919</v>
      </c>
      <c r="L19" s="8">
        <v>0.0</v>
      </c>
      <c r="M19" s="11" t="s">
        <v>920</v>
      </c>
      <c r="N19" s="8">
        <v>0.0</v>
      </c>
      <c r="O19" s="11" t="s">
        <v>921</v>
      </c>
      <c r="P19" s="8">
        <v>0.0</v>
      </c>
      <c r="Q19" s="11" t="s">
        <v>922</v>
      </c>
      <c r="R19" s="8">
        <v>0.0</v>
      </c>
      <c r="S19" s="11" t="s">
        <v>923</v>
      </c>
      <c r="T19" s="8">
        <v>0.0</v>
      </c>
      <c r="U19" s="11" t="s">
        <v>924</v>
      </c>
      <c r="V19" s="8">
        <v>0.0</v>
      </c>
      <c r="W19" s="11" t="s">
        <v>925</v>
      </c>
      <c r="X19" s="8">
        <v>0.0</v>
      </c>
      <c r="Y19" s="11" t="s">
        <v>926</v>
      </c>
      <c r="Z19" s="8">
        <v>0.0</v>
      </c>
      <c r="AA19" s="11" t="s">
        <v>927</v>
      </c>
      <c r="AB19" s="8">
        <v>0.0</v>
      </c>
      <c r="AC19" s="11" t="s">
        <v>928</v>
      </c>
      <c r="AD19" s="8">
        <v>0.0</v>
      </c>
      <c r="AE19" s="55"/>
      <c r="AF19" s="8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77"/>
      <c r="L24" s="78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994</v>
      </c>
      <c r="E1" s="2" t="s">
        <v>995</v>
      </c>
      <c r="F1" s="2" t="s">
        <v>996</v>
      </c>
      <c r="G1" s="2" t="s">
        <v>5</v>
      </c>
      <c r="H1" s="45" t="s">
        <v>997</v>
      </c>
      <c r="I1" s="45" t="s">
        <v>7</v>
      </c>
      <c r="J1" s="45" t="s">
        <v>998</v>
      </c>
      <c r="K1" s="45" t="s">
        <v>7</v>
      </c>
      <c r="L1" s="47" t="s">
        <v>999</v>
      </c>
      <c r="M1" s="47" t="s">
        <v>7</v>
      </c>
      <c r="N1" s="45" t="s">
        <v>1000</v>
      </c>
      <c r="O1" s="45" t="s">
        <v>7</v>
      </c>
      <c r="P1" s="47" t="s">
        <v>1001</v>
      </c>
      <c r="Q1" s="47" t="s">
        <v>7</v>
      </c>
      <c r="R1" s="45" t="s">
        <v>1002</v>
      </c>
      <c r="S1" s="45" t="s">
        <v>7</v>
      </c>
      <c r="T1" s="47" t="s">
        <v>1003</v>
      </c>
      <c r="U1" s="47" t="s">
        <v>7</v>
      </c>
      <c r="V1" s="45" t="s">
        <v>1004</v>
      </c>
      <c r="W1" s="45" t="s">
        <v>7</v>
      </c>
      <c r="X1" s="45" t="s">
        <v>1005</v>
      </c>
      <c r="Y1" s="45" t="s">
        <v>7</v>
      </c>
      <c r="Z1" s="45" t="s">
        <v>1006</v>
      </c>
      <c r="AA1" s="45" t="s">
        <v>7</v>
      </c>
      <c r="AB1" s="45" t="s">
        <v>1007</v>
      </c>
      <c r="AC1" s="45" t="s">
        <v>7</v>
      </c>
      <c r="AD1" s="45" t="s">
        <v>1008</v>
      </c>
      <c r="AE1" s="45" t="s">
        <v>7</v>
      </c>
      <c r="AF1" s="45" t="s">
        <v>1009</v>
      </c>
      <c r="AG1" s="45" t="s">
        <v>7</v>
      </c>
      <c r="AH1" s="79" t="s">
        <v>1010</v>
      </c>
      <c r="AI1" s="80" t="s">
        <v>7</v>
      </c>
      <c r="AJ1" s="46" t="s">
        <v>1011</v>
      </c>
      <c r="AK1" s="46" t="s">
        <v>7</v>
      </c>
      <c r="AL1" s="48" t="s">
        <v>1012</v>
      </c>
      <c r="AM1" s="48" t="s">
        <v>7</v>
      </c>
      <c r="AN1" s="45" t="s">
        <v>1013</v>
      </c>
      <c r="AO1" s="45" t="s">
        <v>13</v>
      </c>
      <c r="AP1" s="45" t="s">
        <v>1014</v>
      </c>
      <c r="AQ1" s="45" t="s">
        <v>7</v>
      </c>
      <c r="AR1" s="47" t="s">
        <v>1015</v>
      </c>
      <c r="AS1" s="47" t="s">
        <v>7</v>
      </c>
    </row>
    <row r="2" ht="15.75" customHeight="1">
      <c r="A2" s="8">
        <v>1412.0</v>
      </c>
      <c r="B2" s="8" t="s">
        <v>48</v>
      </c>
      <c r="C2" s="9" t="str">
        <f t="shared" ref="C2:C17" si="1">CONCATENATE(D2,"_",F2,"_",G2)</f>
        <v>LP 01_BC-01A_BS VI MS</v>
      </c>
      <c r="D2" s="52" t="s">
        <v>1016</v>
      </c>
      <c r="E2" s="52" t="s">
        <v>1017</v>
      </c>
      <c r="F2" s="59" t="s">
        <v>1018</v>
      </c>
      <c r="G2" s="59" t="s">
        <v>227</v>
      </c>
      <c r="H2" s="21" t="s">
        <v>1019</v>
      </c>
      <c r="I2" s="68">
        <v>0.0</v>
      </c>
      <c r="J2" s="21" t="s">
        <v>1020</v>
      </c>
      <c r="K2" s="68">
        <v>0.0</v>
      </c>
      <c r="L2" s="21" t="s">
        <v>1021</v>
      </c>
      <c r="M2" s="68">
        <v>0.0</v>
      </c>
      <c r="N2" s="21" t="s">
        <v>1022</v>
      </c>
      <c r="O2" s="68">
        <v>0.0</v>
      </c>
      <c r="P2" s="21" t="s">
        <v>1023</v>
      </c>
      <c r="Q2" s="68">
        <v>0.0</v>
      </c>
      <c r="R2" s="21" t="s">
        <v>1024</v>
      </c>
      <c r="S2" s="68">
        <v>0.0</v>
      </c>
      <c r="T2" s="21" t="s">
        <v>1024</v>
      </c>
      <c r="U2" s="68">
        <v>0.0</v>
      </c>
      <c r="V2" s="21" t="s">
        <v>1025</v>
      </c>
      <c r="W2" s="68">
        <v>0.0</v>
      </c>
      <c r="X2" s="21" t="s">
        <v>1026</v>
      </c>
      <c r="Y2" s="68">
        <v>0.0</v>
      </c>
      <c r="Z2" s="21" t="s">
        <v>1027</v>
      </c>
      <c r="AA2" s="68">
        <v>0.0</v>
      </c>
      <c r="AB2" s="21" t="s">
        <v>1028</v>
      </c>
      <c r="AC2" s="68">
        <v>0.0</v>
      </c>
      <c r="AD2" s="21" t="s">
        <v>1029</v>
      </c>
      <c r="AE2" s="68">
        <v>0.0</v>
      </c>
      <c r="AF2" s="21" t="s">
        <v>1030</v>
      </c>
      <c r="AG2" s="68">
        <v>0.0</v>
      </c>
      <c r="AH2" s="21" t="s">
        <v>1031</v>
      </c>
      <c r="AI2" s="68">
        <v>0.0</v>
      </c>
      <c r="AJ2" s="21" t="s">
        <v>1032</v>
      </c>
      <c r="AK2" s="68">
        <v>0.0</v>
      </c>
      <c r="AL2" s="21" t="s">
        <v>1033</v>
      </c>
      <c r="AM2" s="68">
        <v>0.0</v>
      </c>
      <c r="AN2" s="21" t="s">
        <v>1034</v>
      </c>
      <c r="AO2" s="68">
        <v>0.0</v>
      </c>
      <c r="AP2" s="21" t="s">
        <v>1035</v>
      </c>
      <c r="AQ2" s="68">
        <v>0.0</v>
      </c>
      <c r="AR2" s="21" t="s">
        <v>1036</v>
      </c>
      <c r="AS2" s="68">
        <v>0.0</v>
      </c>
    </row>
    <row r="3" ht="15.75" customHeight="1">
      <c r="A3" s="8">
        <v>1412.0</v>
      </c>
      <c r="B3" s="8" t="s">
        <v>48</v>
      </c>
      <c r="C3" s="9" t="str">
        <f t="shared" si="1"/>
        <v>LP 02_BC-01B_BS VI HSD</v>
      </c>
      <c r="D3" s="52" t="s">
        <v>1037</v>
      </c>
      <c r="E3" s="52" t="s">
        <v>1017</v>
      </c>
      <c r="F3" s="59" t="s">
        <v>1038</v>
      </c>
      <c r="G3" s="59" t="s">
        <v>51</v>
      </c>
      <c r="H3" s="21" t="s">
        <v>1039</v>
      </c>
      <c r="I3" s="68">
        <v>0.0</v>
      </c>
      <c r="J3" s="21" t="s">
        <v>1040</v>
      </c>
      <c r="K3" s="68">
        <v>0.0</v>
      </c>
      <c r="L3" s="21"/>
      <c r="M3" s="21"/>
      <c r="N3" s="21" t="s">
        <v>1041</v>
      </c>
      <c r="O3" s="68">
        <v>0.0</v>
      </c>
      <c r="P3" s="21"/>
      <c r="Q3" s="21"/>
      <c r="R3" s="21" t="s">
        <v>1042</v>
      </c>
      <c r="S3" s="68">
        <v>0.0</v>
      </c>
      <c r="T3" s="21"/>
      <c r="U3" s="21"/>
      <c r="V3" s="21" t="s">
        <v>1043</v>
      </c>
      <c r="W3" s="68">
        <v>0.0</v>
      </c>
      <c r="X3" s="21" t="s">
        <v>1044</v>
      </c>
      <c r="Y3" s="68">
        <v>0.0</v>
      </c>
      <c r="Z3" s="21" t="s">
        <v>1045</v>
      </c>
      <c r="AA3" s="68">
        <v>0.0</v>
      </c>
      <c r="AB3" s="21" t="s">
        <v>1046</v>
      </c>
      <c r="AC3" s="68">
        <v>0.0</v>
      </c>
      <c r="AD3" s="21" t="s">
        <v>1047</v>
      </c>
      <c r="AE3" s="68">
        <v>0.0</v>
      </c>
      <c r="AF3" s="21" t="s">
        <v>1048</v>
      </c>
      <c r="AG3" s="68">
        <v>0.0</v>
      </c>
      <c r="AH3" s="21" t="s">
        <v>1049</v>
      </c>
      <c r="AI3" s="68">
        <v>0.0</v>
      </c>
      <c r="AJ3" s="21" t="s">
        <v>1050</v>
      </c>
      <c r="AK3" s="68">
        <v>0.0</v>
      </c>
      <c r="AL3" s="21"/>
      <c r="AM3" s="21"/>
      <c r="AN3" s="21" t="s">
        <v>1051</v>
      </c>
      <c r="AO3" s="68">
        <v>0.0</v>
      </c>
      <c r="AP3" s="21" t="s">
        <v>1052</v>
      </c>
      <c r="AQ3" s="68">
        <v>0.0</v>
      </c>
      <c r="AR3" s="21"/>
      <c r="AS3" s="21"/>
    </row>
    <row r="4" ht="15.75" customHeight="1">
      <c r="A4" s="8">
        <v>1412.0</v>
      </c>
      <c r="B4" s="8" t="s">
        <v>48</v>
      </c>
      <c r="C4" s="9" t="str">
        <f t="shared" si="1"/>
        <v>LP 03_BC-02A_BS VI MS</v>
      </c>
      <c r="D4" s="52" t="s">
        <v>1053</v>
      </c>
      <c r="E4" s="52" t="s">
        <v>1017</v>
      </c>
      <c r="F4" s="59" t="s">
        <v>1054</v>
      </c>
      <c r="G4" s="59" t="s">
        <v>227</v>
      </c>
      <c r="H4" s="21" t="s">
        <v>1055</v>
      </c>
      <c r="I4" s="68">
        <v>0.0</v>
      </c>
      <c r="J4" s="21" t="s">
        <v>1056</v>
      </c>
      <c r="K4" s="68">
        <v>0.0</v>
      </c>
      <c r="L4" s="21" t="s">
        <v>1057</v>
      </c>
      <c r="M4" s="68">
        <v>0.0</v>
      </c>
      <c r="N4" s="21" t="s">
        <v>1058</v>
      </c>
      <c r="O4" s="68">
        <v>0.0</v>
      </c>
      <c r="P4" s="21" t="s">
        <v>1059</v>
      </c>
      <c r="Q4" s="68">
        <v>0.0</v>
      </c>
      <c r="R4" s="21" t="s">
        <v>1060</v>
      </c>
      <c r="S4" s="68">
        <v>0.0</v>
      </c>
      <c r="T4" s="21" t="s">
        <v>1060</v>
      </c>
      <c r="U4" s="68">
        <v>0.0</v>
      </c>
      <c r="V4" s="21" t="s">
        <v>1061</v>
      </c>
      <c r="W4" s="68">
        <v>0.0</v>
      </c>
      <c r="X4" s="21" t="s">
        <v>1062</v>
      </c>
      <c r="Y4" s="68">
        <v>0.0</v>
      </c>
      <c r="Z4" s="21" t="s">
        <v>1063</v>
      </c>
      <c r="AA4" s="68">
        <v>0.0</v>
      </c>
      <c r="AB4" s="21" t="s">
        <v>1064</v>
      </c>
      <c r="AC4" s="68">
        <v>0.0</v>
      </c>
      <c r="AD4" s="21" t="s">
        <v>1065</v>
      </c>
      <c r="AE4" s="68">
        <v>0.0</v>
      </c>
      <c r="AF4" s="21" t="s">
        <v>1066</v>
      </c>
      <c r="AG4" s="68">
        <v>0.0</v>
      </c>
      <c r="AH4" s="21" t="s">
        <v>1067</v>
      </c>
      <c r="AI4" s="68">
        <v>0.0</v>
      </c>
      <c r="AJ4" s="21" t="s">
        <v>1068</v>
      </c>
      <c r="AK4" s="68">
        <v>0.0</v>
      </c>
      <c r="AL4" s="21" t="s">
        <v>1069</v>
      </c>
      <c r="AM4" s="68">
        <v>0.0</v>
      </c>
      <c r="AN4" s="21" t="s">
        <v>1070</v>
      </c>
      <c r="AO4" s="68">
        <v>0.0</v>
      </c>
      <c r="AP4" s="21" t="s">
        <v>1071</v>
      </c>
      <c r="AQ4" s="68">
        <v>0.0</v>
      </c>
      <c r="AR4" s="21" t="s">
        <v>1072</v>
      </c>
      <c r="AS4" s="68">
        <v>0.0</v>
      </c>
    </row>
    <row r="5" ht="15.75" customHeight="1">
      <c r="A5" s="8">
        <v>1412.0</v>
      </c>
      <c r="B5" s="8" t="s">
        <v>48</v>
      </c>
      <c r="C5" s="9" t="str">
        <f t="shared" si="1"/>
        <v>LP 04_BC-02B_BS VI HSD</v>
      </c>
      <c r="D5" s="52" t="s">
        <v>1073</v>
      </c>
      <c r="E5" s="52" t="s">
        <v>1017</v>
      </c>
      <c r="F5" s="59" t="s">
        <v>1074</v>
      </c>
      <c r="G5" s="59" t="s">
        <v>51</v>
      </c>
      <c r="H5" s="21" t="s">
        <v>1075</v>
      </c>
      <c r="I5" s="68">
        <v>0.0</v>
      </c>
      <c r="J5" s="21" t="s">
        <v>1076</v>
      </c>
      <c r="K5" s="68">
        <v>0.0</v>
      </c>
      <c r="L5" s="21"/>
      <c r="M5" s="21"/>
      <c r="N5" s="21" t="s">
        <v>1077</v>
      </c>
      <c r="O5" s="68">
        <v>0.0</v>
      </c>
      <c r="P5" s="21"/>
      <c r="Q5" s="21"/>
      <c r="R5" s="21" t="s">
        <v>1078</v>
      </c>
      <c r="S5" s="68">
        <v>0.0</v>
      </c>
      <c r="T5" s="21"/>
      <c r="U5" s="21"/>
      <c r="V5" s="21" t="s">
        <v>1079</v>
      </c>
      <c r="W5" s="68">
        <v>0.0</v>
      </c>
      <c r="X5" s="21" t="s">
        <v>1080</v>
      </c>
      <c r="Y5" s="68">
        <v>0.0</v>
      </c>
      <c r="Z5" s="21" t="s">
        <v>1081</v>
      </c>
      <c r="AA5" s="68">
        <v>0.0</v>
      </c>
      <c r="AB5" s="21" t="s">
        <v>1082</v>
      </c>
      <c r="AC5" s="68">
        <v>0.0</v>
      </c>
      <c r="AD5" s="21" t="s">
        <v>1083</v>
      </c>
      <c r="AE5" s="68">
        <v>0.0</v>
      </c>
      <c r="AF5" s="21" t="s">
        <v>1084</v>
      </c>
      <c r="AG5" s="68">
        <v>0.0</v>
      </c>
      <c r="AH5" s="21" t="s">
        <v>1085</v>
      </c>
      <c r="AI5" s="68">
        <v>0.0</v>
      </c>
      <c r="AJ5" s="21" t="s">
        <v>1086</v>
      </c>
      <c r="AK5" s="68">
        <v>0.0</v>
      </c>
      <c r="AL5" s="21"/>
      <c r="AM5" s="21"/>
      <c r="AN5" s="21" t="s">
        <v>1087</v>
      </c>
      <c r="AO5" s="68">
        <v>0.0</v>
      </c>
      <c r="AP5" s="21" t="s">
        <v>1088</v>
      </c>
      <c r="AQ5" s="68">
        <v>0.0</v>
      </c>
      <c r="AR5" s="21"/>
      <c r="AS5" s="21"/>
    </row>
    <row r="6" ht="15.75" customHeight="1">
      <c r="A6" s="8">
        <v>1412.0</v>
      </c>
      <c r="B6" s="8" t="s">
        <v>48</v>
      </c>
      <c r="C6" s="9" t="str">
        <f t="shared" si="1"/>
        <v>LP 05_BC-03A_BS VI MS</v>
      </c>
      <c r="D6" s="52" t="s">
        <v>1089</v>
      </c>
      <c r="E6" s="52" t="s">
        <v>1017</v>
      </c>
      <c r="F6" s="59" t="s">
        <v>1090</v>
      </c>
      <c r="G6" s="59" t="s">
        <v>227</v>
      </c>
      <c r="H6" s="21" t="s">
        <v>1091</v>
      </c>
      <c r="I6" s="68">
        <v>0.0</v>
      </c>
      <c r="J6" s="21" t="s">
        <v>1092</v>
      </c>
      <c r="K6" s="68">
        <v>0.0</v>
      </c>
      <c r="L6" s="21" t="s">
        <v>1093</v>
      </c>
      <c r="M6" s="68">
        <v>0.0</v>
      </c>
      <c r="N6" s="21" t="s">
        <v>1094</v>
      </c>
      <c r="O6" s="68">
        <v>0.0</v>
      </c>
      <c r="P6" s="21" t="s">
        <v>1095</v>
      </c>
      <c r="Q6" s="68">
        <v>0.0</v>
      </c>
      <c r="R6" s="21" t="s">
        <v>1096</v>
      </c>
      <c r="S6" s="68">
        <v>0.0</v>
      </c>
      <c r="T6" s="21" t="s">
        <v>1096</v>
      </c>
      <c r="U6" s="68">
        <v>0.0</v>
      </c>
      <c r="V6" s="21" t="s">
        <v>1097</v>
      </c>
      <c r="W6" s="68">
        <v>0.0</v>
      </c>
      <c r="X6" s="21" t="s">
        <v>1098</v>
      </c>
      <c r="Y6" s="68">
        <v>0.0</v>
      </c>
      <c r="Z6" s="21" t="s">
        <v>1099</v>
      </c>
      <c r="AA6" s="68">
        <v>0.0</v>
      </c>
      <c r="AB6" s="21" t="s">
        <v>1100</v>
      </c>
      <c r="AC6" s="68">
        <v>0.0</v>
      </c>
      <c r="AD6" s="21" t="s">
        <v>1101</v>
      </c>
      <c r="AE6" s="68">
        <v>0.0</v>
      </c>
      <c r="AF6" s="21" t="s">
        <v>1102</v>
      </c>
      <c r="AG6" s="68">
        <v>0.0</v>
      </c>
      <c r="AH6" s="21" t="s">
        <v>1103</v>
      </c>
      <c r="AI6" s="68">
        <v>0.0</v>
      </c>
      <c r="AJ6" s="21" t="s">
        <v>1104</v>
      </c>
      <c r="AK6" s="68">
        <v>0.0</v>
      </c>
      <c r="AL6" s="21" t="s">
        <v>1105</v>
      </c>
      <c r="AM6" s="68">
        <v>0.0</v>
      </c>
      <c r="AN6" s="21" t="s">
        <v>1106</v>
      </c>
      <c r="AO6" s="68">
        <v>0.0</v>
      </c>
      <c r="AP6" s="21" t="s">
        <v>1107</v>
      </c>
      <c r="AQ6" s="68">
        <v>0.0</v>
      </c>
      <c r="AR6" s="21" t="s">
        <v>1108</v>
      </c>
      <c r="AS6" s="68">
        <v>0.0</v>
      </c>
    </row>
    <row r="7" ht="15.75" customHeight="1">
      <c r="A7" s="8">
        <v>1412.0</v>
      </c>
      <c r="B7" s="8" t="s">
        <v>48</v>
      </c>
      <c r="C7" s="9" t="str">
        <f t="shared" si="1"/>
        <v>LP 06_BC-03B_BS VI HSD</v>
      </c>
      <c r="D7" s="52" t="s">
        <v>1109</v>
      </c>
      <c r="E7" s="52" t="s">
        <v>1017</v>
      </c>
      <c r="F7" s="59" t="s">
        <v>1110</v>
      </c>
      <c r="G7" s="59" t="s">
        <v>51</v>
      </c>
      <c r="H7" s="21" t="s">
        <v>1111</v>
      </c>
      <c r="I7" s="68">
        <v>0.0</v>
      </c>
      <c r="J7" s="21" t="s">
        <v>1112</v>
      </c>
      <c r="K7" s="68">
        <v>0.0</v>
      </c>
      <c r="L7" s="21"/>
      <c r="M7" s="21"/>
      <c r="N7" s="21" t="s">
        <v>1113</v>
      </c>
      <c r="O7" s="68">
        <v>0.0</v>
      </c>
      <c r="P7" s="21"/>
      <c r="Q7" s="21"/>
      <c r="R7" s="21" t="s">
        <v>1114</v>
      </c>
      <c r="S7" s="68">
        <v>0.0</v>
      </c>
      <c r="T7" s="21"/>
      <c r="U7" s="21"/>
      <c r="V7" s="21" t="s">
        <v>1115</v>
      </c>
      <c r="W7" s="68">
        <v>0.0</v>
      </c>
      <c r="X7" s="21" t="s">
        <v>1116</v>
      </c>
      <c r="Y7" s="68">
        <v>0.0</v>
      </c>
      <c r="Z7" s="21" t="s">
        <v>1117</v>
      </c>
      <c r="AA7" s="68">
        <v>0.0</v>
      </c>
      <c r="AB7" s="21" t="s">
        <v>1118</v>
      </c>
      <c r="AC7" s="68">
        <v>0.0</v>
      </c>
      <c r="AD7" s="21" t="s">
        <v>1119</v>
      </c>
      <c r="AE7" s="68">
        <v>0.0</v>
      </c>
      <c r="AF7" s="21" t="s">
        <v>1120</v>
      </c>
      <c r="AG7" s="68">
        <v>0.0</v>
      </c>
      <c r="AH7" s="21" t="s">
        <v>1121</v>
      </c>
      <c r="AI7" s="68">
        <v>0.0</v>
      </c>
      <c r="AJ7" s="21" t="s">
        <v>1122</v>
      </c>
      <c r="AK7" s="68">
        <v>0.0</v>
      </c>
      <c r="AL7" s="21"/>
      <c r="AM7" s="21"/>
      <c r="AN7" s="21" t="s">
        <v>1123</v>
      </c>
      <c r="AO7" s="68">
        <v>0.0</v>
      </c>
      <c r="AP7" s="21" t="s">
        <v>1124</v>
      </c>
      <c r="AQ7" s="68">
        <v>0.0</v>
      </c>
      <c r="AR7" s="21"/>
      <c r="AS7" s="21"/>
    </row>
    <row r="8" ht="15.75" customHeight="1">
      <c r="A8" s="8">
        <v>1412.0</v>
      </c>
      <c r="B8" s="8" t="s">
        <v>48</v>
      </c>
      <c r="C8" s="9" t="str">
        <f t="shared" si="1"/>
        <v>LP 07_BC-04A_BS VI HSD</v>
      </c>
      <c r="D8" s="52" t="s">
        <v>1125</v>
      </c>
      <c r="E8" s="52" t="s">
        <v>1017</v>
      </c>
      <c r="F8" s="59" t="s">
        <v>1126</v>
      </c>
      <c r="G8" s="59" t="s">
        <v>51</v>
      </c>
      <c r="H8" s="21" t="s">
        <v>1127</v>
      </c>
      <c r="I8" s="68">
        <v>0.0</v>
      </c>
      <c r="J8" s="21" t="s">
        <v>1128</v>
      </c>
      <c r="K8" s="68">
        <v>0.0</v>
      </c>
      <c r="L8" s="21"/>
      <c r="M8" s="21"/>
      <c r="N8" s="21" t="s">
        <v>1129</v>
      </c>
      <c r="O8" s="68">
        <v>0.0</v>
      </c>
      <c r="P8" s="21"/>
      <c r="Q8" s="21"/>
      <c r="R8" s="21" t="s">
        <v>1130</v>
      </c>
      <c r="S8" s="68">
        <v>0.0</v>
      </c>
      <c r="T8" s="21"/>
      <c r="U8" s="21"/>
      <c r="V8" s="21" t="s">
        <v>1131</v>
      </c>
      <c r="W8" s="68">
        <v>0.0</v>
      </c>
      <c r="X8" s="21" t="s">
        <v>1132</v>
      </c>
      <c r="Y8" s="68">
        <v>0.0</v>
      </c>
      <c r="Z8" s="21" t="s">
        <v>1133</v>
      </c>
      <c r="AA8" s="68">
        <v>0.0</v>
      </c>
      <c r="AB8" s="21" t="s">
        <v>1134</v>
      </c>
      <c r="AC8" s="68">
        <v>0.0</v>
      </c>
      <c r="AD8" s="21" t="s">
        <v>1135</v>
      </c>
      <c r="AE8" s="68">
        <v>0.0</v>
      </c>
      <c r="AF8" s="21" t="s">
        <v>1136</v>
      </c>
      <c r="AG8" s="68">
        <v>0.0</v>
      </c>
      <c r="AH8" s="21" t="s">
        <v>1137</v>
      </c>
      <c r="AI8" s="68">
        <v>0.0</v>
      </c>
      <c r="AJ8" s="21" t="s">
        <v>1138</v>
      </c>
      <c r="AK8" s="68">
        <v>0.0</v>
      </c>
      <c r="AL8" s="21"/>
      <c r="AM8" s="21"/>
      <c r="AN8" s="21" t="s">
        <v>1139</v>
      </c>
      <c r="AO8" s="68">
        <v>0.0</v>
      </c>
      <c r="AP8" s="21" t="s">
        <v>1140</v>
      </c>
      <c r="AQ8" s="68">
        <v>0.0</v>
      </c>
      <c r="AR8" s="21"/>
      <c r="AS8" s="21"/>
    </row>
    <row r="9" ht="15.75" customHeight="1">
      <c r="A9" s="8">
        <v>1412.0</v>
      </c>
      <c r="B9" s="8" t="s">
        <v>48</v>
      </c>
      <c r="C9" s="9" t="str">
        <f t="shared" si="1"/>
        <v>LP 08_BC-04B_BS VI HSD</v>
      </c>
      <c r="D9" s="52" t="s">
        <v>1141</v>
      </c>
      <c r="E9" s="52" t="s">
        <v>1017</v>
      </c>
      <c r="F9" s="59" t="s">
        <v>1142</v>
      </c>
      <c r="G9" s="59" t="s">
        <v>51</v>
      </c>
      <c r="H9" s="21" t="s">
        <v>1143</v>
      </c>
      <c r="I9" s="68">
        <v>0.0</v>
      </c>
      <c r="J9" s="21" t="s">
        <v>1144</v>
      </c>
      <c r="K9" s="68">
        <v>0.0</v>
      </c>
      <c r="L9" s="21"/>
      <c r="M9" s="21"/>
      <c r="N9" s="21" t="s">
        <v>1145</v>
      </c>
      <c r="O9" s="68">
        <v>0.0</v>
      </c>
      <c r="P9" s="21"/>
      <c r="Q9" s="21"/>
      <c r="R9" s="21" t="s">
        <v>1146</v>
      </c>
      <c r="S9" s="68">
        <v>0.0</v>
      </c>
      <c r="T9" s="21"/>
      <c r="U9" s="21"/>
      <c r="V9" s="21" t="s">
        <v>1147</v>
      </c>
      <c r="W9" s="68">
        <v>0.0</v>
      </c>
      <c r="X9" s="21" t="s">
        <v>1148</v>
      </c>
      <c r="Y9" s="68">
        <v>0.0</v>
      </c>
      <c r="Z9" s="21" t="s">
        <v>1149</v>
      </c>
      <c r="AA9" s="68">
        <v>0.0</v>
      </c>
      <c r="AB9" s="21" t="s">
        <v>1150</v>
      </c>
      <c r="AC9" s="68">
        <v>0.0</v>
      </c>
      <c r="AD9" s="21" t="s">
        <v>1151</v>
      </c>
      <c r="AE9" s="68">
        <v>0.0</v>
      </c>
      <c r="AF9" s="21" t="s">
        <v>1152</v>
      </c>
      <c r="AG9" s="68">
        <v>0.0</v>
      </c>
      <c r="AH9" s="21" t="s">
        <v>1153</v>
      </c>
      <c r="AI9" s="68">
        <v>0.0</v>
      </c>
      <c r="AJ9" s="21" t="s">
        <v>1154</v>
      </c>
      <c r="AK9" s="68">
        <v>0.0</v>
      </c>
      <c r="AL9" s="21"/>
      <c r="AM9" s="21"/>
      <c r="AN9" s="21" t="s">
        <v>1155</v>
      </c>
      <c r="AO9" s="68">
        <v>0.0</v>
      </c>
      <c r="AP9" s="21" t="s">
        <v>1156</v>
      </c>
      <c r="AQ9" s="68">
        <v>0.0</v>
      </c>
      <c r="AR9" s="21"/>
      <c r="AS9" s="21"/>
    </row>
    <row r="10" ht="15.75" customHeight="1">
      <c r="A10" s="8">
        <v>1412.0</v>
      </c>
      <c r="B10" s="8" t="s">
        <v>48</v>
      </c>
      <c r="C10" s="9" t="str">
        <f t="shared" si="1"/>
        <v>LP 09_BC-05A_BS VI MS</v>
      </c>
      <c r="D10" s="52" t="s">
        <v>1157</v>
      </c>
      <c r="E10" s="52" t="s">
        <v>1017</v>
      </c>
      <c r="F10" s="59" t="s">
        <v>1158</v>
      </c>
      <c r="G10" s="59" t="s">
        <v>227</v>
      </c>
      <c r="H10" s="21" t="s">
        <v>1159</v>
      </c>
      <c r="I10" s="68">
        <v>0.0</v>
      </c>
      <c r="J10" s="21" t="s">
        <v>1160</v>
      </c>
      <c r="K10" s="68">
        <v>0.0</v>
      </c>
      <c r="L10" s="21" t="s">
        <v>1161</v>
      </c>
      <c r="M10" s="68">
        <v>0.0</v>
      </c>
      <c r="N10" s="21" t="s">
        <v>1162</v>
      </c>
      <c r="O10" s="68">
        <v>0.0</v>
      </c>
      <c r="P10" s="21" t="s">
        <v>1163</v>
      </c>
      <c r="Q10" s="68">
        <v>0.0</v>
      </c>
      <c r="R10" s="21" t="s">
        <v>1164</v>
      </c>
      <c r="S10" s="68">
        <v>0.0</v>
      </c>
      <c r="T10" s="21" t="s">
        <v>1164</v>
      </c>
      <c r="U10" s="68">
        <v>0.0</v>
      </c>
      <c r="V10" s="21" t="s">
        <v>1165</v>
      </c>
      <c r="W10" s="68">
        <v>0.0</v>
      </c>
      <c r="X10" s="21" t="s">
        <v>1166</v>
      </c>
      <c r="Y10" s="68">
        <v>0.0</v>
      </c>
      <c r="Z10" s="21" t="s">
        <v>1167</v>
      </c>
      <c r="AA10" s="68">
        <v>0.0</v>
      </c>
      <c r="AB10" s="21" t="s">
        <v>1168</v>
      </c>
      <c r="AC10" s="68">
        <v>0.0</v>
      </c>
      <c r="AD10" s="21" t="s">
        <v>1169</v>
      </c>
      <c r="AE10" s="68">
        <v>0.0</v>
      </c>
      <c r="AF10" s="21" t="s">
        <v>1170</v>
      </c>
      <c r="AG10" s="68">
        <v>0.0</v>
      </c>
      <c r="AH10" s="21" t="s">
        <v>1171</v>
      </c>
      <c r="AI10" s="68">
        <v>0.0</v>
      </c>
      <c r="AJ10" s="21" t="s">
        <v>1172</v>
      </c>
      <c r="AK10" s="68">
        <v>0.0</v>
      </c>
      <c r="AL10" s="21" t="s">
        <v>1173</v>
      </c>
      <c r="AM10" s="68">
        <v>0.0</v>
      </c>
      <c r="AN10" s="21" t="s">
        <v>1174</v>
      </c>
      <c r="AO10" s="68">
        <v>0.0</v>
      </c>
      <c r="AP10" s="21" t="s">
        <v>1175</v>
      </c>
      <c r="AQ10" s="68">
        <v>0.0</v>
      </c>
      <c r="AR10" s="21" t="s">
        <v>1176</v>
      </c>
      <c r="AS10" s="68">
        <v>0.0</v>
      </c>
    </row>
    <row r="11" ht="15.75" customHeight="1">
      <c r="A11" s="8">
        <v>1412.0</v>
      </c>
      <c r="B11" s="8" t="s">
        <v>48</v>
      </c>
      <c r="C11" s="9" t="str">
        <f t="shared" si="1"/>
        <v>LP 10_BC-05B_BS VI HSD</v>
      </c>
      <c r="D11" s="52" t="s">
        <v>1177</v>
      </c>
      <c r="E11" s="52" t="s">
        <v>1017</v>
      </c>
      <c r="F11" s="59" t="s">
        <v>1178</v>
      </c>
      <c r="G11" s="59" t="s">
        <v>51</v>
      </c>
      <c r="H11" s="21" t="s">
        <v>1179</v>
      </c>
      <c r="I11" s="68">
        <v>0.0</v>
      </c>
      <c r="J11" s="21" t="s">
        <v>1180</v>
      </c>
      <c r="K11" s="68">
        <v>0.0</v>
      </c>
      <c r="L11" s="21"/>
      <c r="M11" s="21"/>
      <c r="N11" s="21" t="s">
        <v>1181</v>
      </c>
      <c r="O11" s="68">
        <v>0.0</v>
      </c>
      <c r="P11" s="21"/>
      <c r="Q11" s="21"/>
      <c r="R11" s="21" t="s">
        <v>1182</v>
      </c>
      <c r="S11" s="68">
        <v>0.0</v>
      </c>
      <c r="T11" s="21"/>
      <c r="U11" s="21"/>
      <c r="V11" s="21" t="s">
        <v>1183</v>
      </c>
      <c r="W11" s="68">
        <v>0.0</v>
      </c>
      <c r="X11" s="21" t="s">
        <v>1184</v>
      </c>
      <c r="Y11" s="68">
        <v>0.0</v>
      </c>
      <c r="Z11" s="21" t="s">
        <v>1185</v>
      </c>
      <c r="AA11" s="68">
        <v>0.0</v>
      </c>
      <c r="AB11" s="21" t="s">
        <v>1186</v>
      </c>
      <c r="AC11" s="68">
        <v>0.0</v>
      </c>
      <c r="AD11" s="21" t="s">
        <v>1187</v>
      </c>
      <c r="AE11" s="68">
        <v>0.0</v>
      </c>
      <c r="AF11" s="21" t="s">
        <v>1188</v>
      </c>
      <c r="AG11" s="68">
        <v>0.0</v>
      </c>
      <c r="AH11" s="21" t="s">
        <v>1189</v>
      </c>
      <c r="AI11" s="68">
        <v>0.0</v>
      </c>
      <c r="AJ11" s="21" t="s">
        <v>1190</v>
      </c>
      <c r="AK11" s="68">
        <v>0.0</v>
      </c>
      <c r="AL11" s="21"/>
      <c r="AM11" s="21"/>
      <c r="AN11" s="21" t="s">
        <v>1191</v>
      </c>
      <c r="AO11" s="68">
        <v>0.0</v>
      </c>
      <c r="AP11" s="21" t="s">
        <v>1192</v>
      </c>
      <c r="AQ11" s="68">
        <v>0.0</v>
      </c>
      <c r="AR11" s="21"/>
      <c r="AS11" s="21"/>
    </row>
    <row r="12" ht="15.75" customHeight="1">
      <c r="A12" s="8">
        <v>1412.0</v>
      </c>
      <c r="B12" s="8" t="s">
        <v>48</v>
      </c>
      <c r="C12" s="9" t="str">
        <f t="shared" si="1"/>
        <v>LP 11_BC-06A_BS VI MS</v>
      </c>
      <c r="D12" s="52" t="s">
        <v>1193</v>
      </c>
      <c r="E12" s="52" t="s">
        <v>1017</v>
      </c>
      <c r="F12" s="59" t="s">
        <v>1194</v>
      </c>
      <c r="G12" s="59" t="s">
        <v>227</v>
      </c>
      <c r="H12" s="21" t="s">
        <v>1195</v>
      </c>
      <c r="I12" s="68">
        <v>0.0</v>
      </c>
      <c r="J12" s="21" t="s">
        <v>1196</v>
      </c>
      <c r="K12" s="68">
        <v>0.0</v>
      </c>
      <c r="L12" s="21" t="s">
        <v>1197</v>
      </c>
      <c r="M12" s="68">
        <v>0.0</v>
      </c>
      <c r="N12" s="21" t="s">
        <v>1198</v>
      </c>
      <c r="O12" s="68">
        <v>0.0</v>
      </c>
      <c r="P12" s="21" t="s">
        <v>1199</v>
      </c>
      <c r="Q12" s="68">
        <v>0.0</v>
      </c>
      <c r="R12" s="21" t="s">
        <v>1200</v>
      </c>
      <c r="S12" s="68">
        <v>0.0</v>
      </c>
      <c r="T12" s="21" t="s">
        <v>1200</v>
      </c>
      <c r="U12" s="68">
        <v>0.0</v>
      </c>
      <c r="V12" s="21" t="s">
        <v>1201</v>
      </c>
      <c r="W12" s="68">
        <v>0.0</v>
      </c>
      <c r="X12" s="21" t="s">
        <v>1202</v>
      </c>
      <c r="Y12" s="68">
        <v>0.0</v>
      </c>
      <c r="Z12" s="21" t="s">
        <v>1203</v>
      </c>
      <c r="AA12" s="68">
        <v>0.0</v>
      </c>
      <c r="AB12" s="21" t="s">
        <v>1204</v>
      </c>
      <c r="AC12" s="68">
        <v>0.0</v>
      </c>
      <c r="AD12" s="21" t="s">
        <v>1205</v>
      </c>
      <c r="AE12" s="68">
        <v>0.0</v>
      </c>
      <c r="AF12" s="21" t="s">
        <v>1206</v>
      </c>
      <c r="AG12" s="68">
        <v>0.0</v>
      </c>
      <c r="AH12" s="21" t="s">
        <v>1207</v>
      </c>
      <c r="AI12" s="68">
        <v>0.0</v>
      </c>
      <c r="AJ12" s="21" t="s">
        <v>1208</v>
      </c>
      <c r="AK12" s="68">
        <v>0.0</v>
      </c>
      <c r="AL12" s="21" t="s">
        <v>1209</v>
      </c>
      <c r="AM12" s="68">
        <v>0.0</v>
      </c>
      <c r="AN12" s="21" t="s">
        <v>1210</v>
      </c>
      <c r="AO12" s="68">
        <v>0.0</v>
      </c>
      <c r="AP12" s="21" t="s">
        <v>1211</v>
      </c>
      <c r="AQ12" s="68">
        <v>0.0</v>
      </c>
      <c r="AR12" s="21" t="s">
        <v>1212</v>
      </c>
      <c r="AS12" s="68">
        <v>0.0</v>
      </c>
    </row>
    <row r="13" ht="15.75" customHeight="1">
      <c r="A13" s="8">
        <v>1412.0</v>
      </c>
      <c r="B13" s="8" t="s">
        <v>48</v>
      </c>
      <c r="C13" s="9" t="str">
        <f t="shared" si="1"/>
        <v>LP 12_BC-06B_BS VI HSD</v>
      </c>
      <c r="D13" s="52" t="s">
        <v>1213</v>
      </c>
      <c r="E13" s="52" t="s">
        <v>1017</v>
      </c>
      <c r="F13" s="59" t="s">
        <v>1214</v>
      </c>
      <c r="G13" s="59" t="s">
        <v>51</v>
      </c>
      <c r="H13" s="21" t="s">
        <v>1215</v>
      </c>
      <c r="I13" s="68">
        <v>0.0</v>
      </c>
      <c r="J13" s="21" t="s">
        <v>1216</v>
      </c>
      <c r="K13" s="68">
        <v>0.0</v>
      </c>
      <c r="L13" s="21"/>
      <c r="M13" s="21"/>
      <c r="N13" s="21" t="s">
        <v>1217</v>
      </c>
      <c r="O13" s="68">
        <v>0.0</v>
      </c>
      <c r="P13" s="21"/>
      <c r="Q13" s="21"/>
      <c r="R13" s="21" t="s">
        <v>1218</v>
      </c>
      <c r="S13" s="68">
        <v>0.0</v>
      </c>
      <c r="T13" s="21"/>
      <c r="U13" s="21"/>
      <c r="V13" s="21" t="s">
        <v>1219</v>
      </c>
      <c r="W13" s="68">
        <v>0.0</v>
      </c>
      <c r="X13" s="21" t="s">
        <v>1220</v>
      </c>
      <c r="Y13" s="68">
        <v>0.0</v>
      </c>
      <c r="Z13" s="21" t="s">
        <v>1221</v>
      </c>
      <c r="AA13" s="68">
        <v>0.0</v>
      </c>
      <c r="AB13" s="21" t="s">
        <v>1222</v>
      </c>
      <c r="AC13" s="68">
        <v>0.0</v>
      </c>
      <c r="AD13" s="21" t="s">
        <v>1223</v>
      </c>
      <c r="AE13" s="68">
        <v>0.0</v>
      </c>
      <c r="AF13" s="21" t="s">
        <v>1224</v>
      </c>
      <c r="AG13" s="68">
        <v>0.0</v>
      </c>
      <c r="AH13" s="21" t="s">
        <v>1225</v>
      </c>
      <c r="AI13" s="68">
        <v>0.0</v>
      </c>
      <c r="AJ13" s="21" t="s">
        <v>1226</v>
      </c>
      <c r="AK13" s="68">
        <v>0.0</v>
      </c>
      <c r="AL13" s="21"/>
      <c r="AM13" s="21"/>
      <c r="AN13" s="21" t="s">
        <v>1227</v>
      </c>
      <c r="AO13" s="68">
        <v>0.0</v>
      </c>
      <c r="AP13" s="21" t="s">
        <v>1228</v>
      </c>
      <c r="AQ13" s="68">
        <v>0.0</v>
      </c>
      <c r="AR13" s="21"/>
      <c r="AS13" s="21"/>
    </row>
    <row r="14" ht="15.75" customHeight="1">
      <c r="A14" s="8">
        <v>1412.0</v>
      </c>
      <c r="B14" s="8" t="s">
        <v>48</v>
      </c>
      <c r="C14" s="9" t="str">
        <f t="shared" si="1"/>
        <v>LP 13_BC-07A_BS VI MS</v>
      </c>
      <c r="D14" s="52" t="s">
        <v>1229</v>
      </c>
      <c r="E14" s="52" t="s">
        <v>1017</v>
      </c>
      <c r="F14" s="59" t="s">
        <v>1230</v>
      </c>
      <c r="G14" s="59" t="s">
        <v>227</v>
      </c>
      <c r="H14" s="21" t="s">
        <v>1231</v>
      </c>
      <c r="I14" s="68">
        <v>0.0</v>
      </c>
      <c r="J14" s="21" t="s">
        <v>1232</v>
      </c>
      <c r="K14" s="68">
        <v>0.0</v>
      </c>
      <c r="L14" s="21" t="s">
        <v>1233</v>
      </c>
      <c r="M14" s="68">
        <v>0.0</v>
      </c>
      <c r="N14" s="21" t="s">
        <v>1234</v>
      </c>
      <c r="O14" s="68">
        <v>0.0</v>
      </c>
      <c r="P14" s="21" t="s">
        <v>1235</v>
      </c>
      <c r="Q14" s="68">
        <v>0.0</v>
      </c>
      <c r="R14" s="21" t="s">
        <v>1236</v>
      </c>
      <c r="S14" s="68">
        <v>0.0</v>
      </c>
      <c r="T14" s="21" t="s">
        <v>1236</v>
      </c>
      <c r="U14" s="68">
        <v>0.0</v>
      </c>
      <c r="V14" s="21" t="s">
        <v>1237</v>
      </c>
      <c r="W14" s="68">
        <v>0.0</v>
      </c>
      <c r="X14" s="21" t="s">
        <v>1238</v>
      </c>
      <c r="Y14" s="68">
        <v>0.0</v>
      </c>
      <c r="Z14" s="21" t="s">
        <v>1239</v>
      </c>
      <c r="AA14" s="68">
        <v>0.0</v>
      </c>
      <c r="AB14" s="21" t="s">
        <v>1240</v>
      </c>
      <c r="AC14" s="68">
        <v>0.0</v>
      </c>
      <c r="AD14" s="21" t="s">
        <v>1241</v>
      </c>
      <c r="AE14" s="68">
        <v>0.0</v>
      </c>
      <c r="AF14" s="21" t="s">
        <v>1242</v>
      </c>
      <c r="AG14" s="68">
        <v>0.0</v>
      </c>
      <c r="AH14" s="21" t="s">
        <v>1243</v>
      </c>
      <c r="AI14" s="68">
        <v>0.0</v>
      </c>
      <c r="AJ14" s="21" t="s">
        <v>1244</v>
      </c>
      <c r="AK14" s="68">
        <v>0.0</v>
      </c>
      <c r="AL14" s="21" t="s">
        <v>1245</v>
      </c>
      <c r="AM14" s="68">
        <v>0.0</v>
      </c>
      <c r="AN14" s="21" t="s">
        <v>1246</v>
      </c>
      <c r="AO14" s="68">
        <v>0.0</v>
      </c>
      <c r="AP14" s="21" t="s">
        <v>1247</v>
      </c>
      <c r="AQ14" s="68">
        <v>0.0</v>
      </c>
      <c r="AR14" s="21" t="s">
        <v>1248</v>
      </c>
      <c r="AS14" s="68">
        <v>0.0</v>
      </c>
    </row>
    <row r="15" ht="15.75" customHeight="1">
      <c r="A15" s="8">
        <v>1412.0</v>
      </c>
      <c r="B15" s="8" t="s">
        <v>48</v>
      </c>
      <c r="C15" s="9" t="str">
        <f t="shared" si="1"/>
        <v>LP 14_BC-07B_BS VI HSD</v>
      </c>
      <c r="D15" s="52" t="s">
        <v>1249</v>
      </c>
      <c r="E15" s="52" t="s">
        <v>1017</v>
      </c>
      <c r="F15" s="59" t="s">
        <v>1250</v>
      </c>
      <c r="G15" s="59" t="s">
        <v>51</v>
      </c>
      <c r="H15" s="21" t="s">
        <v>1251</v>
      </c>
      <c r="I15" s="68">
        <v>0.0</v>
      </c>
      <c r="J15" s="21" t="s">
        <v>1252</v>
      </c>
      <c r="K15" s="68">
        <v>0.0</v>
      </c>
      <c r="L15" s="21"/>
      <c r="M15" s="21"/>
      <c r="N15" s="21" t="s">
        <v>1253</v>
      </c>
      <c r="O15" s="68">
        <v>0.0</v>
      </c>
      <c r="P15" s="21"/>
      <c r="Q15" s="21"/>
      <c r="R15" s="21" t="s">
        <v>1254</v>
      </c>
      <c r="S15" s="68">
        <v>0.0</v>
      </c>
      <c r="T15" s="21"/>
      <c r="U15" s="21"/>
      <c r="V15" s="21" t="s">
        <v>1255</v>
      </c>
      <c r="W15" s="68">
        <v>0.0</v>
      </c>
      <c r="X15" s="21" t="s">
        <v>1256</v>
      </c>
      <c r="Y15" s="68">
        <v>0.0</v>
      </c>
      <c r="Z15" s="21" t="s">
        <v>1257</v>
      </c>
      <c r="AA15" s="68">
        <v>0.0</v>
      </c>
      <c r="AB15" s="21" t="s">
        <v>1258</v>
      </c>
      <c r="AC15" s="68">
        <v>0.0</v>
      </c>
      <c r="AD15" s="21" t="s">
        <v>1259</v>
      </c>
      <c r="AE15" s="68">
        <v>0.0</v>
      </c>
      <c r="AF15" s="21" t="s">
        <v>1260</v>
      </c>
      <c r="AG15" s="68">
        <v>0.0</v>
      </c>
      <c r="AH15" s="21" t="s">
        <v>1261</v>
      </c>
      <c r="AI15" s="68">
        <v>0.0</v>
      </c>
      <c r="AJ15" s="21" t="s">
        <v>1262</v>
      </c>
      <c r="AK15" s="68">
        <v>0.0</v>
      </c>
      <c r="AL15" s="21"/>
      <c r="AM15" s="21"/>
      <c r="AN15" s="21" t="s">
        <v>1263</v>
      </c>
      <c r="AO15" s="68">
        <v>0.0</v>
      </c>
      <c r="AP15" s="21" t="s">
        <v>1264</v>
      </c>
      <c r="AQ15" s="68">
        <v>0.0</v>
      </c>
      <c r="AR15" s="21"/>
      <c r="AS15" s="21"/>
    </row>
    <row r="16" ht="15.75" customHeight="1">
      <c r="A16" s="8">
        <v>1412.0</v>
      </c>
      <c r="B16" s="8" t="s">
        <v>48</v>
      </c>
      <c r="C16" s="9" t="str">
        <f t="shared" si="1"/>
        <v>LP 15_BC-08A_BS VI HSD</v>
      </c>
      <c r="D16" s="52" t="s">
        <v>1265</v>
      </c>
      <c r="E16" s="52" t="s">
        <v>1017</v>
      </c>
      <c r="F16" s="59" t="s">
        <v>1266</v>
      </c>
      <c r="G16" s="59" t="s">
        <v>51</v>
      </c>
      <c r="H16" s="21" t="s">
        <v>1267</v>
      </c>
      <c r="I16" s="68">
        <v>0.0</v>
      </c>
      <c r="J16" s="21" t="s">
        <v>1268</v>
      </c>
      <c r="K16" s="68">
        <v>0.0</v>
      </c>
      <c r="L16" s="21"/>
      <c r="M16" s="21"/>
      <c r="N16" s="21" t="s">
        <v>1269</v>
      </c>
      <c r="O16" s="68">
        <v>0.0</v>
      </c>
      <c r="P16" s="21"/>
      <c r="Q16" s="21"/>
      <c r="R16" s="21" t="s">
        <v>1270</v>
      </c>
      <c r="S16" s="68">
        <v>0.0</v>
      </c>
      <c r="T16" s="21"/>
      <c r="U16" s="21"/>
      <c r="V16" s="21" t="s">
        <v>1271</v>
      </c>
      <c r="W16" s="68">
        <v>0.0</v>
      </c>
      <c r="X16" s="21" t="s">
        <v>1272</v>
      </c>
      <c r="Y16" s="68">
        <v>0.0</v>
      </c>
      <c r="Z16" s="21" t="s">
        <v>1273</v>
      </c>
      <c r="AA16" s="68">
        <v>0.0</v>
      </c>
      <c r="AB16" s="21" t="s">
        <v>1274</v>
      </c>
      <c r="AC16" s="68">
        <v>0.0</v>
      </c>
      <c r="AD16" s="21" t="s">
        <v>1275</v>
      </c>
      <c r="AE16" s="68">
        <v>0.0</v>
      </c>
      <c r="AF16" s="21" t="s">
        <v>1276</v>
      </c>
      <c r="AG16" s="68">
        <v>0.0</v>
      </c>
      <c r="AH16" s="21" t="s">
        <v>1277</v>
      </c>
      <c r="AI16" s="68">
        <v>0.0</v>
      </c>
      <c r="AJ16" s="21" t="s">
        <v>1278</v>
      </c>
      <c r="AK16" s="68">
        <v>0.0</v>
      </c>
      <c r="AL16" s="21"/>
      <c r="AM16" s="21"/>
      <c r="AN16" s="21" t="s">
        <v>1279</v>
      </c>
      <c r="AO16" s="68">
        <v>0.0</v>
      </c>
      <c r="AP16" s="21" t="s">
        <v>1280</v>
      </c>
      <c r="AQ16" s="68">
        <v>0.0</v>
      </c>
      <c r="AR16" s="21"/>
      <c r="AS16" s="21"/>
    </row>
    <row r="17" ht="15.75" customHeight="1">
      <c r="A17" s="8">
        <v>1412.0</v>
      </c>
      <c r="B17" s="8" t="s">
        <v>48</v>
      </c>
      <c r="C17" s="9" t="str">
        <f t="shared" si="1"/>
        <v>LP 16_BC-08B_BS VI HSD</v>
      </c>
      <c r="D17" s="52" t="s">
        <v>1281</v>
      </c>
      <c r="E17" s="52" t="s">
        <v>1017</v>
      </c>
      <c r="F17" s="59" t="s">
        <v>1282</v>
      </c>
      <c r="G17" s="59" t="s">
        <v>51</v>
      </c>
      <c r="H17" s="21" t="s">
        <v>1283</v>
      </c>
      <c r="I17" s="68">
        <v>0.0</v>
      </c>
      <c r="J17" s="21" t="s">
        <v>1284</v>
      </c>
      <c r="K17" s="68">
        <v>0.0</v>
      </c>
      <c r="L17" s="21"/>
      <c r="M17" s="21"/>
      <c r="N17" s="21" t="s">
        <v>1285</v>
      </c>
      <c r="O17" s="68">
        <v>0.0</v>
      </c>
      <c r="P17" s="21"/>
      <c r="Q17" s="21"/>
      <c r="R17" s="21" t="s">
        <v>1286</v>
      </c>
      <c r="S17" s="68">
        <v>0.0</v>
      </c>
      <c r="T17" s="21"/>
      <c r="U17" s="21"/>
      <c r="V17" s="21" t="s">
        <v>1287</v>
      </c>
      <c r="W17" s="68">
        <v>0.0</v>
      </c>
      <c r="X17" s="21" t="s">
        <v>1288</v>
      </c>
      <c r="Y17" s="68">
        <v>0.0</v>
      </c>
      <c r="Z17" s="21" t="s">
        <v>1289</v>
      </c>
      <c r="AA17" s="68">
        <v>0.0</v>
      </c>
      <c r="AB17" s="21" t="s">
        <v>1290</v>
      </c>
      <c r="AC17" s="68">
        <v>0.0</v>
      </c>
      <c r="AD17" s="21" t="s">
        <v>1291</v>
      </c>
      <c r="AE17" s="68">
        <v>0.0</v>
      </c>
      <c r="AF17" s="21" t="s">
        <v>1292</v>
      </c>
      <c r="AG17" s="68">
        <v>0.0</v>
      </c>
      <c r="AH17" s="21" t="s">
        <v>1293</v>
      </c>
      <c r="AI17" s="68">
        <v>0.0</v>
      </c>
      <c r="AJ17" s="21" t="s">
        <v>1294</v>
      </c>
      <c r="AK17" s="68">
        <v>0.0</v>
      </c>
      <c r="AL17" s="21"/>
      <c r="AM17" s="21"/>
      <c r="AN17" s="21" t="s">
        <v>1295</v>
      </c>
      <c r="AO17" s="68">
        <v>0.0</v>
      </c>
      <c r="AP17" s="21" t="s">
        <v>1296</v>
      </c>
      <c r="AQ17" s="68">
        <v>0.0</v>
      </c>
      <c r="AR17" s="21"/>
      <c r="AS17" s="21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1"/>
      <c r="AJ18" s="30"/>
      <c r="AK18" s="30"/>
      <c r="AL18" s="30"/>
      <c r="AM18" s="30"/>
      <c r="AN18" s="30"/>
      <c r="AO18" s="30"/>
      <c r="AP18" s="30"/>
      <c r="AQ18" s="30"/>
      <c r="AR18" s="30"/>
      <c r="AS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3"/>
      <c r="AI19" s="33"/>
      <c r="AJ19" s="30"/>
      <c r="AK19" s="30"/>
      <c r="AL19" s="30"/>
      <c r="AM19" s="30"/>
      <c r="AN19" s="30"/>
      <c r="AO19" s="30"/>
      <c r="AP19" s="30"/>
      <c r="AQ19" s="30"/>
      <c r="AR19" s="30"/>
      <c r="AS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3"/>
      <c r="AI20" s="33"/>
      <c r="AJ20" s="30"/>
      <c r="AK20" s="30"/>
      <c r="AL20" s="30"/>
      <c r="AM20" s="30"/>
      <c r="AN20" s="30"/>
      <c r="AO20" s="30"/>
      <c r="AP20" s="30"/>
      <c r="AQ20" s="30"/>
      <c r="AR20" s="30"/>
      <c r="AS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3"/>
      <c r="AI21" s="33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3"/>
      <c r="AI22" s="33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3"/>
      <c r="AI23" s="33"/>
      <c r="AJ23" s="30"/>
      <c r="AK23" s="30"/>
      <c r="AL23" s="30"/>
      <c r="AM23" s="30"/>
      <c r="AN23" s="30"/>
      <c r="AO23" s="30"/>
      <c r="AP23" s="30"/>
      <c r="AQ23" s="30"/>
      <c r="AR23" s="30"/>
      <c r="AS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3"/>
      <c r="AI24" s="33"/>
      <c r="AJ24" s="30"/>
      <c r="AK24" s="30"/>
      <c r="AL24" s="30"/>
      <c r="AM24" s="30"/>
      <c r="AN24" s="30"/>
      <c r="AO24" s="30"/>
      <c r="AP24" s="30"/>
      <c r="AQ24" s="30"/>
      <c r="AR24" s="30"/>
      <c r="AS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3"/>
      <c r="AI25" s="33"/>
      <c r="AJ25" s="30"/>
      <c r="AK25" s="30"/>
      <c r="AL25" s="30"/>
      <c r="AM25" s="30"/>
      <c r="AN25" s="30"/>
      <c r="AO25" s="30"/>
      <c r="AP25" s="30"/>
      <c r="AQ25" s="30"/>
      <c r="AR25" s="30"/>
      <c r="AS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3"/>
      <c r="AI26" s="33"/>
      <c r="AJ26" s="30"/>
      <c r="AK26" s="30"/>
      <c r="AL26" s="30"/>
      <c r="AM26" s="30"/>
      <c r="AN26" s="30"/>
      <c r="AO26" s="30"/>
      <c r="AP26" s="30"/>
      <c r="AQ26" s="30"/>
      <c r="AR26" s="30"/>
      <c r="AS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3"/>
      <c r="AI27" s="33"/>
      <c r="AJ27" s="30"/>
      <c r="AK27" s="30"/>
      <c r="AL27" s="30"/>
      <c r="AM27" s="30"/>
      <c r="AN27" s="30"/>
      <c r="AO27" s="30"/>
      <c r="AP27" s="30"/>
      <c r="AQ27" s="30"/>
      <c r="AR27" s="30"/>
      <c r="AS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3"/>
      <c r="AI28" s="33"/>
      <c r="AJ28" s="30"/>
      <c r="AK28" s="30"/>
      <c r="AL28" s="30"/>
      <c r="AM28" s="30"/>
      <c r="AN28" s="30"/>
      <c r="AO28" s="30"/>
      <c r="AP28" s="30"/>
      <c r="AQ28" s="30"/>
      <c r="AR28" s="30"/>
      <c r="AS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3"/>
      <c r="AI29" s="33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3"/>
      <c r="AI30" s="33"/>
      <c r="AJ30" s="30"/>
      <c r="AK30" s="30"/>
      <c r="AL30" s="30"/>
      <c r="AM30" s="30"/>
      <c r="AN30" s="30"/>
      <c r="AO30" s="30"/>
      <c r="AP30" s="30"/>
      <c r="AQ30" s="30"/>
      <c r="AR30" s="30"/>
      <c r="AS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3"/>
      <c r="AI31" s="33"/>
      <c r="AJ31" s="30"/>
      <c r="AK31" s="30"/>
      <c r="AL31" s="30"/>
      <c r="AM31" s="30"/>
      <c r="AN31" s="30"/>
      <c r="AO31" s="30"/>
      <c r="AP31" s="30"/>
      <c r="AQ31" s="30"/>
      <c r="AR31" s="30"/>
      <c r="AS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3"/>
      <c r="AI32" s="33"/>
      <c r="AJ32" s="30"/>
      <c r="AK32" s="30"/>
      <c r="AL32" s="30"/>
      <c r="AM32" s="30"/>
      <c r="AN32" s="30"/>
      <c r="AO32" s="30"/>
      <c r="AP32" s="30"/>
      <c r="AQ32" s="30"/>
      <c r="AR32" s="30"/>
      <c r="AS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3"/>
      <c r="AI33" s="33"/>
      <c r="AJ33" s="30"/>
      <c r="AK33" s="30"/>
      <c r="AL33" s="30"/>
      <c r="AM33" s="30"/>
      <c r="AN33" s="30"/>
      <c r="AO33" s="30"/>
      <c r="AP33" s="30"/>
      <c r="AQ33" s="30"/>
      <c r="AR33" s="30"/>
      <c r="AS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3"/>
      <c r="AI34" s="33"/>
      <c r="AJ34" s="30"/>
      <c r="AK34" s="30"/>
      <c r="AL34" s="30"/>
      <c r="AM34" s="30"/>
      <c r="AN34" s="30"/>
      <c r="AO34" s="30"/>
      <c r="AP34" s="30"/>
      <c r="AQ34" s="30"/>
      <c r="AR34" s="30"/>
      <c r="AS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3"/>
      <c r="AI35" s="33"/>
      <c r="AJ35" s="30"/>
      <c r="AK35" s="30"/>
      <c r="AL35" s="30"/>
      <c r="AM35" s="30"/>
      <c r="AN35" s="30"/>
      <c r="AO35" s="30"/>
      <c r="AP35" s="30"/>
      <c r="AQ35" s="30"/>
      <c r="AR35" s="30"/>
      <c r="AS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3"/>
      <c r="AI36" s="33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3"/>
      <c r="AI37" s="33"/>
      <c r="AJ37" s="30"/>
      <c r="AK37" s="30"/>
      <c r="AL37" s="30"/>
      <c r="AM37" s="30"/>
      <c r="AN37" s="30"/>
      <c r="AO37" s="30"/>
      <c r="AP37" s="30"/>
      <c r="AQ37" s="30"/>
      <c r="AR37" s="30"/>
      <c r="AS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3"/>
      <c r="AI38" s="33"/>
      <c r="AJ38" s="30"/>
      <c r="AK38" s="30"/>
      <c r="AL38" s="30"/>
      <c r="AM38" s="30"/>
      <c r="AN38" s="30"/>
      <c r="AO38" s="30"/>
      <c r="AP38" s="30"/>
      <c r="AQ38" s="30"/>
      <c r="AR38" s="30"/>
      <c r="AS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3"/>
      <c r="AI39" s="33"/>
      <c r="AJ39" s="30"/>
      <c r="AK39" s="30"/>
      <c r="AL39" s="30"/>
      <c r="AM39" s="30"/>
      <c r="AN39" s="30"/>
      <c r="AO39" s="30"/>
      <c r="AP39" s="30"/>
      <c r="AQ39" s="30"/>
      <c r="AR39" s="30"/>
      <c r="AS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3"/>
      <c r="AI40" s="33"/>
      <c r="AJ40" s="30"/>
      <c r="AK40" s="30"/>
      <c r="AL40" s="30"/>
      <c r="AM40" s="30"/>
      <c r="AN40" s="30"/>
      <c r="AO40" s="30"/>
      <c r="AP40" s="30"/>
      <c r="AQ40" s="30"/>
      <c r="AR40" s="30"/>
      <c r="AS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3"/>
      <c r="AI41" s="33"/>
      <c r="AJ41" s="30"/>
      <c r="AK41" s="30"/>
      <c r="AL41" s="30"/>
      <c r="AM41" s="30"/>
      <c r="AN41" s="30"/>
      <c r="AO41" s="30"/>
      <c r="AP41" s="30"/>
      <c r="AQ41" s="30"/>
      <c r="AR41" s="30"/>
      <c r="AS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3"/>
      <c r="AI42" s="33"/>
      <c r="AJ42" s="30"/>
      <c r="AK42" s="30"/>
      <c r="AL42" s="30"/>
      <c r="AM42" s="30"/>
      <c r="AN42" s="30"/>
      <c r="AO42" s="30"/>
      <c r="AP42" s="30"/>
      <c r="AQ42" s="30"/>
      <c r="AR42" s="30"/>
      <c r="AS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3"/>
      <c r="AI43" s="33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3"/>
      <c r="AI44" s="33"/>
      <c r="AJ44" s="30"/>
      <c r="AK44" s="30"/>
      <c r="AL44" s="30"/>
      <c r="AM44" s="30"/>
      <c r="AN44" s="30"/>
      <c r="AO44" s="30"/>
      <c r="AP44" s="30"/>
      <c r="AQ44" s="30"/>
      <c r="AR44" s="30"/>
      <c r="AS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3"/>
      <c r="AI45" s="33"/>
      <c r="AJ45" s="30"/>
      <c r="AK45" s="30"/>
      <c r="AL45" s="30"/>
      <c r="AM45" s="30"/>
      <c r="AN45" s="30"/>
      <c r="AO45" s="30"/>
      <c r="AP45" s="30"/>
      <c r="AQ45" s="30"/>
      <c r="AR45" s="30"/>
      <c r="AS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3"/>
      <c r="AI46" s="33"/>
      <c r="AJ46" s="30"/>
      <c r="AK46" s="30"/>
      <c r="AL46" s="30"/>
      <c r="AM46" s="30"/>
      <c r="AN46" s="30"/>
      <c r="AO46" s="30"/>
      <c r="AP46" s="30"/>
      <c r="AQ46" s="30"/>
      <c r="AR46" s="30"/>
      <c r="AS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3"/>
      <c r="AI47" s="33"/>
      <c r="AJ47" s="30"/>
      <c r="AK47" s="30"/>
      <c r="AL47" s="30"/>
      <c r="AM47" s="30"/>
      <c r="AN47" s="30"/>
      <c r="AO47" s="30"/>
      <c r="AP47" s="30"/>
      <c r="AQ47" s="30"/>
      <c r="AR47" s="30"/>
      <c r="AS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3"/>
      <c r="AI48" s="33"/>
      <c r="AJ48" s="30"/>
      <c r="AK48" s="30"/>
      <c r="AL48" s="30"/>
      <c r="AM48" s="30"/>
      <c r="AN48" s="30"/>
      <c r="AO48" s="30"/>
      <c r="AP48" s="30"/>
      <c r="AQ48" s="30"/>
      <c r="AR48" s="30"/>
      <c r="AS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3"/>
      <c r="AI49" s="33"/>
      <c r="AJ49" s="30"/>
      <c r="AK49" s="30"/>
      <c r="AL49" s="30"/>
      <c r="AM49" s="30"/>
      <c r="AN49" s="30"/>
      <c r="AO49" s="30"/>
      <c r="AP49" s="30"/>
      <c r="AQ49" s="30"/>
      <c r="AR49" s="30"/>
      <c r="AS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3"/>
      <c r="AI50" s="33"/>
      <c r="AJ50" s="30"/>
      <c r="AK50" s="30"/>
      <c r="AL50" s="30"/>
      <c r="AM50" s="30"/>
      <c r="AN50" s="30"/>
      <c r="AO50" s="30"/>
      <c r="AP50" s="30"/>
      <c r="AQ50" s="30"/>
      <c r="AR50" s="30"/>
      <c r="AS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3"/>
      <c r="AI51" s="33"/>
      <c r="AJ51" s="30"/>
      <c r="AK51" s="30"/>
      <c r="AL51" s="30"/>
      <c r="AM51" s="30"/>
      <c r="AN51" s="30"/>
      <c r="AO51" s="30"/>
      <c r="AP51" s="30"/>
      <c r="AQ51" s="30"/>
      <c r="AR51" s="30"/>
      <c r="AS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3"/>
      <c r="AI52" s="33"/>
      <c r="AJ52" s="30"/>
      <c r="AK52" s="30"/>
      <c r="AL52" s="30"/>
      <c r="AM52" s="30"/>
      <c r="AN52" s="30"/>
      <c r="AO52" s="30"/>
      <c r="AP52" s="30"/>
      <c r="AQ52" s="30"/>
      <c r="AR52" s="30"/>
      <c r="AS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3"/>
      <c r="AI53" s="33"/>
      <c r="AJ53" s="30"/>
      <c r="AK53" s="30"/>
      <c r="AL53" s="30"/>
      <c r="AM53" s="30"/>
      <c r="AN53" s="30"/>
      <c r="AO53" s="30"/>
      <c r="AP53" s="30"/>
      <c r="AQ53" s="30"/>
      <c r="AR53" s="30"/>
      <c r="AS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3"/>
      <c r="AI54" s="33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3"/>
      <c r="AI55" s="33"/>
      <c r="AJ55" s="30"/>
      <c r="AK55" s="30"/>
      <c r="AL55" s="30"/>
      <c r="AM55" s="30"/>
      <c r="AN55" s="30"/>
      <c r="AO55" s="30"/>
      <c r="AP55" s="30"/>
      <c r="AQ55" s="30"/>
      <c r="AR55" s="30"/>
      <c r="AS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3"/>
      <c r="AI56" s="33"/>
      <c r="AJ56" s="30"/>
      <c r="AK56" s="30"/>
      <c r="AL56" s="30"/>
      <c r="AM56" s="30"/>
      <c r="AN56" s="30"/>
      <c r="AO56" s="30"/>
      <c r="AP56" s="30"/>
      <c r="AQ56" s="30"/>
      <c r="AR56" s="30"/>
      <c r="AS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3"/>
      <c r="AI57" s="33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3"/>
      <c r="AI58" s="33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3"/>
      <c r="AI59" s="33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3"/>
      <c r="AI60" s="33"/>
      <c r="AJ60" s="30"/>
      <c r="AK60" s="30"/>
      <c r="AL60" s="30"/>
      <c r="AM60" s="30"/>
      <c r="AN60" s="30"/>
      <c r="AO60" s="30"/>
      <c r="AP60" s="30"/>
      <c r="AQ60" s="30"/>
      <c r="AR60" s="30"/>
      <c r="AS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3"/>
      <c r="AI61" s="33"/>
      <c r="AJ61" s="30"/>
      <c r="AK61" s="30"/>
      <c r="AL61" s="30"/>
      <c r="AM61" s="30"/>
      <c r="AN61" s="30"/>
      <c r="AO61" s="30"/>
      <c r="AP61" s="30"/>
      <c r="AQ61" s="30"/>
      <c r="AR61" s="30"/>
      <c r="AS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3"/>
      <c r="AI62" s="33"/>
      <c r="AJ62" s="30"/>
      <c r="AK62" s="30"/>
      <c r="AL62" s="30"/>
      <c r="AM62" s="30"/>
      <c r="AN62" s="30"/>
      <c r="AO62" s="30"/>
      <c r="AP62" s="30"/>
      <c r="AQ62" s="30"/>
      <c r="AR62" s="30"/>
      <c r="AS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3"/>
      <c r="AI63" s="33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3"/>
      <c r="AI64" s="33"/>
      <c r="AJ64" s="30"/>
      <c r="AK64" s="30"/>
      <c r="AL64" s="30"/>
      <c r="AM64" s="30"/>
      <c r="AN64" s="30"/>
      <c r="AO64" s="30"/>
      <c r="AP64" s="30"/>
      <c r="AQ64" s="30"/>
      <c r="AR64" s="30"/>
      <c r="AS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3"/>
      <c r="AI65" s="33"/>
      <c r="AJ65" s="30"/>
      <c r="AK65" s="30"/>
      <c r="AL65" s="30"/>
      <c r="AM65" s="30"/>
      <c r="AN65" s="30"/>
      <c r="AO65" s="30"/>
      <c r="AP65" s="30"/>
      <c r="AQ65" s="30"/>
      <c r="AR65" s="30"/>
      <c r="AS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3"/>
      <c r="AI66" s="33"/>
      <c r="AJ66" s="30"/>
      <c r="AK66" s="30"/>
      <c r="AL66" s="30"/>
      <c r="AM66" s="30"/>
      <c r="AN66" s="30"/>
      <c r="AO66" s="30"/>
      <c r="AP66" s="30"/>
      <c r="AQ66" s="30"/>
      <c r="AR66" s="30"/>
      <c r="AS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3"/>
      <c r="AI67" s="33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3"/>
      <c r="AI68" s="33"/>
      <c r="AJ68" s="30"/>
      <c r="AK68" s="30"/>
      <c r="AL68" s="30"/>
      <c r="AM68" s="30"/>
      <c r="AN68" s="30"/>
      <c r="AO68" s="30"/>
      <c r="AP68" s="30"/>
      <c r="AQ68" s="30"/>
      <c r="AR68" s="30"/>
      <c r="AS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3"/>
      <c r="AI69" s="33"/>
      <c r="AJ69" s="30"/>
      <c r="AK69" s="30"/>
      <c r="AL69" s="30"/>
      <c r="AM69" s="30"/>
      <c r="AN69" s="30"/>
      <c r="AO69" s="30"/>
      <c r="AP69" s="30"/>
      <c r="AQ69" s="30"/>
      <c r="AR69" s="30"/>
      <c r="AS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3"/>
      <c r="AI70" s="33"/>
      <c r="AJ70" s="30"/>
      <c r="AK70" s="30"/>
      <c r="AL70" s="30"/>
      <c r="AM70" s="30"/>
      <c r="AN70" s="30"/>
      <c r="AO70" s="30"/>
      <c r="AP70" s="30"/>
      <c r="AQ70" s="30"/>
      <c r="AR70" s="30"/>
      <c r="AS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3"/>
      <c r="AI71" s="33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3"/>
      <c r="AI72" s="33"/>
      <c r="AJ72" s="30"/>
      <c r="AK72" s="30"/>
      <c r="AL72" s="30"/>
      <c r="AM72" s="30"/>
      <c r="AN72" s="30"/>
      <c r="AO72" s="30"/>
      <c r="AP72" s="30"/>
      <c r="AQ72" s="30"/>
      <c r="AR72" s="30"/>
      <c r="AS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3"/>
      <c r="AI73" s="33"/>
      <c r="AJ73" s="30"/>
      <c r="AK73" s="30"/>
      <c r="AL73" s="30"/>
      <c r="AM73" s="30"/>
      <c r="AN73" s="30"/>
      <c r="AO73" s="30"/>
      <c r="AP73" s="30"/>
      <c r="AQ73" s="30"/>
      <c r="AR73" s="30"/>
      <c r="AS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3"/>
      <c r="AI74" s="33"/>
      <c r="AJ74" s="30"/>
      <c r="AK74" s="30"/>
      <c r="AL74" s="30"/>
      <c r="AM74" s="30"/>
      <c r="AN74" s="30"/>
      <c r="AO74" s="30"/>
      <c r="AP74" s="30"/>
      <c r="AQ74" s="30"/>
      <c r="AR74" s="30"/>
      <c r="AS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3"/>
      <c r="AI75" s="33"/>
      <c r="AJ75" s="30"/>
      <c r="AK75" s="30"/>
      <c r="AL75" s="30"/>
      <c r="AM75" s="30"/>
      <c r="AN75" s="30"/>
      <c r="AO75" s="30"/>
      <c r="AP75" s="30"/>
      <c r="AQ75" s="30"/>
      <c r="AR75" s="30"/>
      <c r="AS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3"/>
      <c r="AI76" s="33"/>
      <c r="AJ76" s="30"/>
      <c r="AK76" s="30"/>
      <c r="AL76" s="30"/>
      <c r="AM76" s="30"/>
      <c r="AN76" s="30"/>
      <c r="AO76" s="30"/>
      <c r="AP76" s="30"/>
      <c r="AQ76" s="30"/>
      <c r="AR76" s="30"/>
      <c r="AS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3"/>
      <c r="AI77" s="33"/>
      <c r="AJ77" s="30"/>
      <c r="AK77" s="30"/>
      <c r="AL77" s="30"/>
      <c r="AM77" s="30"/>
      <c r="AN77" s="30"/>
      <c r="AO77" s="30"/>
      <c r="AP77" s="30"/>
      <c r="AQ77" s="30"/>
      <c r="AR77" s="30"/>
      <c r="AS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3"/>
      <c r="AI78" s="33"/>
      <c r="AJ78" s="30"/>
      <c r="AK78" s="30"/>
      <c r="AL78" s="30"/>
      <c r="AM78" s="30"/>
      <c r="AN78" s="30"/>
      <c r="AO78" s="30"/>
      <c r="AP78" s="30"/>
      <c r="AQ78" s="30"/>
      <c r="AR78" s="30"/>
      <c r="AS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3"/>
      <c r="AI79" s="33"/>
      <c r="AJ79" s="30"/>
      <c r="AK79" s="30"/>
      <c r="AL79" s="30"/>
      <c r="AM79" s="30"/>
      <c r="AN79" s="30"/>
      <c r="AO79" s="30"/>
      <c r="AP79" s="30"/>
      <c r="AQ79" s="30"/>
      <c r="AR79" s="30"/>
      <c r="AS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3"/>
      <c r="AI80" s="33"/>
      <c r="AJ80" s="30"/>
      <c r="AK80" s="30"/>
      <c r="AL80" s="30"/>
      <c r="AM80" s="30"/>
      <c r="AN80" s="30"/>
      <c r="AO80" s="30"/>
      <c r="AP80" s="30"/>
      <c r="AQ80" s="30"/>
      <c r="AR80" s="30"/>
      <c r="AS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3"/>
      <c r="AI81" s="33"/>
      <c r="AJ81" s="30"/>
      <c r="AK81" s="30"/>
      <c r="AL81" s="30"/>
      <c r="AM81" s="30"/>
      <c r="AN81" s="30"/>
      <c r="AO81" s="30"/>
      <c r="AP81" s="30"/>
      <c r="AQ81" s="30"/>
      <c r="AR81" s="30"/>
      <c r="AS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3"/>
      <c r="AI82" s="33"/>
      <c r="AJ82" s="30"/>
      <c r="AK82" s="30"/>
      <c r="AL82" s="30"/>
      <c r="AM82" s="30"/>
      <c r="AN82" s="30"/>
      <c r="AO82" s="30"/>
      <c r="AP82" s="30"/>
      <c r="AQ82" s="30"/>
      <c r="AR82" s="30"/>
      <c r="AS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3"/>
      <c r="AI83" s="33"/>
      <c r="AJ83" s="30"/>
      <c r="AK83" s="30"/>
      <c r="AL83" s="30"/>
      <c r="AM83" s="30"/>
      <c r="AN83" s="30"/>
      <c r="AO83" s="30"/>
      <c r="AP83" s="30"/>
      <c r="AQ83" s="30"/>
      <c r="AR83" s="30"/>
      <c r="AS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3"/>
      <c r="AI84" s="33"/>
      <c r="AJ84" s="30"/>
      <c r="AK84" s="30"/>
      <c r="AL84" s="30"/>
      <c r="AM84" s="30"/>
      <c r="AN84" s="30"/>
      <c r="AO84" s="30"/>
      <c r="AP84" s="30"/>
      <c r="AQ84" s="30"/>
      <c r="AR84" s="30"/>
      <c r="AS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3"/>
      <c r="AI85" s="33"/>
      <c r="AJ85" s="30"/>
      <c r="AK85" s="30"/>
      <c r="AL85" s="30"/>
      <c r="AM85" s="30"/>
      <c r="AN85" s="30"/>
      <c r="AO85" s="30"/>
      <c r="AP85" s="30"/>
      <c r="AQ85" s="30"/>
      <c r="AR85" s="30"/>
      <c r="AS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3"/>
      <c r="AI86" s="33"/>
      <c r="AJ86" s="30"/>
      <c r="AK86" s="30"/>
      <c r="AL86" s="30"/>
      <c r="AM86" s="30"/>
      <c r="AN86" s="30"/>
      <c r="AO86" s="30"/>
      <c r="AP86" s="30"/>
      <c r="AQ86" s="30"/>
      <c r="AR86" s="30"/>
      <c r="AS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3"/>
      <c r="AI87" s="33"/>
      <c r="AJ87" s="30"/>
      <c r="AK87" s="30"/>
      <c r="AL87" s="30"/>
      <c r="AM87" s="30"/>
      <c r="AN87" s="30"/>
      <c r="AO87" s="30"/>
      <c r="AP87" s="30"/>
      <c r="AQ87" s="30"/>
      <c r="AR87" s="30"/>
      <c r="AS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3"/>
      <c r="AI88" s="33"/>
      <c r="AJ88" s="30"/>
      <c r="AK88" s="30"/>
      <c r="AL88" s="30"/>
      <c r="AM88" s="30"/>
      <c r="AN88" s="30"/>
      <c r="AO88" s="30"/>
      <c r="AP88" s="30"/>
      <c r="AQ88" s="30"/>
      <c r="AR88" s="30"/>
      <c r="AS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3"/>
      <c r="AI89" s="33"/>
      <c r="AJ89" s="30"/>
      <c r="AK89" s="30"/>
      <c r="AL89" s="30"/>
      <c r="AM89" s="30"/>
      <c r="AN89" s="30"/>
      <c r="AO89" s="30"/>
      <c r="AP89" s="30"/>
      <c r="AQ89" s="30"/>
      <c r="AR89" s="30"/>
      <c r="AS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3"/>
      <c r="AI90" s="33"/>
      <c r="AJ90" s="30"/>
      <c r="AK90" s="30"/>
      <c r="AL90" s="30"/>
      <c r="AM90" s="30"/>
      <c r="AN90" s="30"/>
      <c r="AO90" s="30"/>
      <c r="AP90" s="30"/>
      <c r="AQ90" s="30"/>
      <c r="AR90" s="30"/>
      <c r="AS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3"/>
      <c r="AI91" s="33"/>
      <c r="AJ91" s="30"/>
      <c r="AK91" s="30"/>
      <c r="AL91" s="30"/>
      <c r="AM91" s="30"/>
      <c r="AN91" s="30"/>
      <c r="AO91" s="30"/>
      <c r="AP91" s="30"/>
      <c r="AQ91" s="30"/>
      <c r="AR91" s="30"/>
      <c r="AS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3"/>
      <c r="AI92" s="33"/>
      <c r="AJ92" s="30"/>
      <c r="AK92" s="30"/>
      <c r="AL92" s="30"/>
      <c r="AM92" s="30"/>
      <c r="AN92" s="30"/>
      <c r="AO92" s="30"/>
      <c r="AP92" s="30"/>
      <c r="AQ92" s="30"/>
      <c r="AR92" s="30"/>
      <c r="AS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3"/>
      <c r="AI93" s="33"/>
      <c r="AJ93" s="30"/>
      <c r="AK93" s="30"/>
      <c r="AL93" s="30"/>
      <c r="AM93" s="30"/>
      <c r="AN93" s="30"/>
      <c r="AO93" s="30"/>
      <c r="AP93" s="30"/>
      <c r="AQ93" s="30"/>
      <c r="AR93" s="30"/>
      <c r="AS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3"/>
      <c r="AI94" s="33"/>
      <c r="AJ94" s="30"/>
      <c r="AK94" s="30"/>
      <c r="AL94" s="30"/>
      <c r="AM94" s="30"/>
      <c r="AN94" s="30"/>
      <c r="AO94" s="30"/>
      <c r="AP94" s="30"/>
      <c r="AQ94" s="30"/>
      <c r="AR94" s="30"/>
      <c r="AS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3"/>
      <c r="AI95" s="33"/>
      <c r="AJ95" s="30"/>
      <c r="AK95" s="30"/>
      <c r="AL95" s="30"/>
      <c r="AM95" s="30"/>
      <c r="AN95" s="30"/>
      <c r="AO95" s="30"/>
      <c r="AP95" s="30"/>
      <c r="AQ95" s="30"/>
      <c r="AR95" s="30"/>
      <c r="AS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3"/>
      <c r="AI96" s="33"/>
      <c r="AJ96" s="30"/>
      <c r="AK96" s="30"/>
      <c r="AL96" s="30"/>
      <c r="AM96" s="30"/>
      <c r="AN96" s="30"/>
      <c r="AO96" s="30"/>
      <c r="AP96" s="30"/>
      <c r="AQ96" s="30"/>
      <c r="AR96" s="30"/>
      <c r="AS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3"/>
      <c r="AI97" s="33"/>
      <c r="AJ97" s="30"/>
      <c r="AK97" s="30"/>
      <c r="AL97" s="30"/>
      <c r="AM97" s="30"/>
      <c r="AN97" s="30"/>
      <c r="AO97" s="30"/>
      <c r="AP97" s="30"/>
      <c r="AQ97" s="30"/>
      <c r="AR97" s="30"/>
      <c r="AS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3"/>
      <c r="AI98" s="33"/>
      <c r="AJ98" s="30"/>
      <c r="AK98" s="30"/>
      <c r="AL98" s="30"/>
      <c r="AM98" s="30"/>
      <c r="AN98" s="30"/>
      <c r="AO98" s="30"/>
      <c r="AP98" s="30"/>
      <c r="AQ98" s="30"/>
      <c r="AR98" s="30"/>
      <c r="AS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3"/>
      <c r="AI99" s="33"/>
      <c r="AJ99" s="30"/>
      <c r="AK99" s="30"/>
      <c r="AL99" s="30"/>
      <c r="AM99" s="30"/>
      <c r="AN99" s="30"/>
      <c r="AO99" s="30"/>
      <c r="AP99" s="30"/>
      <c r="AQ99" s="30"/>
      <c r="AR99" s="30"/>
      <c r="AS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3"/>
      <c r="AI100" s="33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3"/>
      <c r="AI101" s="33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3"/>
      <c r="AI102" s="33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3"/>
      <c r="AI103" s="33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3"/>
      <c r="AI104" s="33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3"/>
      <c r="AI105" s="33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3"/>
      <c r="AI106" s="33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3"/>
      <c r="AI107" s="33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3"/>
      <c r="AI108" s="33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3"/>
      <c r="AI109" s="33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3"/>
      <c r="AI110" s="33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3"/>
      <c r="AI111" s="33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3"/>
      <c r="AI112" s="33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3"/>
      <c r="AI113" s="33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3"/>
      <c r="AI114" s="33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3"/>
      <c r="AI115" s="33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3"/>
      <c r="AI116" s="33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3"/>
      <c r="AI117" s="33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3"/>
      <c r="AI118" s="33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3"/>
      <c r="AI119" s="33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3"/>
      <c r="AI120" s="33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3"/>
      <c r="AI121" s="33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3"/>
      <c r="AI122" s="33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3"/>
      <c r="AI123" s="33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3"/>
      <c r="AI124" s="33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3"/>
      <c r="AI125" s="33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3"/>
      <c r="AI126" s="33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3"/>
      <c r="AI127" s="33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3"/>
      <c r="AI128" s="33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3"/>
      <c r="AI129" s="33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3"/>
      <c r="AI130" s="33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3"/>
      <c r="AI131" s="33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3"/>
      <c r="AI132" s="33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3"/>
      <c r="AI133" s="33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3"/>
      <c r="AI134" s="33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3"/>
      <c r="AI135" s="33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3"/>
      <c r="AI136" s="33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3"/>
      <c r="AI137" s="33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3"/>
      <c r="AI138" s="33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3"/>
      <c r="AI139" s="33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3"/>
      <c r="AI140" s="33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3"/>
      <c r="AI141" s="33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3"/>
      <c r="AI142" s="33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3"/>
      <c r="AI143" s="33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3"/>
      <c r="AI144" s="33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3"/>
      <c r="AI145" s="33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3"/>
      <c r="AI146" s="33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3"/>
      <c r="AI147" s="33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3"/>
      <c r="AI148" s="33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3"/>
      <c r="AI149" s="33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3"/>
      <c r="AI150" s="33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3"/>
      <c r="AI151" s="33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3"/>
      <c r="AI152" s="33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3"/>
      <c r="AI153" s="33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3"/>
      <c r="AI154" s="33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3"/>
      <c r="AI155" s="33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3"/>
      <c r="AI156" s="33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3"/>
      <c r="AI157" s="33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3"/>
      <c r="AI158" s="33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3"/>
      <c r="AI159" s="33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3"/>
      <c r="AI160" s="33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3"/>
      <c r="AI161" s="33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3"/>
      <c r="AI162" s="33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3"/>
      <c r="AI163" s="33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3"/>
      <c r="AI164" s="33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3"/>
      <c r="AI165" s="33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3"/>
      <c r="AI166" s="33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3"/>
      <c r="AI167" s="33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3"/>
      <c r="AI168" s="33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3"/>
      <c r="AI169" s="33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3"/>
      <c r="AI170" s="33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3"/>
      <c r="AI171" s="33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3"/>
      <c r="AI172" s="33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3"/>
      <c r="AI173" s="33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3"/>
      <c r="AI174" s="33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3"/>
      <c r="AI175" s="33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3"/>
      <c r="AI176" s="33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3"/>
      <c r="AI177" s="33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3"/>
      <c r="AI178" s="33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3"/>
      <c r="AI179" s="33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3"/>
      <c r="AI180" s="33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3"/>
      <c r="AI181" s="33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3"/>
      <c r="AI182" s="33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3"/>
      <c r="AI183" s="33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3"/>
      <c r="AI184" s="33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3"/>
      <c r="AI185" s="33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3"/>
      <c r="AI186" s="33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3"/>
      <c r="AI187" s="33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3"/>
      <c r="AI188" s="33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</row>
    <row r="189" ht="15.75" customHeight="1">
      <c r="AH189" s="33"/>
      <c r="AI189" s="33"/>
    </row>
    <row r="190" ht="15.75" customHeight="1">
      <c r="AH190" s="33"/>
      <c r="AI190" s="33"/>
    </row>
    <row r="191" ht="15.75" customHeight="1">
      <c r="AH191" s="33"/>
      <c r="AI191" s="33"/>
    </row>
    <row r="192" ht="15.75" customHeight="1">
      <c r="AH192" s="33"/>
      <c r="AI192" s="33"/>
    </row>
    <row r="193" ht="15.75" customHeight="1">
      <c r="AH193" s="33"/>
      <c r="AI193" s="33"/>
    </row>
    <row r="194" ht="15.75" customHeight="1">
      <c r="AH194" s="33"/>
      <c r="AI194" s="33"/>
    </row>
    <row r="195" ht="15.75" customHeight="1">
      <c r="AH195" s="33"/>
      <c r="AI195" s="33"/>
    </row>
    <row r="196" ht="15.75" customHeight="1">
      <c r="AH196" s="33"/>
      <c r="AI196" s="33"/>
    </row>
    <row r="197" ht="15.75" customHeight="1">
      <c r="AH197" s="33"/>
      <c r="AI197" s="33"/>
    </row>
    <row r="198" ht="15.75" customHeight="1">
      <c r="AH198" s="33"/>
      <c r="AI198" s="33"/>
    </row>
    <row r="199" ht="15.75" customHeight="1">
      <c r="AH199" s="33"/>
      <c r="AI199" s="33"/>
    </row>
    <row r="200" ht="15.75" customHeight="1">
      <c r="AH200" s="33"/>
      <c r="AI200" s="33"/>
    </row>
    <row r="201" ht="15.75" customHeight="1">
      <c r="AH201" s="33"/>
      <c r="AI201" s="33"/>
    </row>
    <row r="202" ht="15.75" customHeight="1">
      <c r="AH202" s="33"/>
      <c r="AI202" s="33"/>
    </row>
    <row r="203" ht="15.75" customHeight="1">
      <c r="AH203" s="33"/>
      <c r="AI203" s="33"/>
    </row>
    <row r="204" ht="15.75" customHeight="1">
      <c r="AH204" s="33"/>
      <c r="AI204" s="33"/>
    </row>
    <row r="205" ht="15.75" customHeight="1">
      <c r="AH205" s="33"/>
      <c r="AI205" s="33"/>
    </row>
    <row r="206" ht="15.75" customHeight="1">
      <c r="AH206" s="33"/>
      <c r="AI206" s="33"/>
    </row>
    <row r="207" ht="15.75" customHeight="1">
      <c r="AH207" s="33"/>
      <c r="AI207" s="33"/>
    </row>
    <row r="208" ht="15.75" customHeight="1">
      <c r="AH208" s="33"/>
      <c r="AI208" s="33"/>
    </row>
    <row r="209" ht="15.75" customHeight="1">
      <c r="AH209" s="33"/>
      <c r="AI209" s="33"/>
    </row>
    <row r="210" ht="15.75" customHeight="1">
      <c r="AH210" s="33"/>
      <c r="AI210" s="33"/>
    </row>
    <row r="211" ht="15.75" customHeight="1">
      <c r="AH211" s="33"/>
      <c r="AI211" s="33"/>
    </row>
    <row r="212" ht="15.75" customHeight="1">
      <c r="AH212" s="33"/>
      <c r="AI212" s="33"/>
    </row>
    <row r="213" ht="15.75" customHeight="1">
      <c r="AH213" s="33"/>
      <c r="AI213" s="33"/>
    </row>
    <row r="214" ht="15.75" customHeight="1">
      <c r="AH214" s="33"/>
      <c r="AI214" s="33"/>
    </row>
    <row r="215" ht="15.75" customHeight="1">
      <c r="AH215" s="33"/>
      <c r="AI215" s="33"/>
    </row>
    <row r="216" ht="15.75" customHeight="1">
      <c r="AH216" s="33"/>
      <c r="AI216" s="33"/>
    </row>
    <row r="217" ht="15.75" customHeight="1">
      <c r="AH217" s="33"/>
      <c r="AI217" s="33"/>
    </row>
    <row r="218" ht="15.75" customHeight="1">
      <c r="AH218" s="33"/>
      <c r="AI218" s="33"/>
    </row>
    <row r="219" ht="15.75" customHeight="1">
      <c r="AH219" s="33"/>
      <c r="AI219" s="33"/>
    </row>
    <row r="220" ht="15.75" customHeight="1">
      <c r="AH220" s="33"/>
      <c r="AI220" s="33"/>
    </row>
    <row r="221" ht="15.75" customHeight="1">
      <c r="AH221" s="33"/>
      <c r="AI221" s="33"/>
    </row>
    <row r="222" ht="15.75" customHeight="1">
      <c r="AH222" s="33"/>
      <c r="AI222" s="33"/>
    </row>
    <row r="223" ht="15.75" customHeight="1">
      <c r="AH223" s="33"/>
      <c r="AI223" s="33"/>
    </row>
    <row r="224" ht="15.75" customHeight="1">
      <c r="AH224" s="33"/>
      <c r="AI224" s="33"/>
    </row>
    <row r="225" ht="15.75" customHeight="1">
      <c r="AH225" s="33"/>
      <c r="AI225" s="33"/>
    </row>
    <row r="226" ht="15.75" customHeight="1">
      <c r="AH226" s="33"/>
      <c r="AI226" s="33"/>
    </row>
    <row r="227" ht="15.75" customHeight="1">
      <c r="AH227" s="33"/>
      <c r="AI227" s="33"/>
    </row>
    <row r="228" ht="15.75" customHeight="1">
      <c r="AH228" s="33"/>
      <c r="AI228" s="33"/>
    </row>
    <row r="229" ht="15.75" customHeight="1">
      <c r="AH229" s="33"/>
      <c r="AI229" s="33"/>
    </row>
    <row r="230" ht="15.75" customHeight="1">
      <c r="AH230" s="33"/>
      <c r="AI230" s="33"/>
    </row>
    <row r="231" ht="15.75" customHeight="1">
      <c r="AH231" s="33"/>
      <c r="AI231" s="33"/>
    </row>
    <row r="232" ht="15.75" customHeight="1">
      <c r="AH232" s="33"/>
      <c r="AI232" s="33"/>
    </row>
    <row r="233" ht="15.75" customHeight="1">
      <c r="AH233" s="33"/>
      <c r="AI233" s="33"/>
    </row>
    <row r="234" ht="15.75" customHeight="1">
      <c r="AH234" s="33"/>
      <c r="AI234" s="33"/>
    </row>
    <row r="235" ht="15.75" customHeight="1">
      <c r="AH235" s="33"/>
      <c r="AI235" s="33"/>
    </row>
    <row r="236" ht="15.75" customHeight="1">
      <c r="AH236" s="33"/>
      <c r="AI236" s="33"/>
    </row>
    <row r="237" ht="15.75" customHeight="1">
      <c r="AH237" s="33"/>
      <c r="AI237" s="33"/>
    </row>
    <row r="238" ht="15.75" customHeight="1">
      <c r="AH238" s="33"/>
      <c r="AI238" s="33"/>
    </row>
    <row r="239" ht="15.75" customHeight="1">
      <c r="AH239" s="33"/>
      <c r="AI239" s="33"/>
    </row>
    <row r="240" ht="15.75" customHeight="1">
      <c r="AH240" s="33"/>
      <c r="AI240" s="33"/>
    </row>
    <row r="241" ht="15.75" customHeight="1">
      <c r="AH241" s="33"/>
      <c r="AI241" s="33"/>
    </row>
    <row r="242" ht="15.75" customHeight="1">
      <c r="AH242" s="33"/>
      <c r="AI242" s="33"/>
    </row>
    <row r="243" ht="15.75" customHeight="1">
      <c r="AH243" s="33"/>
      <c r="AI243" s="33"/>
    </row>
    <row r="244" ht="15.75" customHeight="1">
      <c r="AH244" s="33"/>
      <c r="AI244" s="33"/>
    </row>
    <row r="245" ht="15.75" customHeight="1">
      <c r="AH245" s="33"/>
      <c r="AI245" s="33"/>
    </row>
    <row r="246" ht="15.75" customHeight="1">
      <c r="AH246" s="33"/>
      <c r="AI246" s="33"/>
    </row>
    <row r="247" ht="15.75" customHeight="1">
      <c r="AH247" s="33"/>
      <c r="AI247" s="33"/>
    </row>
    <row r="248" ht="15.75" customHeight="1">
      <c r="AH248" s="33"/>
      <c r="AI248" s="33"/>
    </row>
    <row r="249" ht="15.75" customHeight="1">
      <c r="AH249" s="33"/>
      <c r="AI249" s="33"/>
    </row>
    <row r="250" ht="15.75" customHeight="1">
      <c r="AH250" s="33"/>
      <c r="AI250" s="33"/>
    </row>
    <row r="251" ht="15.75" customHeight="1">
      <c r="AH251" s="33"/>
      <c r="AI251" s="33"/>
    </row>
    <row r="252" ht="15.75" customHeight="1">
      <c r="AH252" s="33"/>
      <c r="AI252" s="33"/>
    </row>
    <row r="253" ht="15.75" customHeight="1">
      <c r="AH253" s="33"/>
      <c r="AI253" s="33"/>
    </row>
    <row r="254" ht="15.75" customHeight="1">
      <c r="AH254" s="33"/>
      <c r="AI254" s="33"/>
    </row>
    <row r="255" ht="15.75" customHeight="1">
      <c r="AH255" s="33"/>
      <c r="AI255" s="33"/>
    </row>
    <row r="256" ht="15.75" customHeight="1">
      <c r="AH256" s="33"/>
      <c r="AI256" s="33"/>
    </row>
    <row r="257" ht="15.75" customHeight="1">
      <c r="AH257" s="33"/>
      <c r="AI257" s="33"/>
    </row>
    <row r="258" ht="15.75" customHeight="1">
      <c r="AH258" s="33"/>
      <c r="AI258" s="33"/>
    </row>
    <row r="259" ht="15.75" customHeight="1">
      <c r="AH259" s="33"/>
      <c r="AI259" s="33"/>
    </row>
    <row r="260" ht="15.75" customHeight="1">
      <c r="AH260" s="33"/>
      <c r="AI260" s="33"/>
    </row>
    <row r="261" ht="15.75" customHeight="1">
      <c r="AH261" s="33"/>
      <c r="AI261" s="33"/>
    </row>
    <row r="262" ht="15.75" customHeight="1">
      <c r="AH262" s="33"/>
      <c r="AI262" s="33"/>
    </row>
    <row r="263" ht="15.75" customHeight="1">
      <c r="AH263" s="33"/>
      <c r="AI263" s="33"/>
    </row>
    <row r="264" ht="15.75" customHeight="1">
      <c r="AH264" s="33"/>
      <c r="AI264" s="33"/>
    </row>
    <row r="265" ht="15.75" customHeight="1">
      <c r="AH265" s="33"/>
      <c r="AI265" s="33"/>
    </row>
    <row r="266" ht="15.75" customHeight="1">
      <c r="AH266" s="33"/>
      <c r="AI266" s="33"/>
    </row>
    <row r="267" ht="15.75" customHeight="1">
      <c r="AH267" s="33"/>
      <c r="AI267" s="33"/>
    </row>
    <row r="268" ht="15.75" customHeight="1">
      <c r="AH268" s="33"/>
      <c r="AI268" s="33"/>
    </row>
    <row r="269" ht="15.75" customHeight="1">
      <c r="AH269" s="33"/>
      <c r="AI269" s="33"/>
    </row>
    <row r="270" ht="15.75" customHeight="1">
      <c r="AH270" s="33"/>
      <c r="AI270" s="33"/>
    </row>
    <row r="271" ht="15.75" customHeight="1">
      <c r="AH271" s="33"/>
      <c r="AI271" s="33"/>
    </row>
    <row r="272" ht="15.75" customHeight="1">
      <c r="AH272" s="33"/>
      <c r="AI272" s="33"/>
    </row>
    <row r="273" ht="15.75" customHeight="1">
      <c r="AH273" s="33"/>
      <c r="AI273" s="33"/>
    </row>
    <row r="274" ht="15.75" customHeight="1">
      <c r="AH274" s="33"/>
      <c r="AI274" s="33"/>
    </row>
    <row r="275" ht="15.75" customHeight="1">
      <c r="AH275" s="33"/>
      <c r="AI275" s="33"/>
    </row>
    <row r="276" ht="15.75" customHeight="1">
      <c r="AH276" s="33"/>
      <c r="AI276" s="33"/>
    </row>
    <row r="277" ht="15.75" customHeight="1">
      <c r="AH277" s="33"/>
      <c r="AI277" s="33"/>
    </row>
    <row r="278" ht="15.75" customHeight="1">
      <c r="AH278" s="33"/>
      <c r="AI278" s="33"/>
    </row>
    <row r="279" ht="15.75" customHeight="1">
      <c r="AH279" s="33"/>
      <c r="AI279" s="33"/>
    </row>
    <row r="280" ht="15.75" customHeight="1">
      <c r="AH280" s="33"/>
      <c r="AI280" s="33"/>
    </row>
    <row r="281" ht="15.75" customHeight="1">
      <c r="AH281" s="33"/>
      <c r="AI281" s="33"/>
    </row>
    <row r="282" ht="15.75" customHeight="1">
      <c r="AH282" s="33"/>
      <c r="AI282" s="33"/>
    </row>
    <row r="283" ht="15.75" customHeight="1">
      <c r="AH283" s="33"/>
      <c r="AI283" s="33"/>
    </row>
    <row r="284" ht="15.75" customHeight="1">
      <c r="AH284" s="33"/>
      <c r="AI284" s="33"/>
    </row>
    <row r="285" ht="15.75" customHeight="1">
      <c r="AH285" s="33"/>
      <c r="AI285" s="33"/>
    </row>
    <row r="286" ht="15.75" customHeight="1">
      <c r="AH286" s="33"/>
      <c r="AI286" s="33"/>
    </row>
    <row r="287" ht="15.75" customHeight="1">
      <c r="AH287" s="33"/>
      <c r="AI287" s="33"/>
    </row>
    <row r="288" ht="15.75" customHeight="1">
      <c r="AH288" s="33"/>
      <c r="AI288" s="33"/>
    </row>
    <row r="289" ht="15.75" customHeight="1">
      <c r="AH289" s="33"/>
      <c r="AI289" s="33"/>
    </row>
    <row r="290" ht="15.75" customHeight="1">
      <c r="AH290" s="33"/>
      <c r="AI290" s="33"/>
    </row>
    <row r="291" ht="15.75" customHeight="1">
      <c r="AH291" s="33"/>
      <c r="AI291" s="33"/>
    </row>
    <row r="292" ht="15.75" customHeight="1">
      <c r="AH292" s="33"/>
      <c r="AI292" s="33"/>
    </row>
    <row r="293" ht="15.75" customHeight="1">
      <c r="AH293" s="33"/>
      <c r="AI293" s="33"/>
    </row>
    <row r="294" ht="15.75" customHeight="1">
      <c r="AH294" s="33"/>
      <c r="AI294" s="33"/>
    </row>
    <row r="295" ht="15.75" customHeight="1">
      <c r="AH295" s="33"/>
      <c r="AI295" s="33"/>
    </row>
    <row r="296" ht="15.75" customHeight="1">
      <c r="AH296" s="33"/>
      <c r="AI296" s="33"/>
    </row>
    <row r="297" ht="15.75" customHeight="1">
      <c r="AH297" s="33"/>
      <c r="AI297" s="33"/>
    </row>
    <row r="298" ht="15.75" customHeight="1">
      <c r="AH298" s="33"/>
      <c r="AI298" s="33"/>
    </row>
    <row r="299" ht="15.75" customHeight="1">
      <c r="AH299" s="33"/>
      <c r="AI299" s="33"/>
    </row>
    <row r="300" ht="15.75" customHeight="1">
      <c r="AH300" s="33"/>
      <c r="AI300" s="33"/>
    </row>
    <row r="301" ht="15.75" customHeight="1">
      <c r="AH301" s="33"/>
      <c r="AI301" s="33"/>
    </row>
    <row r="302" ht="15.75" customHeight="1">
      <c r="AH302" s="33"/>
      <c r="AI302" s="33"/>
    </row>
    <row r="303" ht="15.75" customHeight="1">
      <c r="AH303" s="33"/>
      <c r="AI303" s="33"/>
    </row>
    <row r="304" ht="15.75" customHeight="1">
      <c r="AH304" s="33"/>
      <c r="AI304" s="33"/>
    </row>
    <row r="305" ht="15.75" customHeight="1">
      <c r="AH305" s="33"/>
      <c r="AI305" s="33"/>
    </row>
    <row r="306" ht="15.75" customHeight="1">
      <c r="AH306" s="33"/>
      <c r="AI306" s="33"/>
    </row>
    <row r="307" ht="15.75" customHeight="1">
      <c r="AH307" s="33"/>
      <c r="AI307" s="33"/>
    </row>
    <row r="308" ht="15.75" customHeight="1">
      <c r="AH308" s="33"/>
      <c r="AI308" s="33"/>
    </row>
    <row r="309" ht="15.75" customHeight="1">
      <c r="AH309" s="33"/>
      <c r="AI309" s="33"/>
    </row>
    <row r="310" ht="15.75" customHeight="1">
      <c r="AH310" s="33"/>
      <c r="AI310" s="33"/>
    </row>
    <row r="311" ht="15.75" customHeight="1">
      <c r="AH311" s="33"/>
      <c r="AI311" s="33"/>
    </row>
    <row r="312" ht="15.75" customHeight="1">
      <c r="AH312" s="33"/>
      <c r="AI312" s="33"/>
    </row>
    <row r="313" ht="15.75" customHeight="1">
      <c r="AH313" s="33"/>
      <c r="AI313" s="33"/>
    </row>
    <row r="314" ht="15.75" customHeight="1">
      <c r="AH314" s="33"/>
      <c r="AI314" s="33"/>
    </row>
    <row r="315" ht="15.75" customHeight="1">
      <c r="AH315" s="33"/>
      <c r="AI315" s="33"/>
    </row>
    <row r="316" ht="15.75" customHeight="1">
      <c r="AH316" s="33"/>
      <c r="AI316" s="33"/>
    </row>
    <row r="317" ht="15.75" customHeight="1">
      <c r="AH317" s="33"/>
      <c r="AI317" s="33"/>
    </row>
    <row r="318" ht="15.75" customHeight="1">
      <c r="AH318" s="33"/>
      <c r="AI318" s="33"/>
    </row>
    <row r="319" ht="15.75" customHeight="1">
      <c r="AH319" s="33"/>
      <c r="AI319" s="33"/>
    </row>
    <row r="320" ht="15.75" customHeight="1">
      <c r="AH320" s="33"/>
      <c r="AI320" s="33"/>
    </row>
    <row r="321" ht="15.75" customHeight="1">
      <c r="AH321" s="33"/>
      <c r="AI321" s="33"/>
    </row>
    <row r="322" ht="15.75" customHeight="1">
      <c r="AH322" s="33"/>
      <c r="AI322" s="33"/>
    </row>
    <row r="323" ht="15.75" customHeight="1">
      <c r="AH323" s="33"/>
      <c r="AI323" s="33"/>
    </row>
    <row r="324" ht="15.75" customHeight="1">
      <c r="AH324" s="33"/>
      <c r="AI324" s="33"/>
    </row>
    <row r="325" ht="15.75" customHeight="1">
      <c r="AH325" s="33"/>
      <c r="AI325" s="33"/>
    </row>
    <row r="326" ht="15.75" customHeight="1">
      <c r="AH326" s="33"/>
      <c r="AI326" s="33"/>
    </row>
    <row r="327" ht="15.75" customHeight="1">
      <c r="AH327" s="33"/>
      <c r="AI327" s="33"/>
    </row>
    <row r="328" ht="15.75" customHeight="1">
      <c r="AH328" s="33"/>
      <c r="AI328" s="33"/>
    </row>
    <row r="329" ht="15.75" customHeight="1">
      <c r="AH329" s="33"/>
      <c r="AI329" s="33"/>
    </row>
    <row r="330" ht="15.75" customHeight="1">
      <c r="AH330" s="33"/>
      <c r="AI330" s="33"/>
    </row>
    <row r="331" ht="15.75" customHeight="1">
      <c r="AH331" s="33"/>
      <c r="AI331" s="33"/>
    </row>
    <row r="332" ht="15.75" customHeight="1">
      <c r="AH332" s="33"/>
      <c r="AI332" s="33"/>
    </row>
    <row r="333" ht="15.75" customHeight="1">
      <c r="AH333" s="33"/>
      <c r="AI333" s="33"/>
    </row>
    <row r="334" ht="15.75" customHeight="1">
      <c r="AH334" s="33"/>
      <c r="AI334" s="33"/>
    </row>
    <row r="335" ht="15.75" customHeight="1">
      <c r="AH335" s="33"/>
      <c r="AI335" s="33"/>
    </row>
    <row r="336" ht="15.75" customHeight="1">
      <c r="AH336" s="33"/>
      <c r="AI336" s="33"/>
    </row>
    <row r="337" ht="15.75" customHeight="1">
      <c r="AH337" s="33"/>
      <c r="AI337" s="33"/>
    </row>
    <row r="338" ht="15.75" customHeight="1">
      <c r="AH338" s="33"/>
      <c r="AI338" s="33"/>
    </row>
    <row r="339" ht="15.75" customHeight="1">
      <c r="AH339" s="33"/>
      <c r="AI339" s="33"/>
    </row>
    <row r="340" ht="15.75" customHeight="1">
      <c r="AH340" s="33"/>
      <c r="AI340" s="33"/>
    </row>
    <row r="341" ht="15.75" customHeight="1">
      <c r="AH341" s="33"/>
      <c r="AI341" s="33"/>
    </row>
    <row r="342" ht="15.75" customHeight="1">
      <c r="AH342" s="33"/>
      <c r="AI342" s="33"/>
    </row>
    <row r="343" ht="15.75" customHeight="1">
      <c r="AH343" s="33"/>
      <c r="AI343" s="33"/>
    </row>
    <row r="344" ht="15.75" customHeight="1">
      <c r="AH344" s="33"/>
      <c r="AI344" s="33"/>
    </row>
    <row r="345" ht="15.75" customHeight="1">
      <c r="AH345" s="33"/>
      <c r="AI345" s="33"/>
    </row>
    <row r="346" ht="15.75" customHeight="1">
      <c r="AH346" s="33"/>
      <c r="AI346" s="33"/>
    </row>
    <row r="347" ht="15.75" customHeight="1">
      <c r="AH347" s="33"/>
      <c r="AI347" s="33"/>
    </row>
    <row r="348" ht="15.75" customHeight="1">
      <c r="AH348" s="33"/>
      <c r="AI348" s="33"/>
    </row>
    <row r="349" ht="15.75" customHeight="1">
      <c r="AH349" s="33"/>
      <c r="AI349" s="33"/>
    </row>
    <row r="350" ht="15.75" customHeight="1">
      <c r="AH350" s="33"/>
      <c r="AI350" s="33"/>
    </row>
    <row r="351" ht="15.75" customHeight="1">
      <c r="AH351" s="33"/>
      <c r="AI351" s="33"/>
    </row>
    <row r="352" ht="15.75" customHeight="1">
      <c r="AH352" s="33"/>
      <c r="AI352" s="33"/>
    </row>
    <row r="353" ht="15.75" customHeight="1">
      <c r="AH353" s="33"/>
      <c r="AI353" s="33"/>
    </row>
    <row r="354" ht="15.75" customHeight="1">
      <c r="AH354" s="33"/>
      <c r="AI354" s="33"/>
    </row>
    <row r="355" ht="15.75" customHeight="1">
      <c r="AH355" s="33"/>
      <c r="AI355" s="33"/>
    </row>
    <row r="356" ht="15.75" customHeight="1">
      <c r="AH356" s="33"/>
      <c r="AI356" s="33"/>
    </row>
    <row r="357" ht="15.75" customHeight="1">
      <c r="AH357" s="33"/>
      <c r="AI357" s="33"/>
    </row>
    <row r="358" ht="15.75" customHeight="1">
      <c r="AH358" s="33"/>
      <c r="AI358" s="33"/>
    </row>
    <row r="359" ht="15.75" customHeight="1">
      <c r="AH359" s="33"/>
      <c r="AI359" s="33"/>
    </row>
    <row r="360" ht="15.75" customHeight="1">
      <c r="AH360" s="33"/>
      <c r="AI360" s="33"/>
    </row>
    <row r="361" ht="15.75" customHeight="1">
      <c r="AH361" s="33"/>
      <c r="AI361" s="33"/>
    </row>
    <row r="362" ht="15.75" customHeight="1">
      <c r="AH362" s="33"/>
      <c r="AI362" s="33"/>
    </row>
    <row r="363" ht="15.75" customHeight="1">
      <c r="AH363" s="33"/>
      <c r="AI363" s="33"/>
    </row>
    <row r="364" ht="15.75" customHeight="1">
      <c r="AH364" s="33"/>
      <c r="AI364" s="33"/>
    </row>
    <row r="365" ht="15.75" customHeight="1">
      <c r="AH365" s="33"/>
      <c r="AI365" s="33"/>
    </row>
    <row r="366" ht="15.75" customHeight="1">
      <c r="AH366" s="33"/>
      <c r="AI366" s="33"/>
    </row>
    <row r="367" ht="15.75" customHeight="1">
      <c r="AH367" s="33"/>
      <c r="AI367" s="33"/>
    </row>
    <row r="368" ht="15.75" customHeight="1">
      <c r="AH368" s="33"/>
      <c r="AI368" s="33"/>
    </row>
    <row r="369" ht="15.75" customHeight="1">
      <c r="AH369" s="33"/>
      <c r="AI369" s="33"/>
    </row>
    <row r="370" ht="15.75" customHeight="1">
      <c r="AH370" s="33"/>
      <c r="AI370" s="33"/>
    </row>
    <row r="371" ht="15.75" customHeight="1">
      <c r="AH371" s="33"/>
      <c r="AI371" s="33"/>
    </row>
    <row r="372" ht="15.75" customHeight="1">
      <c r="AH372" s="33"/>
      <c r="AI372" s="33"/>
    </row>
    <row r="373" ht="15.75" customHeight="1">
      <c r="AH373" s="33"/>
      <c r="AI373" s="33"/>
    </row>
    <row r="374" ht="15.75" customHeight="1">
      <c r="AH374" s="33"/>
      <c r="AI374" s="33"/>
    </row>
    <row r="375" ht="15.75" customHeight="1">
      <c r="AH375" s="33"/>
      <c r="AI375" s="33"/>
    </row>
    <row r="376" ht="15.75" customHeight="1">
      <c r="AH376" s="33"/>
      <c r="AI376" s="33"/>
    </row>
    <row r="377" ht="15.75" customHeight="1">
      <c r="AH377" s="33"/>
      <c r="AI377" s="33"/>
    </row>
    <row r="378" ht="15.75" customHeight="1">
      <c r="AH378" s="33"/>
      <c r="AI378" s="33"/>
    </row>
    <row r="379" ht="15.75" customHeight="1">
      <c r="AH379" s="33"/>
      <c r="AI379" s="33"/>
    </row>
    <row r="380" ht="15.75" customHeight="1">
      <c r="AH380" s="33"/>
      <c r="AI380" s="33"/>
    </row>
    <row r="381" ht="15.75" customHeight="1">
      <c r="AH381" s="33"/>
      <c r="AI381" s="33"/>
    </row>
    <row r="382" ht="15.75" customHeight="1">
      <c r="AH382" s="33"/>
      <c r="AI382" s="33"/>
    </row>
    <row r="383" ht="15.75" customHeight="1">
      <c r="AH383" s="33"/>
      <c r="AI383" s="33"/>
    </row>
    <row r="384" ht="15.75" customHeight="1">
      <c r="AH384" s="33"/>
      <c r="AI384" s="33"/>
    </row>
    <row r="385" ht="15.75" customHeight="1">
      <c r="AH385" s="33"/>
      <c r="AI385" s="33"/>
    </row>
    <row r="386" ht="15.75" customHeight="1">
      <c r="AH386" s="33"/>
      <c r="AI386" s="33"/>
    </row>
    <row r="387" ht="15.75" customHeight="1">
      <c r="AH387" s="33"/>
      <c r="AI387" s="33"/>
    </row>
    <row r="388" ht="15.75" customHeight="1">
      <c r="AH388" s="33"/>
      <c r="AI388" s="33"/>
    </row>
    <row r="389" ht="15.75" customHeight="1">
      <c r="AH389" s="33"/>
      <c r="AI389" s="33"/>
    </row>
    <row r="390" ht="15.75" customHeight="1">
      <c r="AH390" s="33"/>
      <c r="AI390" s="33"/>
    </row>
    <row r="391" ht="15.75" customHeight="1">
      <c r="AH391" s="33"/>
      <c r="AI391" s="33"/>
    </row>
    <row r="392" ht="15.75" customHeight="1">
      <c r="AH392" s="33"/>
      <c r="AI392" s="33"/>
    </row>
    <row r="393" ht="15.75" customHeight="1">
      <c r="AH393" s="33"/>
      <c r="AI393" s="33"/>
    </row>
    <row r="394" ht="15.75" customHeight="1">
      <c r="AH394" s="33"/>
      <c r="AI394" s="33"/>
    </row>
    <row r="395" ht="15.75" customHeight="1">
      <c r="AH395" s="33"/>
      <c r="AI395" s="33"/>
    </row>
    <row r="396" ht="15.75" customHeight="1">
      <c r="AH396" s="33"/>
      <c r="AI396" s="33"/>
    </row>
    <row r="397" ht="15.75" customHeight="1">
      <c r="AH397" s="33"/>
      <c r="AI397" s="33"/>
    </row>
    <row r="398" ht="15.75" customHeight="1">
      <c r="AH398" s="33"/>
      <c r="AI398" s="33"/>
    </row>
    <row r="399" ht="15.75" customHeight="1">
      <c r="AH399" s="33"/>
      <c r="AI399" s="33"/>
    </row>
    <row r="400" ht="15.75" customHeight="1">
      <c r="AH400" s="33"/>
      <c r="AI400" s="33"/>
    </row>
    <row r="401" ht="15.75" customHeight="1">
      <c r="AH401" s="33"/>
      <c r="AI401" s="33"/>
    </row>
    <row r="402" ht="15.75" customHeight="1">
      <c r="AH402" s="33"/>
      <c r="AI402" s="33"/>
    </row>
    <row r="403" ht="15.75" customHeight="1">
      <c r="AH403" s="33"/>
      <c r="AI403" s="33"/>
    </row>
    <row r="404" ht="15.75" customHeight="1">
      <c r="AH404" s="33"/>
      <c r="AI404" s="33"/>
    </row>
    <row r="405" ht="15.75" customHeight="1">
      <c r="AH405" s="33"/>
      <c r="AI405" s="33"/>
    </row>
    <row r="406" ht="15.75" customHeight="1">
      <c r="AH406" s="33"/>
      <c r="AI406" s="33"/>
    </row>
    <row r="407" ht="15.75" customHeight="1">
      <c r="AH407" s="33"/>
      <c r="AI407" s="33"/>
    </row>
    <row r="408" ht="15.75" customHeight="1">
      <c r="AH408" s="33"/>
      <c r="AI408" s="33"/>
    </row>
    <row r="409" ht="15.75" customHeight="1">
      <c r="AH409" s="33"/>
      <c r="AI409" s="33"/>
    </row>
    <row r="410" ht="15.75" customHeight="1">
      <c r="AH410" s="33"/>
      <c r="AI410" s="33"/>
    </row>
    <row r="411" ht="15.75" customHeight="1">
      <c r="AH411" s="33"/>
      <c r="AI411" s="33"/>
    </row>
    <row r="412" ht="15.75" customHeight="1">
      <c r="AH412" s="33"/>
      <c r="AI412" s="33"/>
    </row>
    <row r="413" ht="15.75" customHeight="1">
      <c r="AH413" s="33"/>
      <c r="AI413" s="33"/>
    </row>
    <row r="414" ht="15.75" customHeight="1">
      <c r="AH414" s="33"/>
      <c r="AI414" s="33"/>
    </row>
    <row r="415" ht="15.75" customHeight="1">
      <c r="AH415" s="33"/>
      <c r="AI415" s="33"/>
    </row>
    <row r="416" ht="15.75" customHeight="1">
      <c r="AH416" s="33"/>
      <c r="AI416" s="33"/>
    </row>
    <row r="417" ht="15.75" customHeight="1">
      <c r="AH417" s="33"/>
      <c r="AI417" s="33"/>
    </row>
    <row r="418" ht="15.75" customHeight="1">
      <c r="AH418" s="33"/>
      <c r="AI418" s="33"/>
    </row>
    <row r="419" ht="15.75" customHeight="1">
      <c r="AH419" s="33"/>
      <c r="AI419" s="33"/>
    </row>
    <row r="420" ht="15.75" customHeight="1">
      <c r="AH420" s="33"/>
      <c r="AI420" s="33"/>
    </row>
    <row r="421" ht="15.75" customHeight="1">
      <c r="AH421" s="33"/>
      <c r="AI421" s="33"/>
    </row>
    <row r="422" ht="15.75" customHeight="1">
      <c r="AH422" s="33"/>
      <c r="AI422" s="33"/>
    </row>
    <row r="423" ht="15.75" customHeight="1">
      <c r="AH423" s="33"/>
      <c r="AI423" s="33"/>
    </row>
    <row r="424" ht="15.75" customHeight="1">
      <c r="AH424" s="33"/>
      <c r="AI424" s="33"/>
    </row>
    <row r="425" ht="15.75" customHeight="1">
      <c r="AH425" s="33"/>
      <c r="AI425" s="33"/>
    </row>
    <row r="426" ht="15.75" customHeight="1">
      <c r="AH426" s="33"/>
      <c r="AI426" s="33"/>
    </row>
    <row r="427" ht="15.75" customHeight="1">
      <c r="AH427" s="33"/>
      <c r="AI427" s="33"/>
    </row>
    <row r="428" ht="15.75" customHeight="1">
      <c r="AH428" s="33"/>
      <c r="AI428" s="33"/>
    </row>
    <row r="429" ht="15.75" customHeight="1">
      <c r="AH429" s="33"/>
      <c r="AI429" s="33"/>
    </row>
    <row r="430" ht="15.75" customHeight="1">
      <c r="AH430" s="33"/>
      <c r="AI430" s="33"/>
    </row>
    <row r="431" ht="15.75" customHeight="1">
      <c r="AH431" s="33"/>
      <c r="AI431" s="33"/>
    </row>
    <row r="432" ht="15.75" customHeight="1">
      <c r="AH432" s="33"/>
      <c r="AI432" s="33"/>
    </row>
    <row r="433" ht="15.75" customHeight="1">
      <c r="AH433" s="33"/>
      <c r="AI433" s="33"/>
    </row>
    <row r="434" ht="15.75" customHeight="1">
      <c r="AH434" s="33"/>
      <c r="AI434" s="33"/>
    </row>
    <row r="435" ht="15.75" customHeight="1">
      <c r="AH435" s="33"/>
      <c r="AI435" s="33"/>
    </row>
    <row r="436" ht="15.75" customHeight="1">
      <c r="AH436" s="33"/>
      <c r="AI436" s="33"/>
    </row>
    <row r="437" ht="15.75" customHeight="1">
      <c r="AH437" s="33"/>
      <c r="AI437" s="33"/>
    </row>
    <row r="438" ht="15.75" customHeight="1">
      <c r="AH438" s="33"/>
      <c r="AI438" s="33"/>
    </row>
    <row r="439" ht="15.75" customHeight="1">
      <c r="AH439" s="33"/>
      <c r="AI439" s="33"/>
    </row>
    <row r="440" ht="15.75" customHeight="1">
      <c r="AH440" s="33"/>
      <c r="AI440" s="33"/>
    </row>
    <row r="441" ht="15.75" customHeight="1">
      <c r="AH441" s="33"/>
      <c r="AI441" s="33"/>
    </row>
    <row r="442" ht="15.75" customHeight="1">
      <c r="AH442" s="33"/>
      <c r="AI442" s="33"/>
    </row>
    <row r="443" ht="15.75" customHeight="1">
      <c r="AH443" s="33"/>
      <c r="AI443" s="33"/>
    </row>
    <row r="444" ht="15.75" customHeight="1">
      <c r="AH444" s="33"/>
      <c r="AI444" s="33"/>
    </row>
    <row r="445" ht="15.75" customHeight="1">
      <c r="AH445" s="33"/>
      <c r="AI445" s="33"/>
    </row>
    <row r="446" ht="15.75" customHeight="1">
      <c r="AH446" s="33"/>
      <c r="AI446" s="33"/>
    </row>
    <row r="447" ht="15.75" customHeight="1">
      <c r="AH447" s="33"/>
      <c r="AI447" s="33"/>
    </row>
    <row r="448" ht="15.75" customHeight="1">
      <c r="AH448" s="33"/>
      <c r="AI448" s="33"/>
    </row>
    <row r="449" ht="15.75" customHeight="1">
      <c r="AH449" s="33"/>
      <c r="AI449" s="33"/>
    </row>
    <row r="450" ht="15.75" customHeight="1">
      <c r="AH450" s="33"/>
      <c r="AI450" s="33"/>
    </row>
    <row r="451" ht="15.75" customHeight="1">
      <c r="AH451" s="33"/>
      <c r="AI451" s="33"/>
    </row>
    <row r="452" ht="15.75" customHeight="1">
      <c r="AH452" s="33"/>
      <c r="AI452" s="33"/>
    </row>
    <row r="453" ht="15.75" customHeight="1">
      <c r="AH453" s="33"/>
      <c r="AI453" s="33"/>
    </row>
    <row r="454" ht="15.75" customHeight="1">
      <c r="AH454" s="33"/>
      <c r="AI454" s="33"/>
    </row>
    <row r="455" ht="15.75" customHeight="1">
      <c r="AH455" s="33"/>
      <c r="AI455" s="33"/>
    </row>
    <row r="456" ht="15.75" customHeight="1">
      <c r="AH456" s="33"/>
      <c r="AI456" s="33"/>
    </row>
    <row r="457" ht="15.75" customHeight="1">
      <c r="AH457" s="33"/>
      <c r="AI457" s="33"/>
    </row>
    <row r="458" ht="15.75" customHeight="1">
      <c r="AH458" s="33"/>
      <c r="AI458" s="33"/>
    </row>
    <row r="459" ht="15.75" customHeight="1">
      <c r="AH459" s="33"/>
      <c r="AI459" s="33"/>
    </row>
    <row r="460" ht="15.75" customHeight="1">
      <c r="AH460" s="33"/>
      <c r="AI460" s="33"/>
    </row>
    <row r="461" ht="15.75" customHeight="1">
      <c r="AH461" s="33"/>
      <c r="AI461" s="33"/>
    </row>
    <row r="462" ht="15.75" customHeight="1">
      <c r="AH462" s="33"/>
      <c r="AI462" s="33"/>
    </row>
    <row r="463" ht="15.75" customHeight="1">
      <c r="AH463" s="33"/>
      <c r="AI463" s="33"/>
    </row>
    <row r="464" ht="15.75" customHeight="1">
      <c r="AH464" s="33"/>
      <c r="AI464" s="33"/>
    </row>
    <row r="465" ht="15.75" customHeight="1">
      <c r="AH465" s="33"/>
      <c r="AI465" s="33"/>
    </row>
    <row r="466" ht="15.75" customHeight="1">
      <c r="AH466" s="33"/>
      <c r="AI466" s="33"/>
    </row>
    <row r="467" ht="15.75" customHeight="1">
      <c r="AH467" s="33"/>
      <c r="AI467" s="33"/>
    </row>
    <row r="468" ht="15.75" customHeight="1">
      <c r="AH468" s="33"/>
      <c r="AI468" s="33"/>
    </row>
    <row r="469" ht="15.75" customHeight="1">
      <c r="AH469" s="33"/>
      <c r="AI469" s="33"/>
    </row>
    <row r="470" ht="15.75" customHeight="1">
      <c r="AH470" s="33"/>
      <c r="AI470" s="33"/>
    </row>
    <row r="471" ht="15.75" customHeight="1">
      <c r="AH471" s="33"/>
      <c r="AI471" s="33"/>
    </row>
    <row r="472" ht="15.75" customHeight="1">
      <c r="AH472" s="33"/>
      <c r="AI472" s="33"/>
    </row>
    <row r="473" ht="15.75" customHeight="1">
      <c r="AH473" s="33"/>
      <c r="AI473" s="33"/>
    </row>
    <row r="474" ht="15.75" customHeight="1">
      <c r="AH474" s="33"/>
      <c r="AI474" s="33"/>
    </row>
    <row r="475" ht="15.75" customHeight="1">
      <c r="AH475" s="33"/>
      <c r="AI475" s="33"/>
    </row>
    <row r="476" ht="15.75" customHeight="1">
      <c r="AH476" s="33"/>
      <c r="AI476" s="33"/>
    </row>
    <row r="477" ht="15.75" customHeight="1">
      <c r="AH477" s="33"/>
      <c r="AI477" s="33"/>
    </row>
    <row r="478" ht="15.75" customHeight="1">
      <c r="AH478" s="33"/>
      <c r="AI478" s="33"/>
    </row>
    <row r="479" ht="15.75" customHeight="1">
      <c r="AH479" s="33"/>
      <c r="AI479" s="33"/>
    </row>
    <row r="480" ht="15.75" customHeight="1">
      <c r="AH480" s="33"/>
      <c r="AI480" s="33"/>
    </row>
    <row r="481" ht="15.75" customHeight="1">
      <c r="AH481" s="33"/>
      <c r="AI481" s="33"/>
    </row>
    <row r="482" ht="15.75" customHeight="1">
      <c r="AH482" s="33"/>
      <c r="AI482" s="33"/>
    </row>
    <row r="483" ht="15.75" customHeight="1">
      <c r="AH483" s="33"/>
      <c r="AI483" s="33"/>
    </row>
    <row r="484" ht="15.75" customHeight="1">
      <c r="AH484" s="33"/>
      <c r="AI484" s="33"/>
    </row>
    <row r="485" ht="15.75" customHeight="1">
      <c r="AH485" s="33"/>
      <c r="AI485" s="33"/>
    </row>
    <row r="486" ht="15.75" customHeight="1">
      <c r="AH486" s="33"/>
      <c r="AI486" s="33"/>
    </row>
    <row r="487" ht="15.75" customHeight="1">
      <c r="AH487" s="33"/>
      <c r="AI487" s="33"/>
    </row>
    <row r="488" ht="15.75" customHeight="1">
      <c r="AH488" s="33"/>
      <c r="AI488" s="33"/>
    </row>
    <row r="489" ht="15.75" customHeight="1">
      <c r="AH489" s="33"/>
      <c r="AI489" s="33"/>
    </row>
    <row r="490" ht="15.75" customHeight="1">
      <c r="AH490" s="33"/>
      <c r="AI490" s="33"/>
    </row>
    <row r="491" ht="15.75" customHeight="1">
      <c r="AH491" s="33"/>
      <c r="AI491" s="33"/>
    </row>
    <row r="492" ht="15.75" customHeight="1">
      <c r="AH492" s="33"/>
      <c r="AI492" s="33"/>
    </row>
    <row r="493" ht="15.75" customHeight="1">
      <c r="AH493" s="33"/>
      <c r="AI493" s="33"/>
    </row>
    <row r="494" ht="15.75" customHeight="1">
      <c r="AH494" s="33"/>
      <c r="AI494" s="33"/>
    </row>
    <row r="495" ht="15.75" customHeight="1">
      <c r="AH495" s="33"/>
      <c r="AI495" s="33"/>
    </row>
    <row r="496" ht="15.75" customHeight="1">
      <c r="AH496" s="33"/>
      <c r="AI496" s="33"/>
    </row>
    <row r="497" ht="15.75" customHeight="1">
      <c r="AH497" s="33"/>
      <c r="AI497" s="33"/>
    </row>
    <row r="498" ht="15.75" customHeight="1">
      <c r="AH498" s="33"/>
      <c r="AI498" s="33"/>
    </row>
    <row r="499" ht="15.75" customHeight="1">
      <c r="AH499" s="33"/>
      <c r="AI499" s="33"/>
    </row>
    <row r="500" ht="15.75" customHeight="1">
      <c r="AH500" s="33"/>
      <c r="AI500" s="33"/>
    </row>
    <row r="501" ht="15.75" customHeight="1">
      <c r="AH501" s="33"/>
      <c r="AI501" s="33"/>
    </row>
    <row r="502" ht="15.75" customHeight="1">
      <c r="AH502" s="33"/>
      <c r="AI502" s="33"/>
    </row>
    <row r="503" ht="15.75" customHeight="1">
      <c r="AH503" s="33"/>
      <c r="AI503" s="33"/>
    </row>
    <row r="504" ht="15.75" customHeight="1">
      <c r="AH504" s="33"/>
      <c r="AI504" s="33"/>
    </row>
    <row r="505" ht="15.75" customHeight="1">
      <c r="AH505" s="33"/>
      <c r="AI505" s="33"/>
    </row>
    <row r="506" ht="15.75" customHeight="1">
      <c r="AH506" s="33"/>
      <c r="AI506" s="33"/>
    </row>
    <row r="507" ht="15.75" customHeight="1">
      <c r="AH507" s="33"/>
      <c r="AI507" s="33"/>
    </row>
    <row r="508" ht="15.75" customHeight="1">
      <c r="AH508" s="33"/>
      <c r="AI508" s="33"/>
    </row>
    <row r="509" ht="15.75" customHeight="1">
      <c r="AH509" s="33"/>
      <c r="AI509" s="33"/>
    </row>
    <row r="510" ht="15.75" customHeight="1">
      <c r="AH510" s="33"/>
      <c r="AI510" s="33"/>
    </row>
    <row r="511" ht="15.75" customHeight="1">
      <c r="AH511" s="33"/>
      <c r="AI511" s="33"/>
    </row>
    <row r="512" ht="15.75" customHeight="1">
      <c r="AH512" s="33"/>
      <c r="AI512" s="33"/>
    </row>
    <row r="513" ht="15.75" customHeight="1">
      <c r="AH513" s="33"/>
      <c r="AI513" s="33"/>
    </row>
    <row r="514" ht="15.75" customHeight="1">
      <c r="AH514" s="33"/>
      <c r="AI514" s="33"/>
    </row>
    <row r="515" ht="15.75" customHeight="1">
      <c r="AH515" s="33"/>
      <c r="AI515" s="33"/>
    </row>
    <row r="516" ht="15.75" customHeight="1">
      <c r="AH516" s="33"/>
      <c r="AI516" s="33"/>
    </row>
    <row r="517" ht="15.75" customHeight="1">
      <c r="AH517" s="33"/>
      <c r="AI517" s="33"/>
    </row>
    <row r="518" ht="15.75" customHeight="1">
      <c r="AH518" s="33"/>
      <c r="AI518" s="33"/>
    </row>
    <row r="519" ht="15.75" customHeight="1">
      <c r="AH519" s="33"/>
      <c r="AI519" s="33"/>
    </row>
    <row r="520" ht="15.75" customHeight="1">
      <c r="AH520" s="33"/>
      <c r="AI520" s="33"/>
    </row>
    <row r="521" ht="15.75" customHeight="1">
      <c r="AH521" s="33"/>
      <c r="AI521" s="33"/>
    </row>
    <row r="522" ht="15.75" customHeight="1">
      <c r="AH522" s="33"/>
      <c r="AI522" s="33"/>
    </row>
    <row r="523" ht="15.75" customHeight="1">
      <c r="AH523" s="33"/>
      <c r="AI523" s="33"/>
    </row>
    <row r="524" ht="15.75" customHeight="1">
      <c r="AH524" s="33"/>
      <c r="AI524" s="33"/>
    </row>
    <row r="525" ht="15.75" customHeight="1">
      <c r="AH525" s="33"/>
      <c r="AI525" s="33"/>
    </row>
    <row r="526" ht="15.75" customHeight="1">
      <c r="AH526" s="33"/>
      <c r="AI526" s="33"/>
    </row>
    <row r="527" ht="15.75" customHeight="1">
      <c r="AH527" s="33"/>
      <c r="AI527" s="33"/>
    </row>
    <row r="528" ht="15.75" customHeight="1">
      <c r="AH528" s="33"/>
      <c r="AI528" s="33"/>
    </row>
    <row r="529" ht="15.75" customHeight="1">
      <c r="AH529" s="33"/>
      <c r="AI529" s="33"/>
    </row>
    <row r="530" ht="15.75" customHeight="1">
      <c r="AH530" s="33"/>
      <c r="AI530" s="33"/>
    </row>
    <row r="531" ht="15.75" customHeight="1">
      <c r="AH531" s="33"/>
      <c r="AI531" s="33"/>
    </row>
    <row r="532" ht="15.75" customHeight="1">
      <c r="AH532" s="33"/>
      <c r="AI532" s="33"/>
    </row>
    <row r="533" ht="15.75" customHeight="1">
      <c r="AH533" s="33"/>
      <c r="AI533" s="33"/>
    </row>
    <row r="534" ht="15.75" customHeight="1">
      <c r="AH534" s="33"/>
      <c r="AI534" s="33"/>
    </row>
    <row r="535" ht="15.75" customHeight="1">
      <c r="AH535" s="33"/>
      <c r="AI535" s="33"/>
    </row>
    <row r="536" ht="15.75" customHeight="1">
      <c r="AH536" s="33"/>
      <c r="AI536" s="33"/>
    </row>
    <row r="537" ht="15.75" customHeight="1">
      <c r="AH537" s="33"/>
      <c r="AI537" s="33"/>
    </row>
    <row r="538" ht="15.75" customHeight="1">
      <c r="AH538" s="33"/>
      <c r="AI538" s="33"/>
    </row>
    <row r="539" ht="15.75" customHeight="1">
      <c r="AH539" s="33"/>
      <c r="AI539" s="33"/>
    </row>
    <row r="540" ht="15.75" customHeight="1">
      <c r="AH540" s="33"/>
      <c r="AI540" s="33"/>
    </row>
    <row r="541" ht="15.75" customHeight="1">
      <c r="AH541" s="33"/>
      <c r="AI541" s="33"/>
    </row>
    <row r="542" ht="15.75" customHeight="1">
      <c r="AH542" s="33"/>
      <c r="AI542" s="33"/>
    </row>
    <row r="543" ht="15.75" customHeight="1">
      <c r="AH543" s="33"/>
      <c r="AI543" s="33"/>
    </row>
    <row r="544" ht="15.75" customHeight="1">
      <c r="AH544" s="33"/>
      <c r="AI544" s="33"/>
    </row>
    <row r="545" ht="15.75" customHeight="1">
      <c r="AH545" s="33"/>
      <c r="AI545" s="33"/>
    </row>
    <row r="546" ht="15.75" customHeight="1">
      <c r="AH546" s="33"/>
      <c r="AI546" s="33"/>
    </row>
    <row r="547" ht="15.75" customHeight="1">
      <c r="AH547" s="33"/>
      <c r="AI547" s="33"/>
    </row>
    <row r="548" ht="15.75" customHeight="1">
      <c r="AH548" s="33"/>
      <c r="AI548" s="33"/>
    </row>
    <row r="549" ht="15.75" customHeight="1">
      <c r="AH549" s="33"/>
      <c r="AI549" s="33"/>
    </row>
    <row r="550" ht="15.75" customHeight="1">
      <c r="AH550" s="33"/>
      <c r="AI550" s="33"/>
    </row>
    <row r="551" ht="15.75" customHeight="1">
      <c r="AH551" s="33"/>
      <c r="AI551" s="33"/>
    </row>
    <row r="552" ht="15.75" customHeight="1">
      <c r="AH552" s="33"/>
      <c r="AI552" s="33"/>
    </row>
    <row r="553" ht="15.75" customHeight="1">
      <c r="AH553" s="33"/>
      <c r="AI553" s="33"/>
    </row>
    <row r="554" ht="15.75" customHeight="1">
      <c r="AH554" s="33"/>
      <c r="AI554" s="33"/>
    </row>
    <row r="555" ht="15.75" customHeight="1">
      <c r="AH555" s="33"/>
      <c r="AI555" s="33"/>
    </row>
    <row r="556" ht="15.75" customHeight="1">
      <c r="AH556" s="33"/>
      <c r="AI556" s="33"/>
    </row>
    <row r="557" ht="15.75" customHeight="1">
      <c r="AH557" s="33"/>
      <c r="AI557" s="33"/>
    </row>
    <row r="558" ht="15.75" customHeight="1">
      <c r="AH558" s="33"/>
      <c r="AI558" s="33"/>
    </row>
    <row r="559" ht="15.75" customHeight="1">
      <c r="AH559" s="33"/>
      <c r="AI559" s="33"/>
    </row>
    <row r="560" ht="15.75" customHeight="1">
      <c r="AH560" s="33"/>
      <c r="AI560" s="33"/>
    </row>
    <row r="561" ht="15.75" customHeight="1">
      <c r="AH561" s="33"/>
      <c r="AI561" s="33"/>
    </row>
    <row r="562" ht="15.75" customHeight="1">
      <c r="AH562" s="33"/>
      <c r="AI562" s="33"/>
    </row>
    <row r="563" ht="15.75" customHeight="1">
      <c r="AH563" s="33"/>
      <c r="AI563" s="33"/>
    </row>
    <row r="564" ht="15.75" customHeight="1">
      <c r="AH564" s="33"/>
      <c r="AI564" s="33"/>
    </row>
    <row r="565" ht="15.75" customHeight="1">
      <c r="AH565" s="33"/>
      <c r="AI565" s="33"/>
    </row>
    <row r="566" ht="15.75" customHeight="1">
      <c r="AH566" s="33"/>
      <c r="AI566" s="33"/>
    </row>
    <row r="567" ht="15.75" customHeight="1">
      <c r="AH567" s="33"/>
      <c r="AI567" s="33"/>
    </row>
    <row r="568" ht="15.75" customHeight="1">
      <c r="AH568" s="33"/>
      <c r="AI568" s="33"/>
    </row>
    <row r="569" ht="15.75" customHeight="1">
      <c r="AH569" s="33"/>
      <c r="AI569" s="33"/>
    </row>
    <row r="570" ht="15.75" customHeight="1">
      <c r="AH570" s="33"/>
      <c r="AI570" s="33"/>
    </row>
    <row r="571" ht="15.75" customHeight="1">
      <c r="AH571" s="33"/>
      <c r="AI571" s="33"/>
    </row>
    <row r="572" ht="15.75" customHeight="1">
      <c r="AH572" s="33"/>
      <c r="AI572" s="33"/>
    </row>
    <row r="573" ht="15.75" customHeight="1">
      <c r="AH573" s="33"/>
      <c r="AI573" s="33"/>
    </row>
    <row r="574" ht="15.75" customHeight="1">
      <c r="AH574" s="33"/>
      <c r="AI574" s="33"/>
    </row>
    <row r="575" ht="15.75" customHeight="1">
      <c r="AH575" s="33"/>
      <c r="AI575" s="33"/>
    </row>
    <row r="576" ht="15.75" customHeight="1">
      <c r="AH576" s="33"/>
      <c r="AI576" s="33"/>
    </row>
    <row r="577" ht="15.75" customHeight="1">
      <c r="AH577" s="33"/>
      <c r="AI577" s="33"/>
    </row>
    <row r="578" ht="15.75" customHeight="1">
      <c r="AH578" s="33"/>
      <c r="AI578" s="33"/>
    </row>
    <row r="579" ht="15.75" customHeight="1">
      <c r="AH579" s="33"/>
      <c r="AI579" s="33"/>
    </row>
    <row r="580" ht="15.75" customHeight="1">
      <c r="AH580" s="33"/>
      <c r="AI580" s="33"/>
    </row>
    <row r="581" ht="15.75" customHeight="1">
      <c r="AH581" s="33"/>
      <c r="AI581" s="33"/>
    </row>
    <row r="582" ht="15.75" customHeight="1">
      <c r="AH582" s="33"/>
      <c r="AI582" s="33"/>
    </row>
    <row r="583" ht="15.75" customHeight="1">
      <c r="AH583" s="33"/>
      <c r="AI583" s="33"/>
    </row>
    <row r="584" ht="15.75" customHeight="1">
      <c r="AH584" s="33"/>
      <c r="AI584" s="33"/>
    </row>
    <row r="585" ht="15.75" customHeight="1">
      <c r="AH585" s="33"/>
      <c r="AI585" s="33"/>
    </row>
    <row r="586" ht="15.75" customHeight="1">
      <c r="AH586" s="33"/>
      <c r="AI586" s="33"/>
    </row>
    <row r="587" ht="15.75" customHeight="1">
      <c r="AH587" s="33"/>
      <c r="AI587" s="33"/>
    </row>
    <row r="588" ht="15.75" customHeight="1">
      <c r="AH588" s="33"/>
      <c r="AI588" s="33"/>
    </row>
    <row r="589" ht="15.75" customHeight="1">
      <c r="AH589" s="33"/>
      <c r="AI589" s="33"/>
    </row>
    <row r="590" ht="15.75" customHeight="1">
      <c r="AH590" s="33"/>
      <c r="AI590" s="33"/>
    </row>
    <row r="591" ht="15.75" customHeight="1">
      <c r="AH591" s="33"/>
      <c r="AI591" s="33"/>
    </row>
    <row r="592" ht="15.75" customHeight="1">
      <c r="AH592" s="33"/>
      <c r="AI592" s="33"/>
    </row>
    <row r="593" ht="15.75" customHeight="1">
      <c r="AH593" s="33"/>
      <c r="AI593" s="33"/>
    </row>
    <row r="594" ht="15.75" customHeight="1">
      <c r="AH594" s="33"/>
      <c r="AI594" s="33"/>
    </row>
    <row r="595" ht="15.75" customHeight="1">
      <c r="AH595" s="33"/>
      <c r="AI595" s="33"/>
    </row>
    <row r="596" ht="15.75" customHeight="1">
      <c r="AH596" s="33"/>
      <c r="AI596" s="33"/>
    </row>
    <row r="597" ht="15.75" customHeight="1">
      <c r="AH597" s="33"/>
      <c r="AI597" s="33"/>
    </row>
    <row r="598" ht="15.75" customHeight="1">
      <c r="AH598" s="33"/>
      <c r="AI598" s="33"/>
    </row>
    <row r="599" ht="15.75" customHeight="1">
      <c r="AH599" s="33"/>
      <c r="AI599" s="33"/>
    </row>
    <row r="600" ht="15.75" customHeight="1">
      <c r="AH600" s="33"/>
      <c r="AI600" s="33"/>
    </row>
    <row r="601" ht="15.75" customHeight="1">
      <c r="AH601" s="33"/>
      <c r="AI601" s="33"/>
    </row>
    <row r="602" ht="15.75" customHeight="1">
      <c r="AH602" s="33"/>
      <c r="AI602" s="33"/>
    </row>
    <row r="603" ht="15.75" customHeight="1">
      <c r="AH603" s="33"/>
      <c r="AI603" s="33"/>
    </row>
    <row r="604" ht="15.75" customHeight="1">
      <c r="AH604" s="33"/>
      <c r="AI604" s="33"/>
    </row>
    <row r="605" ht="15.75" customHeight="1">
      <c r="AH605" s="33"/>
      <c r="AI605" s="33"/>
    </row>
    <row r="606" ht="15.75" customHeight="1">
      <c r="AH606" s="33"/>
      <c r="AI606" s="33"/>
    </row>
    <row r="607" ht="15.75" customHeight="1">
      <c r="AH607" s="33"/>
      <c r="AI607" s="33"/>
    </row>
    <row r="608" ht="15.75" customHeight="1">
      <c r="AH608" s="33"/>
      <c r="AI608" s="33"/>
    </row>
    <row r="609" ht="15.75" customHeight="1">
      <c r="AH609" s="33"/>
      <c r="AI609" s="33"/>
    </row>
    <row r="610" ht="15.75" customHeight="1">
      <c r="AH610" s="33"/>
      <c r="AI610" s="33"/>
    </row>
    <row r="611" ht="15.75" customHeight="1">
      <c r="AH611" s="33"/>
      <c r="AI611" s="33"/>
    </row>
    <row r="612" ht="15.75" customHeight="1">
      <c r="AH612" s="33"/>
      <c r="AI612" s="33"/>
    </row>
    <row r="613" ht="15.75" customHeight="1">
      <c r="AH613" s="33"/>
      <c r="AI613" s="33"/>
    </row>
    <row r="614" ht="15.75" customHeight="1">
      <c r="AH614" s="33"/>
      <c r="AI614" s="33"/>
    </row>
    <row r="615" ht="15.75" customHeight="1">
      <c r="AH615" s="33"/>
      <c r="AI615" s="33"/>
    </row>
    <row r="616" ht="15.75" customHeight="1">
      <c r="AH616" s="33"/>
      <c r="AI616" s="33"/>
    </row>
    <row r="617" ht="15.75" customHeight="1">
      <c r="AH617" s="33"/>
      <c r="AI617" s="33"/>
    </row>
    <row r="618" ht="15.75" customHeight="1">
      <c r="AH618" s="33"/>
      <c r="AI618" s="33"/>
    </row>
    <row r="619" ht="15.75" customHeight="1">
      <c r="AH619" s="33"/>
      <c r="AI619" s="33"/>
    </row>
    <row r="620" ht="15.75" customHeight="1">
      <c r="AH620" s="33"/>
      <c r="AI620" s="33"/>
    </row>
    <row r="621" ht="15.75" customHeight="1">
      <c r="AH621" s="33"/>
      <c r="AI621" s="33"/>
    </row>
    <row r="622" ht="15.75" customHeight="1">
      <c r="AH622" s="33"/>
      <c r="AI622" s="33"/>
    </row>
    <row r="623" ht="15.75" customHeight="1">
      <c r="AH623" s="33"/>
      <c r="AI623" s="33"/>
    </row>
    <row r="624" ht="15.75" customHeight="1">
      <c r="AH624" s="33"/>
      <c r="AI624" s="33"/>
    </row>
    <row r="625" ht="15.75" customHeight="1">
      <c r="AH625" s="33"/>
      <c r="AI625" s="33"/>
    </row>
    <row r="626" ht="15.75" customHeight="1">
      <c r="AH626" s="33"/>
      <c r="AI626" s="33"/>
    </row>
    <row r="627" ht="15.75" customHeight="1">
      <c r="AH627" s="33"/>
      <c r="AI627" s="33"/>
    </row>
    <row r="628" ht="15.75" customHeight="1">
      <c r="AH628" s="33"/>
      <c r="AI628" s="33"/>
    </row>
    <row r="629" ht="15.75" customHeight="1">
      <c r="AH629" s="33"/>
      <c r="AI629" s="33"/>
    </row>
    <row r="630" ht="15.75" customHeight="1">
      <c r="AH630" s="33"/>
      <c r="AI630" s="33"/>
    </row>
    <row r="631" ht="15.75" customHeight="1">
      <c r="AH631" s="33"/>
      <c r="AI631" s="33"/>
    </row>
    <row r="632" ht="15.75" customHeight="1">
      <c r="AH632" s="33"/>
      <c r="AI632" s="33"/>
    </row>
    <row r="633" ht="15.75" customHeight="1">
      <c r="AH633" s="33"/>
      <c r="AI633" s="33"/>
    </row>
    <row r="634" ht="15.75" customHeight="1">
      <c r="AH634" s="33"/>
      <c r="AI634" s="33"/>
    </row>
    <row r="635" ht="15.75" customHeight="1">
      <c r="AH635" s="33"/>
      <c r="AI635" s="33"/>
    </row>
    <row r="636" ht="15.75" customHeight="1">
      <c r="AH636" s="33"/>
      <c r="AI636" s="33"/>
    </row>
    <row r="637" ht="15.75" customHeight="1">
      <c r="AH637" s="33"/>
      <c r="AI637" s="33"/>
    </row>
    <row r="638" ht="15.75" customHeight="1">
      <c r="AH638" s="33"/>
      <c r="AI638" s="33"/>
    </row>
    <row r="639" ht="15.75" customHeight="1">
      <c r="AH639" s="33"/>
      <c r="AI639" s="33"/>
    </row>
    <row r="640" ht="15.75" customHeight="1">
      <c r="AH640" s="33"/>
      <c r="AI640" s="33"/>
    </row>
    <row r="641" ht="15.75" customHeight="1">
      <c r="AH641" s="33"/>
      <c r="AI641" s="33"/>
    </row>
    <row r="642" ht="15.75" customHeight="1">
      <c r="AH642" s="33"/>
      <c r="AI642" s="33"/>
    </row>
    <row r="643" ht="15.75" customHeight="1">
      <c r="AH643" s="33"/>
      <c r="AI643" s="33"/>
    </row>
    <row r="644" ht="15.75" customHeight="1">
      <c r="AH644" s="33"/>
      <c r="AI644" s="33"/>
    </row>
    <row r="645" ht="15.75" customHeight="1">
      <c r="AH645" s="33"/>
      <c r="AI645" s="33"/>
    </row>
    <row r="646" ht="15.75" customHeight="1">
      <c r="AH646" s="33"/>
      <c r="AI646" s="33"/>
    </row>
    <row r="647" ht="15.75" customHeight="1">
      <c r="AH647" s="33"/>
      <c r="AI647" s="33"/>
    </row>
    <row r="648" ht="15.75" customHeight="1">
      <c r="AH648" s="33"/>
      <c r="AI648" s="33"/>
    </row>
    <row r="649" ht="15.75" customHeight="1">
      <c r="AH649" s="33"/>
      <c r="AI649" s="33"/>
    </row>
    <row r="650" ht="15.75" customHeight="1">
      <c r="AH650" s="33"/>
      <c r="AI650" s="33"/>
    </row>
    <row r="651" ht="15.75" customHeight="1">
      <c r="AH651" s="33"/>
      <c r="AI651" s="33"/>
    </row>
    <row r="652" ht="15.75" customHeight="1">
      <c r="AH652" s="33"/>
      <c r="AI652" s="33"/>
    </row>
    <row r="653" ht="15.75" customHeight="1">
      <c r="AH653" s="33"/>
      <c r="AI653" s="33"/>
    </row>
    <row r="654" ht="15.75" customHeight="1">
      <c r="AH654" s="33"/>
      <c r="AI654" s="33"/>
    </row>
    <row r="655" ht="15.75" customHeight="1">
      <c r="AH655" s="33"/>
      <c r="AI655" s="33"/>
    </row>
    <row r="656" ht="15.75" customHeight="1">
      <c r="AH656" s="33"/>
      <c r="AI656" s="33"/>
    </row>
    <row r="657" ht="15.75" customHeight="1">
      <c r="AH657" s="33"/>
      <c r="AI657" s="33"/>
    </row>
    <row r="658" ht="15.75" customHeight="1">
      <c r="AH658" s="33"/>
      <c r="AI658" s="33"/>
    </row>
    <row r="659" ht="15.75" customHeight="1">
      <c r="AH659" s="33"/>
      <c r="AI659" s="33"/>
    </row>
    <row r="660" ht="15.75" customHeight="1">
      <c r="AH660" s="33"/>
      <c r="AI660" s="33"/>
    </row>
    <row r="661" ht="15.75" customHeight="1">
      <c r="AH661" s="33"/>
      <c r="AI661" s="33"/>
    </row>
    <row r="662" ht="15.75" customHeight="1">
      <c r="AH662" s="33"/>
      <c r="AI662" s="33"/>
    </row>
    <row r="663" ht="15.75" customHeight="1">
      <c r="AH663" s="33"/>
      <c r="AI663" s="33"/>
    </row>
    <row r="664" ht="15.75" customHeight="1">
      <c r="AH664" s="33"/>
      <c r="AI664" s="33"/>
    </row>
    <row r="665" ht="15.75" customHeight="1">
      <c r="AH665" s="33"/>
      <c r="AI665" s="33"/>
    </row>
    <row r="666" ht="15.75" customHeight="1">
      <c r="AH666" s="33"/>
      <c r="AI666" s="33"/>
    </row>
    <row r="667" ht="15.75" customHeight="1">
      <c r="AH667" s="33"/>
      <c r="AI667" s="33"/>
    </row>
    <row r="668" ht="15.75" customHeight="1">
      <c r="AH668" s="33"/>
      <c r="AI668" s="33"/>
    </row>
    <row r="669" ht="15.75" customHeight="1">
      <c r="AH669" s="33"/>
      <c r="AI669" s="33"/>
    </row>
    <row r="670" ht="15.75" customHeight="1">
      <c r="AH670" s="33"/>
      <c r="AI670" s="33"/>
    </row>
    <row r="671" ht="15.75" customHeight="1">
      <c r="AH671" s="33"/>
      <c r="AI671" s="33"/>
    </row>
    <row r="672" ht="15.75" customHeight="1">
      <c r="AH672" s="33"/>
      <c r="AI672" s="33"/>
    </row>
    <row r="673" ht="15.75" customHeight="1">
      <c r="AH673" s="33"/>
      <c r="AI673" s="33"/>
    </row>
    <row r="674" ht="15.75" customHeight="1">
      <c r="AH674" s="33"/>
      <c r="AI674" s="33"/>
    </row>
    <row r="675" ht="15.75" customHeight="1">
      <c r="AH675" s="33"/>
      <c r="AI675" s="33"/>
    </row>
    <row r="676" ht="15.75" customHeight="1">
      <c r="AH676" s="33"/>
      <c r="AI676" s="33"/>
    </row>
    <row r="677" ht="15.75" customHeight="1">
      <c r="AH677" s="33"/>
      <c r="AI677" s="33"/>
    </row>
    <row r="678" ht="15.75" customHeight="1">
      <c r="AH678" s="33"/>
      <c r="AI678" s="33"/>
    </row>
    <row r="679" ht="15.75" customHeight="1">
      <c r="AH679" s="33"/>
      <c r="AI679" s="33"/>
    </row>
    <row r="680" ht="15.75" customHeight="1">
      <c r="AH680" s="33"/>
      <c r="AI680" s="33"/>
    </row>
    <row r="681" ht="15.75" customHeight="1">
      <c r="AH681" s="33"/>
      <c r="AI681" s="33"/>
    </row>
    <row r="682" ht="15.75" customHeight="1">
      <c r="AH682" s="33"/>
      <c r="AI682" s="33"/>
    </row>
    <row r="683" ht="15.75" customHeight="1">
      <c r="AH683" s="33"/>
      <c r="AI683" s="33"/>
    </row>
    <row r="684" ht="15.75" customHeight="1">
      <c r="AH684" s="33"/>
      <c r="AI684" s="33"/>
    </row>
    <row r="685" ht="15.75" customHeight="1">
      <c r="AH685" s="33"/>
      <c r="AI685" s="33"/>
    </row>
    <row r="686" ht="15.75" customHeight="1">
      <c r="AH686" s="33"/>
      <c r="AI686" s="33"/>
    </row>
    <row r="687" ht="15.75" customHeight="1">
      <c r="AH687" s="33"/>
      <c r="AI687" s="33"/>
    </row>
    <row r="688" ht="15.75" customHeight="1">
      <c r="AH688" s="33"/>
      <c r="AI688" s="33"/>
    </row>
    <row r="689" ht="15.75" customHeight="1">
      <c r="AH689" s="33"/>
      <c r="AI689" s="33"/>
    </row>
    <row r="690" ht="15.75" customHeight="1">
      <c r="AH690" s="33"/>
      <c r="AI690" s="33"/>
    </row>
    <row r="691" ht="15.75" customHeight="1">
      <c r="AH691" s="33"/>
      <c r="AI691" s="33"/>
    </row>
    <row r="692" ht="15.75" customHeight="1">
      <c r="AH692" s="33"/>
      <c r="AI692" s="33"/>
    </row>
    <row r="693" ht="15.75" customHeight="1">
      <c r="AH693" s="33"/>
      <c r="AI693" s="33"/>
    </row>
    <row r="694" ht="15.75" customHeight="1">
      <c r="AH694" s="33"/>
      <c r="AI694" s="33"/>
    </row>
    <row r="695" ht="15.75" customHeight="1">
      <c r="AH695" s="33"/>
      <c r="AI695" s="33"/>
    </row>
    <row r="696" ht="15.75" customHeight="1">
      <c r="AH696" s="33"/>
      <c r="AI696" s="33"/>
    </row>
    <row r="697" ht="15.75" customHeight="1">
      <c r="AH697" s="33"/>
      <c r="AI697" s="33"/>
    </row>
    <row r="698" ht="15.75" customHeight="1">
      <c r="AH698" s="33"/>
      <c r="AI698" s="33"/>
    </row>
    <row r="699" ht="15.75" customHeight="1">
      <c r="AH699" s="33"/>
      <c r="AI699" s="33"/>
    </row>
    <row r="700" ht="15.75" customHeight="1">
      <c r="AH700" s="33"/>
      <c r="AI700" s="33"/>
    </row>
    <row r="701" ht="15.75" customHeight="1">
      <c r="AH701" s="33"/>
      <c r="AI701" s="33"/>
    </row>
    <row r="702" ht="15.75" customHeight="1">
      <c r="AH702" s="33"/>
      <c r="AI702" s="33"/>
    </row>
    <row r="703" ht="15.75" customHeight="1">
      <c r="AH703" s="33"/>
      <c r="AI703" s="33"/>
    </row>
    <row r="704" ht="15.75" customHeight="1">
      <c r="AH704" s="33"/>
      <c r="AI704" s="33"/>
    </row>
    <row r="705" ht="15.75" customHeight="1">
      <c r="AH705" s="33"/>
      <c r="AI705" s="33"/>
    </row>
    <row r="706" ht="15.75" customHeight="1">
      <c r="AH706" s="33"/>
      <c r="AI706" s="33"/>
    </row>
    <row r="707" ht="15.75" customHeight="1">
      <c r="AH707" s="33"/>
      <c r="AI707" s="33"/>
    </row>
    <row r="708" ht="15.75" customHeight="1">
      <c r="AH708" s="33"/>
      <c r="AI708" s="33"/>
    </row>
    <row r="709" ht="15.75" customHeight="1">
      <c r="AH709" s="33"/>
      <c r="AI709" s="33"/>
    </row>
    <row r="710" ht="15.75" customHeight="1">
      <c r="AH710" s="33"/>
      <c r="AI710" s="33"/>
    </row>
    <row r="711" ht="15.75" customHeight="1">
      <c r="AH711" s="33"/>
      <c r="AI711" s="33"/>
    </row>
    <row r="712" ht="15.75" customHeight="1">
      <c r="AH712" s="33"/>
      <c r="AI712" s="33"/>
    </row>
    <row r="713" ht="15.75" customHeight="1">
      <c r="AH713" s="33"/>
      <c r="AI713" s="33"/>
    </row>
    <row r="714" ht="15.75" customHeight="1">
      <c r="AH714" s="33"/>
      <c r="AI714" s="33"/>
    </row>
    <row r="715" ht="15.75" customHeight="1">
      <c r="AH715" s="33"/>
      <c r="AI715" s="33"/>
    </row>
    <row r="716" ht="15.75" customHeight="1">
      <c r="AH716" s="33"/>
      <c r="AI716" s="33"/>
    </row>
    <row r="717" ht="15.75" customHeight="1">
      <c r="AH717" s="33"/>
      <c r="AI717" s="33"/>
    </row>
    <row r="718" ht="15.75" customHeight="1">
      <c r="AH718" s="33"/>
      <c r="AI718" s="33"/>
    </row>
    <row r="719" ht="15.75" customHeight="1">
      <c r="AH719" s="33"/>
      <c r="AI719" s="33"/>
    </row>
    <row r="720" ht="15.75" customHeight="1">
      <c r="AH720" s="33"/>
      <c r="AI720" s="33"/>
    </row>
    <row r="721" ht="15.75" customHeight="1">
      <c r="AH721" s="33"/>
      <c r="AI721" s="33"/>
    </row>
    <row r="722" ht="15.75" customHeight="1">
      <c r="AH722" s="33"/>
      <c r="AI722" s="33"/>
    </row>
    <row r="723" ht="15.75" customHeight="1">
      <c r="AH723" s="33"/>
      <c r="AI723" s="33"/>
    </row>
    <row r="724" ht="15.75" customHeight="1">
      <c r="AH724" s="33"/>
      <c r="AI724" s="33"/>
    </row>
    <row r="725" ht="15.75" customHeight="1">
      <c r="AH725" s="33"/>
      <c r="AI725" s="33"/>
    </row>
    <row r="726" ht="15.75" customHeight="1">
      <c r="AH726" s="33"/>
      <c r="AI726" s="33"/>
    </row>
    <row r="727" ht="15.75" customHeight="1">
      <c r="AH727" s="33"/>
      <c r="AI727" s="33"/>
    </row>
    <row r="728" ht="15.75" customHeight="1">
      <c r="AH728" s="33"/>
      <c r="AI728" s="33"/>
    </row>
    <row r="729" ht="15.75" customHeight="1">
      <c r="AH729" s="33"/>
      <c r="AI729" s="33"/>
    </row>
    <row r="730" ht="15.75" customHeight="1">
      <c r="AH730" s="33"/>
      <c r="AI730" s="33"/>
    </row>
    <row r="731" ht="15.75" customHeight="1">
      <c r="AH731" s="33"/>
      <c r="AI731" s="33"/>
    </row>
    <row r="732" ht="15.75" customHeight="1">
      <c r="AH732" s="33"/>
      <c r="AI732" s="33"/>
    </row>
    <row r="733" ht="15.75" customHeight="1">
      <c r="AH733" s="33"/>
      <c r="AI733" s="33"/>
    </row>
    <row r="734" ht="15.75" customHeight="1">
      <c r="AH734" s="33"/>
      <c r="AI734" s="33"/>
    </row>
    <row r="735" ht="15.75" customHeight="1">
      <c r="AH735" s="33"/>
      <c r="AI735" s="33"/>
    </row>
    <row r="736" ht="15.75" customHeight="1">
      <c r="AH736" s="33"/>
      <c r="AI736" s="33"/>
    </row>
    <row r="737" ht="15.75" customHeight="1">
      <c r="AH737" s="33"/>
      <c r="AI737" s="33"/>
    </row>
    <row r="738" ht="15.75" customHeight="1">
      <c r="AH738" s="33"/>
      <c r="AI738" s="33"/>
    </row>
    <row r="739" ht="15.75" customHeight="1">
      <c r="AH739" s="33"/>
      <c r="AI739" s="33"/>
    </row>
    <row r="740" ht="15.75" customHeight="1">
      <c r="AH740" s="33"/>
      <c r="AI740" s="33"/>
    </row>
    <row r="741" ht="15.75" customHeight="1">
      <c r="AH741" s="33"/>
      <c r="AI741" s="33"/>
    </row>
    <row r="742" ht="15.75" customHeight="1">
      <c r="AH742" s="33"/>
      <c r="AI742" s="33"/>
    </row>
    <row r="743" ht="15.75" customHeight="1">
      <c r="AH743" s="33"/>
      <c r="AI743" s="33"/>
    </row>
    <row r="744" ht="15.75" customHeight="1">
      <c r="AH744" s="33"/>
      <c r="AI744" s="33"/>
    </row>
    <row r="745" ht="15.75" customHeight="1">
      <c r="AH745" s="33"/>
      <c r="AI745" s="33"/>
    </row>
    <row r="746" ht="15.75" customHeight="1">
      <c r="AH746" s="33"/>
      <c r="AI746" s="33"/>
    </row>
    <row r="747" ht="15.75" customHeight="1">
      <c r="AH747" s="33"/>
      <c r="AI747" s="33"/>
    </row>
    <row r="748" ht="15.75" customHeight="1">
      <c r="AH748" s="33"/>
      <c r="AI748" s="33"/>
    </row>
    <row r="749" ht="15.75" customHeight="1">
      <c r="AH749" s="33"/>
      <c r="AI749" s="33"/>
    </row>
    <row r="750" ht="15.75" customHeight="1">
      <c r="AH750" s="33"/>
      <c r="AI750" s="33"/>
    </row>
    <row r="751" ht="15.75" customHeight="1">
      <c r="AH751" s="33"/>
      <c r="AI751" s="33"/>
    </row>
    <row r="752" ht="15.75" customHeight="1">
      <c r="AH752" s="33"/>
      <c r="AI752" s="33"/>
    </row>
    <row r="753" ht="15.75" customHeight="1">
      <c r="AH753" s="33"/>
      <c r="AI753" s="33"/>
    </row>
    <row r="754" ht="15.75" customHeight="1">
      <c r="AH754" s="33"/>
      <c r="AI754" s="33"/>
    </row>
    <row r="755" ht="15.75" customHeight="1">
      <c r="AH755" s="33"/>
      <c r="AI755" s="33"/>
    </row>
    <row r="756" ht="15.75" customHeight="1">
      <c r="AH756" s="33"/>
      <c r="AI756" s="33"/>
    </row>
    <row r="757" ht="15.75" customHeight="1">
      <c r="AH757" s="33"/>
      <c r="AI757" s="33"/>
    </row>
    <row r="758" ht="15.75" customHeight="1">
      <c r="AH758" s="33"/>
      <c r="AI758" s="33"/>
    </row>
    <row r="759" ht="15.75" customHeight="1">
      <c r="AH759" s="33"/>
      <c r="AI759" s="33"/>
    </row>
    <row r="760" ht="15.75" customHeight="1">
      <c r="AH760" s="33"/>
      <c r="AI760" s="33"/>
    </row>
    <row r="761" ht="15.75" customHeight="1">
      <c r="AH761" s="33"/>
      <c r="AI761" s="33"/>
    </row>
    <row r="762" ht="15.75" customHeight="1">
      <c r="AH762" s="33"/>
      <c r="AI762" s="33"/>
    </row>
    <row r="763" ht="15.75" customHeight="1">
      <c r="AH763" s="33"/>
      <c r="AI763" s="33"/>
    </row>
    <row r="764" ht="15.75" customHeight="1">
      <c r="AH764" s="33"/>
      <c r="AI764" s="33"/>
    </row>
    <row r="765" ht="15.75" customHeight="1">
      <c r="AH765" s="33"/>
      <c r="AI765" s="33"/>
    </row>
    <row r="766" ht="15.75" customHeight="1">
      <c r="AH766" s="33"/>
      <c r="AI766" s="33"/>
    </row>
    <row r="767" ht="15.75" customHeight="1">
      <c r="AH767" s="33"/>
      <c r="AI767" s="33"/>
    </row>
    <row r="768" ht="15.75" customHeight="1">
      <c r="AH768" s="33"/>
      <c r="AI768" s="33"/>
    </row>
    <row r="769" ht="15.75" customHeight="1">
      <c r="AH769" s="33"/>
      <c r="AI769" s="33"/>
    </row>
    <row r="770" ht="15.75" customHeight="1">
      <c r="AH770" s="33"/>
      <c r="AI770" s="33"/>
    </row>
    <row r="771" ht="15.75" customHeight="1">
      <c r="AH771" s="33"/>
      <c r="AI771" s="33"/>
    </row>
    <row r="772" ht="15.75" customHeight="1">
      <c r="AH772" s="33"/>
      <c r="AI772" s="33"/>
    </row>
    <row r="773" ht="15.75" customHeight="1">
      <c r="AH773" s="33"/>
      <c r="AI773" s="33"/>
    </row>
    <row r="774" ht="15.75" customHeight="1">
      <c r="AH774" s="33"/>
      <c r="AI774" s="33"/>
    </row>
    <row r="775" ht="15.75" customHeight="1">
      <c r="AH775" s="33"/>
      <c r="AI775" s="33"/>
    </row>
    <row r="776" ht="15.75" customHeight="1">
      <c r="AH776" s="33"/>
      <c r="AI776" s="33"/>
    </row>
    <row r="777" ht="15.75" customHeight="1">
      <c r="AH777" s="33"/>
      <c r="AI777" s="33"/>
    </row>
    <row r="778" ht="15.75" customHeight="1">
      <c r="AH778" s="33"/>
      <c r="AI778" s="33"/>
    </row>
    <row r="779" ht="15.75" customHeight="1">
      <c r="AH779" s="33"/>
      <c r="AI779" s="33"/>
    </row>
    <row r="780" ht="15.75" customHeight="1">
      <c r="AH780" s="33"/>
      <c r="AI780" s="33"/>
    </row>
    <row r="781" ht="15.75" customHeight="1">
      <c r="AH781" s="33"/>
      <c r="AI781" s="33"/>
    </row>
    <row r="782" ht="15.75" customHeight="1">
      <c r="AH782" s="33"/>
      <c r="AI782" s="33"/>
    </row>
    <row r="783" ht="15.75" customHeight="1">
      <c r="AH783" s="33"/>
      <c r="AI783" s="33"/>
    </row>
    <row r="784" ht="15.75" customHeight="1">
      <c r="AH784" s="33"/>
      <c r="AI784" s="33"/>
    </row>
    <row r="785" ht="15.75" customHeight="1">
      <c r="AH785" s="33"/>
      <c r="AI785" s="33"/>
    </row>
    <row r="786" ht="15.75" customHeight="1">
      <c r="AH786" s="33"/>
      <c r="AI786" s="33"/>
    </row>
    <row r="787" ht="15.75" customHeight="1">
      <c r="AH787" s="33"/>
      <c r="AI787" s="33"/>
    </row>
    <row r="788" ht="15.75" customHeight="1">
      <c r="AH788" s="33"/>
      <c r="AI788" s="33"/>
    </row>
    <row r="789" ht="15.75" customHeight="1">
      <c r="AH789" s="33"/>
      <c r="AI789" s="33"/>
    </row>
    <row r="790" ht="15.75" customHeight="1">
      <c r="AH790" s="33"/>
      <c r="AI790" s="33"/>
    </row>
    <row r="791" ht="15.75" customHeight="1">
      <c r="AH791" s="33"/>
      <c r="AI791" s="33"/>
    </row>
    <row r="792" ht="15.75" customHeight="1">
      <c r="AH792" s="33"/>
      <c r="AI792" s="33"/>
    </row>
    <row r="793" ht="15.75" customHeight="1">
      <c r="AH793" s="33"/>
      <c r="AI793" s="33"/>
    </row>
    <row r="794" ht="15.75" customHeight="1">
      <c r="AH794" s="33"/>
      <c r="AI794" s="33"/>
    </row>
    <row r="795" ht="15.75" customHeight="1">
      <c r="AH795" s="33"/>
      <c r="AI795" s="33"/>
    </row>
    <row r="796" ht="15.75" customHeight="1">
      <c r="AH796" s="33"/>
      <c r="AI796" s="33"/>
    </row>
    <row r="797" ht="15.75" customHeight="1">
      <c r="AH797" s="33"/>
      <c r="AI797" s="33"/>
    </row>
    <row r="798" ht="15.75" customHeight="1">
      <c r="AH798" s="33"/>
      <c r="AI798" s="33"/>
    </row>
    <row r="799" ht="15.75" customHeight="1">
      <c r="AH799" s="33"/>
      <c r="AI799" s="33"/>
    </row>
    <row r="800" ht="15.75" customHeight="1">
      <c r="AH800" s="33"/>
      <c r="AI800" s="33"/>
    </row>
    <row r="801" ht="15.75" customHeight="1">
      <c r="AH801" s="33"/>
      <c r="AI801" s="33"/>
    </row>
    <row r="802" ht="15.75" customHeight="1">
      <c r="AH802" s="33"/>
      <c r="AI802" s="33"/>
    </row>
    <row r="803" ht="15.75" customHeight="1">
      <c r="AH803" s="33"/>
      <c r="AI803" s="33"/>
    </row>
    <row r="804" ht="15.75" customHeight="1">
      <c r="AH804" s="33"/>
      <c r="AI804" s="33"/>
    </row>
    <row r="805" ht="15.75" customHeight="1">
      <c r="AH805" s="33"/>
      <c r="AI805" s="33"/>
    </row>
    <row r="806" ht="15.75" customHeight="1">
      <c r="AH806" s="33"/>
      <c r="AI806" s="33"/>
    </row>
    <row r="807" ht="15.75" customHeight="1">
      <c r="AH807" s="33"/>
      <c r="AI807" s="33"/>
    </row>
    <row r="808" ht="15.75" customHeight="1">
      <c r="AH808" s="33"/>
      <c r="AI808" s="33"/>
    </row>
    <row r="809" ht="15.75" customHeight="1">
      <c r="AH809" s="33"/>
      <c r="AI809" s="33"/>
    </row>
    <row r="810" ht="15.75" customHeight="1">
      <c r="AH810" s="33"/>
      <c r="AI810" s="33"/>
    </row>
    <row r="811" ht="15.75" customHeight="1">
      <c r="AH811" s="33"/>
      <c r="AI811" s="33"/>
    </row>
    <row r="812" ht="15.75" customHeight="1">
      <c r="AH812" s="33"/>
      <c r="AI812" s="33"/>
    </row>
    <row r="813" ht="15.75" customHeight="1">
      <c r="AH813" s="33"/>
      <c r="AI813" s="33"/>
    </row>
    <row r="814" ht="15.75" customHeight="1">
      <c r="AH814" s="33"/>
      <c r="AI814" s="33"/>
    </row>
    <row r="815" ht="15.75" customHeight="1">
      <c r="AH815" s="33"/>
      <c r="AI815" s="33"/>
    </row>
    <row r="816" ht="15.75" customHeight="1">
      <c r="AH816" s="33"/>
      <c r="AI816" s="33"/>
    </row>
    <row r="817" ht="15.75" customHeight="1">
      <c r="AH817" s="33"/>
      <c r="AI817" s="33"/>
    </row>
    <row r="818" ht="15.75" customHeight="1">
      <c r="AH818" s="33"/>
      <c r="AI818" s="33"/>
    </row>
    <row r="819" ht="15.75" customHeight="1">
      <c r="AH819" s="33"/>
      <c r="AI819" s="33"/>
    </row>
    <row r="820" ht="15.75" customHeight="1">
      <c r="AH820" s="33"/>
      <c r="AI820" s="33"/>
    </row>
    <row r="821" ht="15.75" customHeight="1">
      <c r="AH821" s="33"/>
      <c r="AI821" s="33"/>
    </row>
    <row r="822" ht="15.75" customHeight="1">
      <c r="AH822" s="33"/>
      <c r="AI822" s="33"/>
    </row>
    <row r="823" ht="15.75" customHeight="1">
      <c r="AH823" s="33"/>
      <c r="AI823" s="33"/>
    </row>
    <row r="824" ht="15.75" customHeight="1">
      <c r="AH824" s="33"/>
      <c r="AI824" s="33"/>
    </row>
    <row r="825" ht="15.75" customHeight="1">
      <c r="AH825" s="33"/>
      <c r="AI825" s="33"/>
    </row>
    <row r="826" ht="15.75" customHeight="1">
      <c r="AH826" s="33"/>
      <c r="AI826" s="33"/>
    </row>
    <row r="827" ht="15.75" customHeight="1">
      <c r="AH827" s="33"/>
      <c r="AI827" s="33"/>
    </row>
    <row r="828" ht="15.75" customHeight="1">
      <c r="AH828" s="33"/>
      <c r="AI828" s="33"/>
    </row>
    <row r="829" ht="15.75" customHeight="1">
      <c r="AH829" s="33"/>
      <c r="AI829" s="33"/>
    </row>
    <row r="830" ht="15.75" customHeight="1">
      <c r="AH830" s="33"/>
      <c r="AI830" s="33"/>
    </row>
    <row r="831" ht="15.75" customHeight="1">
      <c r="AH831" s="33"/>
      <c r="AI831" s="33"/>
    </row>
    <row r="832" ht="15.75" customHeight="1">
      <c r="AH832" s="33"/>
      <c r="AI832" s="33"/>
    </row>
    <row r="833" ht="15.75" customHeight="1">
      <c r="AH833" s="33"/>
      <c r="AI833" s="33"/>
    </row>
    <row r="834" ht="15.75" customHeight="1">
      <c r="AH834" s="33"/>
      <c r="AI834" s="33"/>
    </row>
    <row r="835" ht="15.75" customHeight="1">
      <c r="AH835" s="33"/>
      <c r="AI835" s="33"/>
    </row>
    <row r="836" ht="15.75" customHeight="1">
      <c r="AH836" s="33"/>
      <c r="AI836" s="33"/>
    </row>
    <row r="837" ht="15.75" customHeight="1">
      <c r="AH837" s="33"/>
      <c r="AI837" s="33"/>
    </row>
    <row r="838" ht="15.75" customHeight="1">
      <c r="AH838" s="33"/>
      <c r="AI838" s="33"/>
    </row>
    <row r="839" ht="15.75" customHeight="1">
      <c r="AH839" s="33"/>
      <c r="AI839" s="33"/>
    </row>
    <row r="840" ht="15.75" customHeight="1">
      <c r="AH840" s="33"/>
      <c r="AI840" s="33"/>
    </row>
    <row r="841" ht="15.75" customHeight="1">
      <c r="AH841" s="33"/>
      <c r="AI841" s="33"/>
    </row>
    <row r="842" ht="15.75" customHeight="1">
      <c r="AH842" s="33"/>
      <c r="AI842" s="33"/>
    </row>
    <row r="843" ht="15.75" customHeight="1">
      <c r="AH843" s="33"/>
      <c r="AI843" s="33"/>
    </row>
    <row r="844" ht="15.75" customHeight="1">
      <c r="AH844" s="33"/>
      <c r="AI844" s="33"/>
    </row>
    <row r="845" ht="15.75" customHeight="1">
      <c r="AH845" s="33"/>
      <c r="AI845" s="33"/>
    </row>
    <row r="846" ht="15.75" customHeight="1">
      <c r="AH846" s="33"/>
      <c r="AI846" s="33"/>
    </row>
    <row r="847" ht="15.75" customHeight="1">
      <c r="AH847" s="33"/>
      <c r="AI847" s="33"/>
    </row>
    <row r="848" ht="15.75" customHeight="1">
      <c r="AH848" s="33"/>
      <c r="AI848" s="33"/>
    </row>
    <row r="849" ht="15.75" customHeight="1">
      <c r="AH849" s="33"/>
      <c r="AI849" s="33"/>
    </row>
    <row r="850" ht="15.75" customHeight="1">
      <c r="AH850" s="33"/>
      <c r="AI850" s="33"/>
    </row>
    <row r="851" ht="15.75" customHeight="1">
      <c r="AH851" s="33"/>
      <c r="AI851" s="33"/>
    </row>
    <row r="852" ht="15.75" customHeight="1">
      <c r="AH852" s="33"/>
      <c r="AI852" s="33"/>
    </row>
    <row r="853" ht="15.75" customHeight="1">
      <c r="AH853" s="33"/>
      <c r="AI853" s="33"/>
    </row>
    <row r="854" ht="15.75" customHeight="1">
      <c r="AH854" s="33"/>
      <c r="AI854" s="33"/>
    </row>
    <row r="855" ht="15.75" customHeight="1">
      <c r="AH855" s="33"/>
      <c r="AI855" s="33"/>
    </row>
    <row r="856" ht="15.75" customHeight="1">
      <c r="AH856" s="33"/>
      <c r="AI856" s="33"/>
    </row>
    <row r="857" ht="15.75" customHeight="1">
      <c r="AH857" s="33"/>
      <c r="AI857" s="33"/>
    </row>
    <row r="858" ht="15.75" customHeight="1">
      <c r="AH858" s="33"/>
      <c r="AI858" s="33"/>
    </row>
    <row r="859" ht="15.75" customHeight="1">
      <c r="AH859" s="33"/>
      <c r="AI859" s="33"/>
    </row>
    <row r="860" ht="15.75" customHeight="1">
      <c r="AH860" s="33"/>
      <c r="AI860" s="33"/>
    </row>
    <row r="861" ht="15.75" customHeight="1">
      <c r="AH861" s="33"/>
      <c r="AI861" s="33"/>
    </row>
    <row r="862" ht="15.75" customHeight="1">
      <c r="AH862" s="33"/>
      <c r="AI862" s="33"/>
    </row>
    <row r="863" ht="15.75" customHeight="1">
      <c r="AH863" s="33"/>
      <c r="AI863" s="33"/>
    </row>
    <row r="864" ht="15.75" customHeight="1">
      <c r="AH864" s="33"/>
      <c r="AI864" s="33"/>
    </row>
    <row r="865" ht="15.75" customHeight="1">
      <c r="AH865" s="33"/>
      <c r="AI865" s="33"/>
    </row>
    <row r="866" ht="15.75" customHeight="1">
      <c r="AH866" s="33"/>
      <c r="AI866" s="33"/>
    </row>
    <row r="867" ht="15.75" customHeight="1">
      <c r="AH867" s="33"/>
      <c r="AI867" s="33"/>
    </row>
    <row r="868" ht="15.75" customHeight="1">
      <c r="AH868" s="33"/>
      <c r="AI868" s="33"/>
    </row>
    <row r="869" ht="15.75" customHeight="1">
      <c r="AH869" s="33"/>
      <c r="AI869" s="33"/>
    </row>
    <row r="870" ht="15.75" customHeight="1">
      <c r="AH870" s="33"/>
      <c r="AI870" s="33"/>
    </row>
    <row r="871" ht="15.75" customHeight="1">
      <c r="AH871" s="33"/>
      <c r="AI871" s="33"/>
    </row>
    <row r="872" ht="15.75" customHeight="1">
      <c r="AH872" s="33"/>
      <c r="AI872" s="33"/>
    </row>
    <row r="873" ht="15.75" customHeight="1">
      <c r="AH873" s="33"/>
      <c r="AI873" s="33"/>
    </row>
    <row r="874" ht="15.75" customHeight="1">
      <c r="AH874" s="33"/>
      <c r="AI874" s="33"/>
    </row>
    <row r="875" ht="15.75" customHeight="1">
      <c r="AH875" s="33"/>
      <c r="AI875" s="33"/>
    </row>
    <row r="876" ht="15.75" customHeight="1">
      <c r="AH876" s="33"/>
      <c r="AI876" s="33"/>
    </row>
    <row r="877" ht="15.75" customHeight="1">
      <c r="AH877" s="33"/>
      <c r="AI877" s="33"/>
    </row>
    <row r="878" ht="15.75" customHeight="1">
      <c r="AH878" s="33"/>
      <c r="AI878" s="33"/>
    </row>
    <row r="879" ht="15.75" customHeight="1">
      <c r="AH879" s="33"/>
      <c r="AI879" s="33"/>
    </row>
    <row r="880" ht="15.75" customHeight="1">
      <c r="AH880" s="33"/>
      <c r="AI880" s="33"/>
    </row>
    <row r="881" ht="15.75" customHeight="1">
      <c r="AH881" s="33"/>
      <c r="AI881" s="33"/>
    </row>
    <row r="882" ht="15.75" customHeight="1">
      <c r="AH882" s="33"/>
      <c r="AI882" s="33"/>
    </row>
    <row r="883" ht="15.75" customHeight="1">
      <c r="AH883" s="33"/>
      <c r="AI883" s="33"/>
    </row>
    <row r="884" ht="15.75" customHeight="1">
      <c r="AH884" s="33"/>
      <c r="AI884" s="33"/>
    </row>
    <row r="885" ht="15.75" customHeight="1">
      <c r="AH885" s="33"/>
      <c r="AI885" s="33"/>
    </row>
    <row r="886" ht="15.75" customHeight="1">
      <c r="AH886" s="33"/>
      <c r="AI886" s="33"/>
    </row>
    <row r="887" ht="15.75" customHeight="1">
      <c r="AH887" s="33"/>
      <c r="AI887" s="33"/>
    </row>
    <row r="888" ht="15.75" customHeight="1">
      <c r="AH888" s="33"/>
      <c r="AI888" s="33"/>
    </row>
    <row r="889" ht="15.75" customHeight="1">
      <c r="AH889" s="33"/>
      <c r="AI889" s="33"/>
    </row>
    <row r="890" ht="15.75" customHeight="1">
      <c r="AH890" s="33"/>
      <c r="AI890" s="33"/>
    </row>
    <row r="891" ht="15.75" customHeight="1">
      <c r="AH891" s="33"/>
      <c r="AI891" s="33"/>
    </row>
    <row r="892" ht="15.75" customHeight="1">
      <c r="AH892" s="33"/>
      <c r="AI892" s="33"/>
    </row>
    <row r="893" ht="15.75" customHeight="1">
      <c r="AH893" s="33"/>
      <c r="AI893" s="33"/>
    </row>
    <row r="894" ht="15.75" customHeight="1">
      <c r="AH894" s="33"/>
      <c r="AI894" s="33"/>
    </row>
    <row r="895" ht="15.75" customHeight="1">
      <c r="AH895" s="33"/>
      <c r="AI895" s="33"/>
    </row>
    <row r="896" ht="15.75" customHeight="1">
      <c r="AH896" s="33"/>
      <c r="AI896" s="33"/>
    </row>
    <row r="897" ht="15.75" customHeight="1">
      <c r="AH897" s="33"/>
      <c r="AI897" s="33"/>
    </row>
    <row r="898" ht="15.75" customHeight="1">
      <c r="AH898" s="33"/>
      <c r="AI898" s="33"/>
    </row>
    <row r="899" ht="15.75" customHeight="1">
      <c r="AH899" s="33"/>
      <c r="AI899" s="33"/>
    </row>
    <row r="900" ht="15.75" customHeight="1">
      <c r="AH900" s="33"/>
      <c r="AI900" s="33"/>
    </row>
    <row r="901" ht="15.75" customHeight="1">
      <c r="AH901" s="33"/>
      <c r="AI901" s="33"/>
    </row>
    <row r="902" ht="15.75" customHeight="1">
      <c r="AH902" s="33"/>
      <c r="AI902" s="33"/>
    </row>
    <row r="903" ht="15.75" customHeight="1">
      <c r="AH903" s="33"/>
      <c r="AI903" s="33"/>
    </row>
    <row r="904" ht="15.75" customHeight="1">
      <c r="AH904" s="33"/>
      <c r="AI904" s="33"/>
    </row>
    <row r="905" ht="15.75" customHeight="1">
      <c r="AH905" s="33"/>
      <c r="AI905" s="33"/>
    </row>
    <row r="906" ht="15.75" customHeight="1">
      <c r="AH906" s="33"/>
      <c r="AI906" s="33"/>
    </row>
    <row r="907" ht="15.75" customHeight="1">
      <c r="AH907" s="33"/>
      <c r="AI907" s="33"/>
    </row>
    <row r="908" ht="15.75" customHeight="1">
      <c r="AH908" s="33"/>
      <c r="AI908" s="33"/>
    </row>
    <row r="909" ht="15.75" customHeight="1">
      <c r="AH909" s="33"/>
      <c r="AI909" s="33"/>
    </row>
    <row r="910" ht="15.75" customHeight="1">
      <c r="AH910" s="33"/>
      <c r="AI910" s="33"/>
    </row>
    <row r="911" ht="15.75" customHeight="1">
      <c r="AH911" s="33"/>
      <c r="AI911" s="33"/>
    </row>
    <row r="912" ht="15.75" customHeight="1">
      <c r="AH912" s="33"/>
      <c r="AI912" s="33"/>
    </row>
    <row r="913" ht="15.75" customHeight="1">
      <c r="AH913" s="33"/>
      <c r="AI913" s="33"/>
    </row>
    <row r="914" ht="15.75" customHeight="1">
      <c r="AH914" s="33"/>
      <c r="AI914" s="33"/>
    </row>
    <row r="915" ht="15.75" customHeight="1">
      <c r="AH915" s="33"/>
      <c r="AI915" s="33"/>
    </row>
    <row r="916" ht="15.75" customHeight="1">
      <c r="AH916" s="33"/>
      <c r="AI916" s="33"/>
    </row>
    <row r="917" ht="15.75" customHeight="1">
      <c r="AH917" s="33"/>
      <c r="AI917" s="33"/>
    </row>
    <row r="918" ht="15.75" customHeight="1">
      <c r="AH918" s="33"/>
      <c r="AI918" s="33"/>
    </row>
    <row r="919" ht="15.75" customHeight="1">
      <c r="AH919" s="33"/>
      <c r="AI919" s="33"/>
    </row>
    <row r="920" ht="15.75" customHeight="1">
      <c r="AH920" s="33"/>
      <c r="AI920" s="33"/>
    </row>
    <row r="921" ht="15.75" customHeight="1">
      <c r="AH921" s="33"/>
      <c r="AI921" s="33"/>
    </row>
    <row r="922" ht="15.75" customHeight="1">
      <c r="AH922" s="33"/>
      <c r="AI922" s="33"/>
    </row>
    <row r="923" ht="15.75" customHeight="1">
      <c r="AH923" s="33"/>
      <c r="AI923" s="33"/>
    </row>
    <row r="924" ht="15.75" customHeight="1">
      <c r="AH924" s="33"/>
      <c r="AI924" s="33"/>
    </row>
    <row r="925" ht="15.75" customHeight="1">
      <c r="AH925" s="33"/>
      <c r="AI925" s="33"/>
    </row>
    <row r="926" ht="15.75" customHeight="1">
      <c r="AH926" s="33"/>
      <c r="AI926" s="33"/>
    </row>
    <row r="927" ht="15.75" customHeight="1">
      <c r="AH927" s="33"/>
      <c r="AI927" s="33"/>
    </row>
    <row r="928" ht="15.75" customHeight="1">
      <c r="AH928" s="33"/>
      <c r="AI928" s="33"/>
    </row>
    <row r="929" ht="15.75" customHeight="1">
      <c r="AH929" s="33"/>
      <c r="AI929" s="33"/>
    </row>
    <row r="930" ht="15.75" customHeight="1">
      <c r="AH930" s="33"/>
      <c r="AI930" s="33"/>
    </row>
    <row r="931" ht="15.75" customHeight="1">
      <c r="AH931" s="33"/>
      <c r="AI931" s="33"/>
    </row>
    <row r="932" ht="15.75" customHeight="1">
      <c r="AH932" s="33"/>
      <c r="AI932" s="33"/>
    </row>
    <row r="933" ht="15.75" customHeight="1">
      <c r="AH933" s="33"/>
      <c r="AI933" s="33"/>
    </row>
    <row r="934" ht="15.75" customHeight="1">
      <c r="AH934" s="33"/>
      <c r="AI934" s="33"/>
    </row>
    <row r="935" ht="15.75" customHeight="1">
      <c r="AH935" s="33"/>
      <c r="AI935" s="33"/>
    </row>
    <row r="936" ht="15.75" customHeight="1">
      <c r="AH936" s="33"/>
      <c r="AI936" s="33"/>
    </row>
    <row r="937" ht="15.75" customHeight="1">
      <c r="AH937" s="33"/>
      <c r="AI937" s="33"/>
    </row>
    <row r="938" ht="15.75" customHeight="1">
      <c r="AH938" s="33"/>
      <c r="AI938" s="33"/>
    </row>
    <row r="939" ht="15.75" customHeight="1">
      <c r="AH939" s="33"/>
      <c r="AI939" s="33"/>
    </row>
    <row r="940" ht="15.75" customHeight="1">
      <c r="AH940" s="33"/>
      <c r="AI940" s="33"/>
    </row>
    <row r="941" ht="15.75" customHeight="1">
      <c r="AH941" s="33"/>
      <c r="AI941" s="33"/>
    </row>
    <row r="942" ht="15.75" customHeight="1">
      <c r="AH942" s="33"/>
      <c r="AI942" s="33"/>
    </row>
    <row r="943" ht="15.75" customHeight="1">
      <c r="AH943" s="33"/>
      <c r="AI943" s="33"/>
    </row>
    <row r="944" ht="15.75" customHeight="1">
      <c r="AH944" s="33"/>
      <c r="AI944" s="33"/>
    </row>
    <row r="945" ht="15.75" customHeight="1">
      <c r="AH945" s="33"/>
      <c r="AI945" s="33"/>
    </row>
    <row r="946" ht="15.75" customHeight="1">
      <c r="AH946" s="33"/>
      <c r="AI946" s="33"/>
    </row>
    <row r="947" ht="15.75" customHeight="1">
      <c r="AH947" s="33"/>
      <c r="AI947" s="33"/>
    </row>
    <row r="948" ht="15.75" customHeight="1">
      <c r="AH948" s="33"/>
      <c r="AI948" s="33"/>
    </row>
    <row r="949" ht="15.75" customHeight="1">
      <c r="AH949" s="33"/>
      <c r="AI949" s="33"/>
    </row>
    <row r="950" ht="15.75" customHeight="1">
      <c r="AH950" s="33"/>
      <c r="AI950" s="33"/>
    </row>
    <row r="951" ht="15.75" customHeight="1">
      <c r="AH951" s="33"/>
      <c r="AI951" s="33"/>
    </row>
    <row r="952" ht="15.75" customHeight="1">
      <c r="AH952" s="33"/>
      <c r="AI952" s="33"/>
    </row>
    <row r="953" ht="15.75" customHeight="1">
      <c r="AH953" s="33"/>
      <c r="AI953" s="33"/>
    </row>
    <row r="954" ht="15.75" customHeight="1">
      <c r="AH954" s="33"/>
      <c r="AI954" s="33"/>
    </row>
    <row r="955" ht="15.75" customHeight="1">
      <c r="AH955" s="33"/>
      <c r="AI955" s="33"/>
    </row>
    <row r="956" ht="15.75" customHeight="1">
      <c r="AH956" s="33"/>
      <c r="AI956" s="33"/>
    </row>
    <row r="957" ht="15.75" customHeight="1">
      <c r="AH957" s="33"/>
      <c r="AI957" s="33"/>
    </row>
    <row r="958" ht="15.75" customHeight="1">
      <c r="AH958" s="33"/>
      <c r="AI958" s="33"/>
    </row>
    <row r="959" ht="15.75" customHeight="1">
      <c r="AH959" s="33"/>
      <c r="AI959" s="3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1297</v>
      </c>
      <c r="D1" s="2" t="s">
        <v>1298</v>
      </c>
      <c r="E1" s="2" t="s">
        <v>7</v>
      </c>
    </row>
    <row r="2" ht="15.75" customHeight="1">
      <c r="A2" s="8">
        <v>1412.0</v>
      </c>
      <c r="B2" s="8" t="s">
        <v>48</v>
      </c>
      <c r="C2" s="9" t="s">
        <v>1299</v>
      </c>
      <c r="D2" s="81" t="s">
        <v>1300</v>
      </c>
      <c r="E2" s="8">
        <v>0.0</v>
      </c>
    </row>
    <row r="3" ht="15.75" customHeight="1">
      <c r="A3" s="8">
        <v>1412.0</v>
      </c>
      <c r="B3" s="8" t="s">
        <v>48</v>
      </c>
      <c r="C3" s="82" t="s">
        <v>1301</v>
      </c>
      <c r="D3" s="83" t="s">
        <v>1302</v>
      </c>
      <c r="E3" s="84">
        <v>0.0</v>
      </c>
    </row>
    <row r="4" ht="15.75" customHeight="1">
      <c r="A4" s="8">
        <v>1412.0</v>
      </c>
      <c r="B4" s="8" t="s">
        <v>48</v>
      </c>
      <c r="C4" s="82" t="s">
        <v>1303</v>
      </c>
      <c r="D4" s="11" t="s">
        <v>1304</v>
      </c>
      <c r="E4" s="84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74" t="s">
        <v>1305</v>
      </c>
      <c r="D1" s="74" t="s">
        <v>1306</v>
      </c>
      <c r="E1" s="74" t="s">
        <v>1307</v>
      </c>
      <c r="F1" s="74" t="s">
        <v>897</v>
      </c>
      <c r="G1" s="74" t="s">
        <v>7</v>
      </c>
      <c r="H1" s="74" t="s">
        <v>899</v>
      </c>
      <c r="I1" s="74" t="s">
        <v>7</v>
      </c>
      <c r="J1" s="5" t="s">
        <v>1308</v>
      </c>
      <c r="K1" s="5" t="s">
        <v>7</v>
      </c>
      <c r="L1" s="21" t="s">
        <v>1309</v>
      </c>
      <c r="M1" s="21" t="s">
        <v>7</v>
      </c>
    </row>
    <row r="2" ht="15.75" customHeight="1">
      <c r="A2" s="8">
        <v>1412.0</v>
      </c>
      <c r="B2" s="8" t="s">
        <v>48</v>
      </c>
      <c r="C2" s="85" t="s">
        <v>1310</v>
      </c>
      <c r="D2" s="11" t="s">
        <v>1311</v>
      </c>
      <c r="E2" s="86">
        <v>0.0</v>
      </c>
      <c r="F2" s="11" t="s">
        <v>921</v>
      </c>
      <c r="G2" s="8">
        <v>0.0</v>
      </c>
      <c r="H2" s="11" t="s">
        <v>922</v>
      </c>
      <c r="I2" s="8">
        <v>0.0</v>
      </c>
      <c r="J2" s="21"/>
      <c r="K2" s="21"/>
      <c r="L2" s="11" t="s">
        <v>927</v>
      </c>
      <c r="M2" s="19">
        <v>0.0</v>
      </c>
    </row>
    <row r="3" ht="15.75" customHeight="1">
      <c r="A3" s="8">
        <v>1412.0</v>
      </c>
      <c r="B3" s="8" t="s">
        <v>48</v>
      </c>
      <c r="C3" s="87" t="s">
        <v>1312</v>
      </c>
      <c r="D3" s="11" t="s">
        <v>1313</v>
      </c>
      <c r="E3" s="86">
        <v>0.0</v>
      </c>
      <c r="F3" s="11" t="s">
        <v>921</v>
      </c>
      <c r="G3" s="8">
        <v>0.0</v>
      </c>
      <c r="H3" s="11" t="s">
        <v>922</v>
      </c>
      <c r="I3" s="8">
        <v>0.0</v>
      </c>
      <c r="J3" s="21"/>
      <c r="K3" s="21"/>
      <c r="L3" s="11" t="s">
        <v>927</v>
      </c>
      <c r="M3" s="19">
        <v>0.0</v>
      </c>
    </row>
    <row r="4" ht="15.75" customHeight="1">
      <c r="A4" s="8">
        <v>1412.0</v>
      </c>
      <c r="B4" s="8" t="s">
        <v>48</v>
      </c>
      <c r="C4" s="87" t="s">
        <v>1314</v>
      </c>
      <c r="D4" s="11" t="s">
        <v>1315</v>
      </c>
      <c r="E4" s="86">
        <v>0.0</v>
      </c>
      <c r="F4" s="11" t="s">
        <v>921</v>
      </c>
      <c r="G4" s="8">
        <v>0.0</v>
      </c>
      <c r="H4" s="11" t="s">
        <v>922</v>
      </c>
      <c r="I4" s="8">
        <v>0.0</v>
      </c>
      <c r="J4" s="21"/>
      <c r="K4" s="21"/>
      <c r="L4" s="11" t="s">
        <v>927</v>
      </c>
      <c r="M4" s="19">
        <v>0.0</v>
      </c>
    </row>
    <row r="5" ht="15.75" customHeight="1">
      <c r="A5" s="8">
        <v>1412.0</v>
      </c>
      <c r="B5" s="8" t="s">
        <v>48</v>
      </c>
      <c r="C5" s="21" t="s">
        <v>1316</v>
      </c>
      <c r="D5" s="21"/>
      <c r="E5" s="21"/>
      <c r="F5" s="11" t="s">
        <v>921</v>
      </c>
      <c r="G5" s="8">
        <v>0.0</v>
      </c>
      <c r="H5" s="9"/>
      <c r="I5" s="9"/>
      <c r="J5" s="21"/>
      <c r="K5" s="21"/>
      <c r="L5" s="21"/>
      <c r="M5" s="2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1317</v>
      </c>
      <c r="D1" s="88" t="s">
        <v>1318</v>
      </c>
      <c r="E1" s="88" t="s">
        <v>1319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1320</v>
      </c>
      <c r="D1" s="5" t="s">
        <v>1321</v>
      </c>
      <c r="E1" s="5" t="s">
        <v>7</v>
      </c>
    </row>
    <row r="2" ht="15.75" customHeight="1">
      <c r="A2" s="8">
        <v>1412.0</v>
      </c>
      <c r="B2" s="8" t="s">
        <v>48</v>
      </c>
      <c r="C2" s="5" t="s">
        <v>1322</v>
      </c>
      <c r="D2" s="11" t="s">
        <v>1323</v>
      </c>
      <c r="E2" s="23">
        <v>0.0</v>
      </c>
      <c r="F2" s="4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49.88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1324</v>
      </c>
      <c r="D1" s="5" t="s">
        <v>1325</v>
      </c>
      <c r="E1" s="5" t="s">
        <v>13</v>
      </c>
      <c r="F1" s="5" t="s">
        <v>1326</v>
      </c>
      <c r="G1" s="5" t="s">
        <v>13</v>
      </c>
      <c r="H1" s="5" t="s">
        <v>1327</v>
      </c>
      <c r="I1" s="5" t="s">
        <v>13</v>
      </c>
      <c r="J1" s="5" t="s">
        <v>1328</v>
      </c>
      <c r="K1" s="5" t="s">
        <v>13</v>
      </c>
      <c r="L1" s="5" t="s">
        <v>1329</v>
      </c>
      <c r="M1" s="5" t="s">
        <v>13</v>
      </c>
      <c r="N1" s="9" t="s">
        <v>1330</v>
      </c>
      <c r="O1" s="9" t="s">
        <v>7</v>
      </c>
      <c r="P1" s="9" t="s">
        <v>687</v>
      </c>
      <c r="Q1" s="9" t="s">
        <v>7</v>
      </c>
      <c r="R1" s="5" t="s">
        <v>1331</v>
      </c>
      <c r="S1" s="9" t="s">
        <v>7</v>
      </c>
      <c r="T1" s="9" t="s">
        <v>1332</v>
      </c>
      <c r="U1" s="9" t="s">
        <v>7</v>
      </c>
      <c r="V1" s="21" t="s">
        <v>1333</v>
      </c>
      <c r="W1" s="21" t="s">
        <v>7</v>
      </c>
      <c r="X1" s="21" t="s">
        <v>1334</v>
      </c>
      <c r="Y1" s="21" t="s">
        <v>7</v>
      </c>
      <c r="Z1" s="21" t="s">
        <v>1335</v>
      </c>
      <c r="AA1" s="21" t="s">
        <v>7</v>
      </c>
      <c r="AB1" s="21" t="s">
        <v>1336</v>
      </c>
      <c r="AC1" s="21" t="s">
        <v>7</v>
      </c>
    </row>
    <row r="2" ht="15.75" customHeight="1">
      <c r="A2" s="8">
        <v>1412.0</v>
      </c>
      <c r="B2" s="8" t="s">
        <v>48</v>
      </c>
      <c r="C2" s="5" t="s">
        <v>1337</v>
      </c>
      <c r="D2" s="49" t="s">
        <v>640</v>
      </c>
      <c r="E2" s="8">
        <v>1.0</v>
      </c>
      <c r="F2" s="49" t="s">
        <v>650</v>
      </c>
      <c r="G2" s="8">
        <v>1.0</v>
      </c>
      <c r="H2" s="49" t="s">
        <v>660</v>
      </c>
      <c r="I2" s="8">
        <v>1.0</v>
      </c>
      <c r="J2" s="11" t="s">
        <v>669</v>
      </c>
      <c r="K2" s="8">
        <v>0.0</v>
      </c>
      <c r="L2" s="11" t="s">
        <v>676</v>
      </c>
      <c r="M2" s="8">
        <v>0.0</v>
      </c>
      <c r="N2" s="11" t="s">
        <v>1338</v>
      </c>
      <c r="O2" s="5"/>
      <c r="P2" s="11" t="s">
        <v>1339</v>
      </c>
      <c r="Q2" s="5"/>
      <c r="R2" s="11" t="s">
        <v>1340</v>
      </c>
      <c r="S2" s="5"/>
      <c r="T2" s="11" t="s">
        <v>1315</v>
      </c>
      <c r="U2" s="19">
        <v>0.0</v>
      </c>
      <c r="V2" s="49" t="s">
        <v>671</v>
      </c>
      <c r="W2" s="19">
        <v>1.0</v>
      </c>
      <c r="X2" s="21"/>
      <c r="Y2" s="21"/>
      <c r="Z2" s="21" t="s">
        <v>678</v>
      </c>
      <c r="AA2" s="19">
        <v>1.0</v>
      </c>
      <c r="AB2" s="21"/>
      <c r="AC2" s="2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